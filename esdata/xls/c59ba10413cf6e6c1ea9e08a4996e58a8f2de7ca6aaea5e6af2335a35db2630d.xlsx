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45" windowWidth="15135" windowHeight="8130" tabRatio="833" activeTab="8"/>
  </bookViews>
  <sheets>
    <sheet name="تسعير" sheetId="1" r:id="rId1"/>
    <sheet name="ريز جاري" sheetId="5" r:id="rId2"/>
    <sheet name="ريز فرهنگي" sheetId="7" r:id="rId3"/>
    <sheet name="حقوق مرکزی ها" sheetId="15" r:id="rId4"/>
    <sheet name="روكش جاري و فرهنگي" sheetId="3" r:id="rId5"/>
    <sheet name="تراز يوروئي و ارزمحل" sheetId="2" r:id="rId6"/>
    <sheet name="تراز تلفيقي" sheetId="4" r:id="rId7"/>
    <sheet name="فهرست وجوه ارسالي" sheetId="10" r:id="rId8"/>
    <sheet name="هزينه و انحراف 2" sheetId="13" r:id="rId9"/>
  </sheets>
  <calcPr calcId="125725"/>
</workbook>
</file>

<file path=xl/calcChain.xml><?xml version="1.0" encoding="utf-8"?>
<calcChain xmlns="http://schemas.openxmlformats.org/spreadsheetml/2006/main">
  <c r="E78" i="13"/>
  <c r="F63" s="1"/>
  <c r="H63" s="1"/>
  <c r="J63" s="1"/>
  <c r="E408" i="7"/>
  <c r="E28" i="13"/>
  <c r="F14" s="1"/>
  <c r="H14" s="1"/>
  <c r="J14" s="1"/>
  <c r="F24" i="10"/>
  <c r="G24"/>
  <c r="E18" i="15"/>
  <c r="F18"/>
  <c r="O34" i="1"/>
  <c r="N34" s="1"/>
  <c r="M34"/>
  <c r="K34"/>
  <c r="N5"/>
  <c r="L5"/>
  <c r="G18" i="15"/>
  <c r="D18"/>
  <c r="C18"/>
  <c r="F62" i="13"/>
  <c r="F60"/>
  <c r="F58"/>
  <c r="F56"/>
  <c r="F54"/>
  <c r="F52"/>
  <c r="F51"/>
  <c r="F50"/>
  <c r="H62"/>
  <c r="H60"/>
  <c r="H58"/>
  <c r="H56"/>
  <c r="H54"/>
  <c r="H52"/>
  <c r="H51"/>
  <c r="H50"/>
  <c r="J62"/>
  <c r="J60"/>
  <c r="J58"/>
  <c r="J56"/>
  <c r="J54"/>
  <c r="J52"/>
  <c r="J51"/>
  <c r="J50"/>
  <c r="F42"/>
  <c r="H42" s="1"/>
  <c r="J42" s="1"/>
  <c r="F43"/>
  <c r="H43" s="1"/>
  <c r="J43" s="1"/>
  <c r="F44"/>
  <c r="H44" s="1"/>
  <c r="J44" s="1"/>
  <c r="F45"/>
  <c r="H45" s="1"/>
  <c r="J45" s="1"/>
  <c r="F46"/>
  <c r="H46" s="1"/>
  <c r="J46" s="1"/>
  <c r="F47"/>
  <c r="H47"/>
  <c r="J47" s="1"/>
  <c r="F48"/>
  <c r="H48" s="1"/>
  <c r="J48" s="1"/>
  <c r="F49"/>
  <c r="H49" s="1"/>
  <c r="J49" s="1"/>
  <c r="F64"/>
  <c r="H64" s="1"/>
  <c r="J64" s="1"/>
  <c r="F65"/>
  <c r="H65" s="1"/>
  <c r="J65" s="1"/>
  <c r="F66"/>
  <c r="H66" s="1"/>
  <c r="J66" s="1"/>
  <c r="F67"/>
  <c r="H67"/>
  <c r="J67" s="1"/>
  <c r="F68"/>
  <c r="H68" s="1"/>
  <c r="J68" s="1"/>
  <c r="F69"/>
  <c r="J69"/>
  <c r="F70"/>
  <c r="H70" s="1"/>
  <c r="J70" s="1"/>
  <c r="F71"/>
  <c r="H71" s="1"/>
  <c r="J71" s="1"/>
  <c r="F72"/>
  <c r="H72"/>
  <c r="J72" s="1"/>
  <c r="F73"/>
  <c r="H73" s="1"/>
  <c r="J73" s="1"/>
  <c r="F74"/>
  <c r="H74" s="1"/>
  <c r="J74" s="1"/>
  <c r="F75"/>
  <c r="H75" s="1"/>
  <c r="J75" s="1"/>
  <c r="F76"/>
  <c r="H76"/>
  <c r="J76" s="1"/>
  <c r="K77"/>
  <c r="I77"/>
  <c r="G77"/>
  <c r="E77"/>
  <c r="D77"/>
  <c r="F13"/>
  <c r="H13" s="1"/>
  <c r="J13" s="1"/>
  <c r="F15"/>
  <c r="H15" s="1"/>
  <c r="J15" s="1"/>
  <c r="F115" i="1"/>
  <c r="F114"/>
  <c r="D114"/>
  <c r="E85"/>
  <c r="F75"/>
  <c r="F74"/>
  <c r="D74"/>
  <c r="E45"/>
  <c r="D407" i="5"/>
  <c r="D365"/>
  <c r="D323"/>
  <c r="D197"/>
  <c r="D155"/>
  <c r="D113"/>
  <c r="D71"/>
  <c r="D113" i="7"/>
  <c r="D155"/>
  <c r="D197"/>
  <c r="D239"/>
  <c r="D281"/>
  <c r="D323"/>
  <c r="D365"/>
  <c r="D407"/>
  <c r="F26" i="13"/>
  <c r="F25"/>
  <c r="F24"/>
  <c r="F23"/>
  <c r="F8"/>
  <c r="F18"/>
  <c r="F17"/>
  <c r="F7"/>
  <c r="H7" s="1"/>
  <c r="J7" s="1"/>
  <c r="F19"/>
  <c r="F12"/>
  <c r="F20"/>
  <c r="H20" s="1"/>
  <c r="J20" s="1"/>
  <c r="F11"/>
  <c r="F10"/>
  <c r="F9"/>
  <c r="F22"/>
  <c r="F21"/>
  <c r="H21" s="1"/>
  <c r="J21" s="1"/>
  <c r="F6"/>
  <c r="H6" s="1"/>
  <c r="H18"/>
  <c r="J18" s="1"/>
  <c r="H17"/>
  <c r="J17" s="1"/>
  <c r="H22"/>
  <c r="H9"/>
  <c r="H10"/>
  <c r="H11"/>
  <c r="H12"/>
  <c r="H8"/>
  <c r="J8" s="1"/>
  <c r="K27" s="1"/>
  <c r="H23"/>
  <c r="J23" s="1"/>
  <c r="H24"/>
  <c r="J24" s="1"/>
  <c r="H25"/>
  <c r="H26"/>
  <c r="J26" s="1"/>
  <c r="J22"/>
  <c r="J9"/>
  <c r="J10"/>
  <c r="J11"/>
  <c r="J12"/>
  <c r="J19"/>
  <c r="J25"/>
  <c r="G27"/>
  <c r="E27"/>
  <c r="D27"/>
  <c r="C12" i="4"/>
  <c r="B8"/>
  <c r="F8" s="1"/>
  <c r="G408" i="7"/>
  <c r="E60" i="3" s="1"/>
  <c r="D60"/>
  <c r="G366" i="7"/>
  <c r="E59" i="3" s="1"/>
  <c r="E366" i="7"/>
  <c r="D59" i="3" s="1"/>
  <c r="G324" i="7"/>
  <c r="E58" i="3" s="1"/>
  <c r="E324" i="7"/>
  <c r="D58" i="3" s="1"/>
  <c r="G282" i="7"/>
  <c r="E57" i="3" s="1"/>
  <c r="E282" i="7"/>
  <c r="D57" i="3" s="1"/>
  <c r="G240" i="7"/>
  <c r="E56" i="3" s="1"/>
  <c r="E240" i="7"/>
  <c r="D56" i="3" s="1"/>
  <c r="G198" i="7"/>
  <c r="E55" i="3" s="1"/>
  <c r="E198" i="7"/>
  <c r="G156"/>
  <c r="E54" i="3" s="1"/>
  <c r="E156" i="7"/>
  <c r="G114"/>
  <c r="E53" i="3" s="1"/>
  <c r="E114" i="7"/>
  <c r="G72"/>
  <c r="E52" i="3" s="1"/>
  <c r="E72" i="7"/>
  <c r="D52" i="3" s="1"/>
  <c r="G30" i="7"/>
  <c r="E51" i="3" s="1"/>
  <c r="E30" i="7"/>
  <c r="D51" i="3" s="1"/>
  <c r="E492" i="5"/>
  <c r="D15" i="3" s="1"/>
  <c r="G492" i="5"/>
  <c r="E15" i="3" s="1"/>
  <c r="G450" i="5"/>
  <c r="E14" i="3" s="1"/>
  <c r="E450" i="5"/>
  <c r="D14" i="3" s="1"/>
  <c r="E408" i="5"/>
  <c r="D13" i="3" s="1"/>
  <c r="G408" i="5"/>
  <c r="E13" i="3" s="1"/>
  <c r="G366" i="5"/>
  <c r="E12" i="3" s="1"/>
  <c r="E366" i="5"/>
  <c r="D12" i="3" s="1"/>
  <c r="G324" i="5"/>
  <c r="E11" i="3" s="1"/>
  <c r="E324" i="5"/>
  <c r="D11" i="3" s="1"/>
  <c r="G282" i="5"/>
  <c r="E10" i="3" s="1"/>
  <c r="E282" i="5"/>
  <c r="D10" i="3" s="1"/>
  <c r="G240" i="5"/>
  <c r="E9" i="3" s="1"/>
  <c r="E240" i="5"/>
  <c r="D9" i="3" s="1"/>
  <c r="G198" i="5"/>
  <c r="E8" i="3" s="1"/>
  <c r="E198" i="5"/>
  <c r="D8" i="3" s="1"/>
  <c r="G156" i="5"/>
  <c r="E7" i="3" s="1"/>
  <c r="E156" i="5"/>
  <c r="D7" i="3" s="1"/>
  <c r="G114" i="5"/>
  <c r="E16" i="3" s="1"/>
  <c r="E114" i="5"/>
  <c r="D16" i="3" s="1"/>
  <c r="G72" i="5"/>
  <c r="E6" i="3" s="1"/>
  <c r="E72" i="5"/>
  <c r="D6" i="3" s="1"/>
  <c r="G30" i="5"/>
  <c r="E5" i="3" s="1"/>
  <c r="E30" i="5"/>
  <c r="D5" i="3" s="1"/>
  <c r="F28" i="4"/>
  <c r="F27"/>
  <c r="B18"/>
  <c r="B17"/>
  <c r="B16"/>
  <c r="B15"/>
  <c r="C14"/>
  <c r="B26"/>
  <c r="B25"/>
  <c r="C34"/>
  <c r="C33"/>
  <c r="C31"/>
  <c r="C30"/>
  <c r="G30" s="1"/>
  <c r="B12"/>
  <c r="B7"/>
  <c r="F7" s="1"/>
  <c r="D34" i="1"/>
  <c r="D18" i="2" s="1"/>
  <c r="B19" i="4" s="1"/>
  <c r="F19" s="1"/>
  <c r="F34" i="1"/>
  <c r="E67" i="2" s="1"/>
  <c r="E69" s="1"/>
  <c r="C69"/>
  <c r="B69"/>
  <c r="E31"/>
  <c r="C31"/>
  <c r="B31"/>
  <c r="E13" i="1"/>
  <c r="E14"/>
  <c r="E5"/>
  <c r="E7"/>
  <c r="E8"/>
  <c r="E9"/>
  <c r="E10"/>
  <c r="E11"/>
  <c r="E12"/>
  <c r="E15"/>
  <c r="E6"/>
  <c r="F53" i="13" l="1"/>
  <c r="F55"/>
  <c r="H55" s="1"/>
  <c r="J55" s="1"/>
  <c r="F57"/>
  <c r="H57" s="1"/>
  <c r="J57" s="1"/>
  <c r="F59"/>
  <c r="H59" s="1"/>
  <c r="J59" s="1"/>
  <c r="F61"/>
  <c r="H61" s="1"/>
  <c r="J61" s="1"/>
  <c r="F16"/>
  <c r="H16" s="1"/>
  <c r="J16" s="1"/>
  <c r="L34" i="1"/>
  <c r="C19" i="15"/>
  <c r="H27" i="13"/>
  <c r="H24" i="10"/>
  <c r="E116" i="1"/>
  <c r="F116"/>
  <c r="E114"/>
  <c r="E76"/>
  <c r="F76"/>
  <c r="E74"/>
  <c r="F27" i="13"/>
  <c r="D55" i="3"/>
  <c r="D53"/>
  <c r="D54"/>
  <c r="C35" i="4"/>
  <c r="E81" i="3"/>
  <c r="D21" i="2" s="1"/>
  <c r="B23" i="4" s="1"/>
  <c r="D81" i="3"/>
  <c r="D62" i="2" s="1"/>
  <c r="E35" i="3"/>
  <c r="D35"/>
  <c r="D61" i="2" s="1"/>
  <c r="G31" i="4"/>
  <c r="E34" i="1"/>
  <c r="D10" i="4" s="1"/>
  <c r="F10" s="1"/>
  <c r="E36" i="1"/>
  <c r="H53" i="13" l="1"/>
  <c r="J53" s="1"/>
  <c r="F77"/>
  <c r="D116" i="1"/>
  <c r="D76"/>
  <c r="H77" i="13"/>
  <c r="J77"/>
  <c r="I27"/>
  <c r="J6"/>
  <c r="J27" s="1"/>
  <c r="G339" i="7"/>
  <c r="G255"/>
  <c r="G171"/>
  <c r="G87"/>
  <c r="G381"/>
  <c r="G297"/>
  <c r="G213"/>
  <c r="G129"/>
  <c r="F5" i="3"/>
  <c r="G423" i="5"/>
  <c r="G339"/>
  <c r="G255"/>
  <c r="G171"/>
  <c r="G87"/>
  <c r="G3" i="7"/>
  <c r="G45"/>
  <c r="F93" s="1"/>
  <c r="G465" i="5"/>
  <c r="G381"/>
  <c r="G297"/>
  <c r="G213"/>
  <c r="G129"/>
  <c r="G45"/>
  <c r="D69" i="2"/>
  <c r="F79" i="3"/>
  <c r="F75"/>
  <c r="F35" i="1"/>
  <c r="F36" s="1"/>
  <c r="F77" i="3"/>
  <c r="F52"/>
  <c r="F51"/>
  <c r="G3" i="5"/>
  <c r="F80" i="3"/>
  <c r="F78"/>
  <c r="F76"/>
  <c r="F74"/>
  <c r="F53"/>
  <c r="D17" i="4"/>
  <c r="F17" s="1"/>
  <c r="D15"/>
  <c r="F15" s="1"/>
  <c r="E14"/>
  <c r="F7" i="3"/>
  <c r="E33" i="4"/>
  <c r="G33" s="1"/>
  <c r="D26"/>
  <c r="F26" s="1"/>
  <c r="D23"/>
  <c r="F23" s="1"/>
  <c r="D12"/>
  <c r="E45" i="2"/>
  <c r="E12" i="4" s="1"/>
  <c r="D18"/>
  <c r="F18" s="1"/>
  <c r="D16"/>
  <c r="F16" s="1"/>
  <c r="E34"/>
  <c r="G34" s="1"/>
  <c r="E20"/>
  <c r="G20" s="1"/>
  <c r="D25"/>
  <c r="F25" s="1"/>
  <c r="D22"/>
  <c r="D9"/>
  <c r="E3"/>
  <c r="F72" i="3"/>
  <c r="F70"/>
  <c r="F68"/>
  <c r="F66"/>
  <c r="F64"/>
  <c r="F62"/>
  <c r="F60"/>
  <c r="F58"/>
  <c r="F56"/>
  <c r="F20"/>
  <c r="F18"/>
  <c r="F16"/>
  <c r="F73"/>
  <c r="F71"/>
  <c r="F69"/>
  <c r="F67"/>
  <c r="F65"/>
  <c r="F63"/>
  <c r="F61"/>
  <c r="F59"/>
  <c r="F57"/>
  <c r="F55"/>
  <c r="F19"/>
  <c r="F17"/>
  <c r="F54"/>
  <c r="D36" i="1"/>
  <c r="F33" i="3"/>
  <c r="F31"/>
  <c r="F29"/>
  <c r="F27"/>
  <c r="F25"/>
  <c r="F23"/>
  <c r="F21"/>
  <c r="F14"/>
  <c r="F12"/>
  <c r="F10"/>
  <c r="F8"/>
  <c r="F34"/>
  <c r="F32"/>
  <c r="F30"/>
  <c r="F28"/>
  <c r="F26"/>
  <c r="F24"/>
  <c r="F22"/>
  <c r="F15"/>
  <c r="F13"/>
  <c r="F11"/>
  <c r="F9"/>
  <c r="F6"/>
  <c r="F12" i="4" l="1"/>
  <c r="F406" i="7"/>
  <c r="H406" s="1"/>
  <c r="F404"/>
  <c r="H404" s="1"/>
  <c r="F402"/>
  <c r="H402" s="1"/>
  <c r="F400"/>
  <c r="H400" s="1"/>
  <c r="F398"/>
  <c r="H398" s="1"/>
  <c r="F396"/>
  <c r="H396" s="1"/>
  <c r="F394"/>
  <c r="H394" s="1"/>
  <c r="F392"/>
  <c r="H392" s="1"/>
  <c r="F387"/>
  <c r="H387" s="1"/>
  <c r="F389"/>
  <c r="H389" s="1"/>
  <c r="F386"/>
  <c r="H386" s="1"/>
  <c r="F384"/>
  <c r="H384" s="1"/>
  <c r="F365"/>
  <c r="H365" s="1"/>
  <c r="F363"/>
  <c r="H363" s="1"/>
  <c r="F361"/>
  <c r="H361" s="1"/>
  <c r="F359"/>
  <c r="H359" s="1"/>
  <c r="F357"/>
  <c r="H357" s="1"/>
  <c r="F355"/>
  <c r="H355" s="1"/>
  <c r="F353"/>
  <c r="H353" s="1"/>
  <c r="F351"/>
  <c r="H351" s="1"/>
  <c r="F349"/>
  <c r="H349" s="1"/>
  <c r="F347"/>
  <c r="H347" s="1"/>
  <c r="F345"/>
  <c r="H345" s="1"/>
  <c r="F343"/>
  <c r="H343" s="1"/>
  <c r="F341"/>
  <c r="H341" s="1"/>
  <c r="F322"/>
  <c r="H322" s="1"/>
  <c r="F320"/>
  <c r="H320" s="1"/>
  <c r="F318"/>
  <c r="H318" s="1"/>
  <c r="F316"/>
  <c r="H316" s="1"/>
  <c r="F314"/>
  <c r="H314" s="1"/>
  <c r="F312"/>
  <c r="H312" s="1"/>
  <c r="F310"/>
  <c r="H310" s="1"/>
  <c r="F308"/>
  <c r="H308" s="1"/>
  <c r="F306"/>
  <c r="H306" s="1"/>
  <c r="F304"/>
  <c r="H304" s="1"/>
  <c r="F302"/>
  <c r="H302" s="1"/>
  <c r="F300"/>
  <c r="H300" s="1"/>
  <c r="F281"/>
  <c r="H281" s="1"/>
  <c r="F279"/>
  <c r="H279" s="1"/>
  <c r="F277"/>
  <c r="H277" s="1"/>
  <c r="F275"/>
  <c r="H275" s="1"/>
  <c r="F273"/>
  <c r="H273" s="1"/>
  <c r="F271"/>
  <c r="H271" s="1"/>
  <c r="F269"/>
  <c r="H269" s="1"/>
  <c r="F267"/>
  <c r="H267" s="1"/>
  <c r="F265"/>
  <c r="H265" s="1"/>
  <c r="F263"/>
  <c r="H263" s="1"/>
  <c r="F261"/>
  <c r="H261" s="1"/>
  <c r="F259"/>
  <c r="H259" s="1"/>
  <c r="F257"/>
  <c r="H257" s="1"/>
  <c r="F238"/>
  <c r="H238" s="1"/>
  <c r="F236"/>
  <c r="H236" s="1"/>
  <c r="F234"/>
  <c r="H234" s="1"/>
  <c r="F232"/>
  <c r="H232" s="1"/>
  <c r="F230"/>
  <c r="H230" s="1"/>
  <c r="F228"/>
  <c r="H228" s="1"/>
  <c r="F226"/>
  <c r="H226" s="1"/>
  <c r="F224"/>
  <c r="H224" s="1"/>
  <c r="F222"/>
  <c r="H222" s="1"/>
  <c r="F220"/>
  <c r="H220" s="1"/>
  <c r="F218"/>
  <c r="H218" s="1"/>
  <c r="F216"/>
  <c r="H216" s="1"/>
  <c r="F197"/>
  <c r="H197" s="1"/>
  <c r="F195"/>
  <c r="H195" s="1"/>
  <c r="F193"/>
  <c r="H193" s="1"/>
  <c r="F191"/>
  <c r="H191" s="1"/>
  <c r="F189"/>
  <c r="H189" s="1"/>
  <c r="F187"/>
  <c r="H187" s="1"/>
  <c r="F185"/>
  <c r="H185" s="1"/>
  <c r="F183"/>
  <c r="H183" s="1"/>
  <c r="F181"/>
  <c r="H181" s="1"/>
  <c r="F179"/>
  <c r="H179" s="1"/>
  <c r="F177"/>
  <c r="H177" s="1"/>
  <c r="F175"/>
  <c r="H175" s="1"/>
  <c r="F173"/>
  <c r="H173" s="1"/>
  <c r="F154"/>
  <c r="H154" s="1"/>
  <c r="F152"/>
  <c r="H152" s="1"/>
  <c r="F150"/>
  <c r="H150" s="1"/>
  <c r="F148"/>
  <c r="H148" s="1"/>
  <c r="F146"/>
  <c r="H146" s="1"/>
  <c r="F144"/>
  <c r="H144" s="1"/>
  <c r="F142"/>
  <c r="H142" s="1"/>
  <c r="F140"/>
  <c r="H140" s="1"/>
  <c r="F138"/>
  <c r="H138" s="1"/>
  <c r="F136"/>
  <c r="H136" s="1"/>
  <c r="F134"/>
  <c r="H134" s="1"/>
  <c r="F132"/>
  <c r="H132" s="1"/>
  <c r="F113"/>
  <c r="H113" s="1"/>
  <c r="F111"/>
  <c r="F109"/>
  <c r="H109" s="1"/>
  <c r="F107"/>
  <c r="F105"/>
  <c r="H105" s="1"/>
  <c r="F103"/>
  <c r="F101"/>
  <c r="H101" s="1"/>
  <c r="F99"/>
  <c r="F97"/>
  <c r="F95"/>
  <c r="F91"/>
  <c r="H91" s="1"/>
  <c r="F89"/>
  <c r="F407"/>
  <c r="H407" s="1"/>
  <c r="F405"/>
  <c r="H405" s="1"/>
  <c r="F403"/>
  <c r="H403" s="1"/>
  <c r="F401"/>
  <c r="H401" s="1"/>
  <c r="F399"/>
  <c r="H399" s="1"/>
  <c r="F397"/>
  <c r="H397" s="1"/>
  <c r="F395"/>
  <c r="H395" s="1"/>
  <c r="F393"/>
  <c r="H393" s="1"/>
  <c r="F391"/>
  <c r="H391" s="1"/>
  <c r="F390"/>
  <c r="H390" s="1"/>
  <c r="F388"/>
  <c r="H388" s="1"/>
  <c r="F385"/>
  <c r="H385" s="1"/>
  <c r="F383"/>
  <c r="H383" s="1"/>
  <c r="F364"/>
  <c r="H364" s="1"/>
  <c r="F362"/>
  <c r="H362" s="1"/>
  <c r="F360"/>
  <c r="H360" s="1"/>
  <c r="F358"/>
  <c r="H358" s="1"/>
  <c r="F356"/>
  <c r="H356" s="1"/>
  <c r="F354"/>
  <c r="H354" s="1"/>
  <c r="F352"/>
  <c r="H352" s="1"/>
  <c r="F350"/>
  <c r="H350" s="1"/>
  <c r="F348"/>
  <c r="H348" s="1"/>
  <c r="F346"/>
  <c r="H346" s="1"/>
  <c r="F344"/>
  <c r="H344" s="1"/>
  <c r="F342"/>
  <c r="H342" s="1"/>
  <c r="F323"/>
  <c r="H323" s="1"/>
  <c r="F321"/>
  <c r="H321" s="1"/>
  <c r="F319"/>
  <c r="H319" s="1"/>
  <c r="F317"/>
  <c r="H317" s="1"/>
  <c r="F315"/>
  <c r="H315" s="1"/>
  <c r="F313"/>
  <c r="H313" s="1"/>
  <c r="F311"/>
  <c r="H311" s="1"/>
  <c r="F309"/>
  <c r="H309" s="1"/>
  <c r="F307"/>
  <c r="H307" s="1"/>
  <c r="F305"/>
  <c r="H305" s="1"/>
  <c r="F303"/>
  <c r="H303" s="1"/>
  <c r="F301"/>
  <c r="H301" s="1"/>
  <c r="F299"/>
  <c r="H299" s="1"/>
  <c r="F280"/>
  <c r="H280" s="1"/>
  <c r="F278"/>
  <c r="H278" s="1"/>
  <c r="F276"/>
  <c r="H276" s="1"/>
  <c r="F274"/>
  <c r="H274" s="1"/>
  <c r="F272"/>
  <c r="H272" s="1"/>
  <c r="F270"/>
  <c r="H270" s="1"/>
  <c r="F268"/>
  <c r="H268" s="1"/>
  <c r="F266"/>
  <c r="H266" s="1"/>
  <c r="F264"/>
  <c r="H264" s="1"/>
  <c r="F262"/>
  <c r="H262" s="1"/>
  <c r="F260"/>
  <c r="H260" s="1"/>
  <c r="F258"/>
  <c r="H258" s="1"/>
  <c r="F239"/>
  <c r="H239" s="1"/>
  <c r="F237"/>
  <c r="H237" s="1"/>
  <c r="F235"/>
  <c r="H235" s="1"/>
  <c r="F233"/>
  <c r="H233" s="1"/>
  <c r="F231"/>
  <c r="H231" s="1"/>
  <c r="F229"/>
  <c r="H229" s="1"/>
  <c r="F227"/>
  <c r="H227" s="1"/>
  <c r="F225"/>
  <c r="H225" s="1"/>
  <c r="F223"/>
  <c r="H223" s="1"/>
  <c r="F221"/>
  <c r="H221" s="1"/>
  <c r="F219"/>
  <c r="H219" s="1"/>
  <c r="F217"/>
  <c r="H217" s="1"/>
  <c r="F215"/>
  <c r="H215" s="1"/>
  <c r="F196"/>
  <c r="H196" s="1"/>
  <c r="F194"/>
  <c r="H194" s="1"/>
  <c r="F192"/>
  <c r="H192" s="1"/>
  <c r="F190"/>
  <c r="H190" s="1"/>
  <c r="F188"/>
  <c r="H188" s="1"/>
  <c r="F186"/>
  <c r="H186" s="1"/>
  <c r="F184"/>
  <c r="H184" s="1"/>
  <c r="F182"/>
  <c r="H182" s="1"/>
  <c r="F180"/>
  <c r="H180" s="1"/>
  <c r="F178"/>
  <c r="H178" s="1"/>
  <c r="F176"/>
  <c r="H176" s="1"/>
  <c r="F174"/>
  <c r="H174" s="1"/>
  <c r="F155"/>
  <c r="H155" s="1"/>
  <c r="F153"/>
  <c r="H153" s="1"/>
  <c r="F151"/>
  <c r="H151" s="1"/>
  <c r="F149"/>
  <c r="H149" s="1"/>
  <c r="F147"/>
  <c r="H147" s="1"/>
  <c r="F145"/>
  <c r="H145" s="1"/>
  <c r="F143"/>
  <c r="H143" s="1"/>
  <c r="F141"/>
  <c r="H141" s="1"/>
  <c r="F139"/>
  <c r="H139" s="1"/>
  <c r="F137"/>
  <c r="H137" s="1"/>
  <c r="F135"/>
  <c r="H135" s="1"/>
  <c r="F133"/>
  <c r="H133" s="1"/>
  <c r="F131"/>
  <c r="H131" s="1"/>
  <c r="F112"/>
  <c r="F110"/>
  <c r="H110" s="1"/>
  <c r="F108"/>
  <c r="H108" s="1"/>
  <c r="F106"/>
  <c r="H106" s="1"/>
  <c r="F104"/>
  <c r="H104" s="1"/>
  <c r="F102"/>
  <c r="H102" s="1"/>
  <c r="F100"/>
  <c r="H100" s="1"/>
  <c r="F98"/>
  <c r="H98" s="1"/>
  <c r="F96"/>
  <c r="H96" s="1"/>
  <c r="F94"/>
  <c r="F92"/>
  <c r="H92" s="1"/>
  <c r="F90"/>
  <c r="H90" s="1"/>
  <c r="F198"/>
  <c r="F156"/>
  <c r="F282"/>
  <c r="F366"/>
  <c r="F114"/>
  <c r="F240"/>
  <c r="F324"/>
  <c r="F408"/>
  <c r="H97"/>
  <c r="H95"/>
  <c r="H93"/>
  <c r="H89"/>
  <c r="H112"/>
  <c r="H111"/>
  <c r="H107"/>
  <c r="H103"/>
  <c r="H99"/>
  <c r="H94"/>
  <c r="F71"/>
  <c r="H71" s="1"/>
  <c r="F69"/>
  <c r="H69" s="1"/>
  <c r="F67"/>
  <c r="H67" s="1"/>
  <c r="F65"/>
  <c r="H65" s="1"/>
  <c r="F63"/>
  <c r="H63" s="1"/>
  <c r="F61"/>
  <c r="H61" s="1"/>
  <c r="F59"/>
  <c r="H59" s="1"/>
  <c r="F57"/>
  <c r="H57" s="1"/>
  <c r="F55"/>
  <c r="H55" s="1"/>
  <c r="F53"/>
  <c r="H53" s="1"/>
  <c r="F51"/>
  <c r="H51" s="1"/>
  <c r="F49"/>
  <c r="H49" s="1"/>
  <c r="F47"/>
  <c r="H47" s="1"/>
  <c r="F29"/>
  <c r="H29" s="1"/>
  <c r="F27"/>
  <c r="H27" s="1"/>
  <c r="F25"/>
  <c r="H25" s="1"/>
  <c r="F23"/>
  <c r="H23" s="1"/>
  <c r="F21"/>
  <c r="H21" s="1"/>
  <c r="F19"/>
  <c r="H19" s="1"/>
  <c r="F17"/>
  <c r="H17" s="1"/>
  <c r="F15"/>
  <c r="H15" s="1"/>
  <c r="F13"/>
  <c r="H13" s="1"/>
  <c r="F11"/>
  <c r="H11" s="1"/>
  <c r="F9"/>
  <c r="H9" s="1"/>
  <c r="F7"/>
  <c r="H7" s="1"/>
  <c r="F5"/>
  <c r="H5" s="1"/>
  <c r="F70"/>
  <c r="H70" s="1"/>
  <c r="F68"/>
  <c r="H68" s="1"/>
  <c r="F66"/>
  <c r="H66" s="1"/>
  <c r="F64"/>
  <c r="H64" s="1"/>
  <c r="F62"/>
  <c r="H62" s="1"/>
  <c r="F60"/>
  <c r="H60" s="1"/>
  <c r="F58"/>
  <c r="H58" s="1"/>
  <c r="F56"/>
  <c r="H56" s="1"/>
  <c r="F54"/>
  <c r="H54" s="1"/>
  <c r="F52"/>
  <c r="H52" s="1"/>
  <c r="F50"/>
  <c r="H50" s="1"/>
  <c r="F48"/>
  <c r="H48" s="1"/>
  <c r="F28"/>
  <c r="H28" s="1"/>
  <c r="F26"/>
  <c r="H26" s="1"/>
  <c r="F24"/>
  <c r="H24" s="1"/>
  <c r="F22"/>
  <c r="H22" s="1"/>
  <c r="F20"/>
  <c r="H20" s="1"/>
  <c r="F18"/>
  <c r="H18" s="1"/>
  <c r="F16"/>
  <c r="H16" s="1"/>
  <c r="F14"/>
  <c r="H14" s="1"/>
  <c r="F12"/>
  <c r="H12" s="1"/>
  <c r="F10"/>
  <c r="H10" s="1"/>
  <c r="F8"/>
  <c r="H8" s="1"/>
  <c r="F6"/>
  <c r="H6" s="1"/>
  <c r="F72"/>
  <c r="F30"/>
  <c r="D22" i="2"/>
  <c r="B24" i="4" s="1"/>
  <c r="D20" i="2"/>
  <c r="B22" i="4" s="1"/>
  <c r="F22" s="1"/>
  <c r="F492" i="5"/>
  <c r="F490"/>
  <c r="H490" s="1"/>
  <c r="F488"/>
  <c r="H488" s="1"/>
  <c r="F486"/>
  <c r="H486" s="1"/>
  <c r="F484"/>
  <c r="H484" s="1"/>
  <c r="F482"/>
  <c r="H482" s="1"/>
  <c r="F480"/>
  <c r="H480" s="1"/>
  <c r="F478"/>
  <c r="H478" s="1"/>
  <c r="F476"/>
  <c r="H476" s="1"/>
  <c r="F474"/>
  <c r="H474" s="1"/>
  <c r="F472"/>
  <c r="H472" s="1"/>
  <c r="F470"/>
  <c r="H470" s="1"/>
  <c r="F468"/>
  <c r="H468" s="1"/>
  <c r="F448"/>
  <c r="H448" s="1"/>
  <c r="F446"/>
  <c r="H446" s="1"/>
  <c r="F444"/>
  <c r="H444" s="1"/>
  <c r="F442"/>
  <c r="H442" s="1"/>
  <c r="F440"/>
  <c r="H440" s="1"/>
  <c r="F438"/>
  <c r="H438" s="1"/>
  <c r="F436"/>
  <c r="H436" s="1"/>
  <c r="F434"/>
  <c r="H434" s="1"/>
  <c r="F432"/>
  <c r="H432" s="1"/>
  <c r="F430"/>
  <c r="H430" s="1"/>
  <c r="F428"/>
  <c r="H428" s="1"/>
  <c r="F426"/>
  <c r="H426" s="1"/>
  <c r="F408"/>
  <c r="F406"/>
  <c r="H406" s="1"/>
  <c r="F404"/>
  <c r="H404" s="1"/>
  <c r="F402"/>
  <c r="H402" s="1"/>
  <c r="F400"/>
  <c r="H400" s="1"/>
  <c r="F398"/>
  <c r="H398" s="1"/>
  <c r="F396"/>
  <c r="H396" s="1"/>
  <c r="F394"/>
  <c r="H394" s="1"/>
  <c r="F392"/>
  <c r="H392" s="1"/>
  <c r="F390"/>
  <c r="H390" s="1"/>
  <c r="F388"/>
  <c r="H388" s="1"/>
  <c r="F386"/>
  <c r="H386" s="1"/>
  <c r="F384"/>
  <c r="H384" s="1"/>
  <c r="F366"/>
  <c r="F364"/>
  <c r="H364" s="1"/>
  <c r="F362"/>
  <c r="H362" s="1"/>
  <c r="F360"/>
  <c r="H360" s="1"/>
  <c r="F358"/>
  <c r="H358" s="1"/>
  <c r="F356"/>
  <c r="H356" s="1"/>
  <c r="F354"/>
  <c r="H354" s="1"/>
  <c r="F352"/>
  <c r="H352" s="1"/>
  <c r="F350"/>
  <c r="H350" s="1"/>
  <c r="F348"/>
  <c r="H348" s="1"/>
  <c r="F346"/>
  <c r="H346" s="1"/>
  <c r="F344"/>
  <c r="H344" s="1"/>
  <c r="F342"/>
  <c r="H342" s="1"/>
  <c r="F324"/>
  <c r="F322"/>
  <c r="H322" s="1"/>
  <c r="F320"/>
  <c r="H320" s="1"/>
  <c r="F318"/>
  <c r="H318" s="1"/>
  <c r="F316"/>
  <c r="H316" s="1"/>
  <c r="F314"/>
  <c r="H314" s="1"/>
  <c r="F312"/>
  <c r="H312" s="1"/>
  <c r="F310"/>
  <c r="H310" s="1"/>
  <c r="F308"/>
  <c r="H308" s="1"/>
  <c r="F306"/>
  <c r="H306" s="1"/>
  <c r="F304"/>
  <c r="H304" s="1"/>
  <c r="F302"/>
  <c r="H302" s="1"/>
  <c r="F300"/>
  <c r="H300" s="1"/>
  <c r="F282"/>
  <c r="F280"/>
  <c r="H280" s="1"/>
  <c r="F278"/>
  <c r="H278" s="1"/>
  <c r="F276"/>
  <c r="H276" s="1"/>
  <c r="F274"/>
  <c r="H274" s="1"/>
  <c r="F272"/>
  <c r="H272" s="1"/>
  <c r="F270"/>
  <c r="H270" s="1"/>
  <c r="F268"/>
  <c r="H268" s="1"/>
  <c r="F266"/>
  <c r="H266" s="1"/>
  <c r="F264"/>
  <c r="H264" s="1"/>
  <c r="F262"/>
  <c r="H262" s="1"/>
  <c r="F260"/>
  <c r="H260" s="1"/>
  <c r="F258"/>
  <c r="H258" s="1"/>
  <c r="F240"/>
  <c r="F238"/>
  <c r="H238" s="1"/>
  <c r="F236"/>
  <c r="H236" s="1"/>
  <c r="F234"/>
  <c r="H234" s="1"/>
  <c r="F232"/>
  <c r="H232" s="1"/>
  <c r="F230"/>
  <c r="H230" s="1"/>
  <c r="F228"/>
  <c r="H228" s="1"/>
  <c r="F226"/>
  <c r="H226" s="1"/>
  <c r="F224"/>
  <c r="H224" s="1"/>
  <c r="F222"/>
  <c r="H222" s="1"/>
  <c r="F220"/>
  <c r="H220" s="1"/>
  <c r="F218"/>
  <c r="H218" s="1"/>
  <c r="F216"/>
  <c r="H216" s="1"/>
  <c r="F198"/>
  <c r="F196"/>
  <c r="H196" s="1"/>
  <c r="F194"/>
  <c r="H194" s="1"/>
  <c r="F192"/>
  <c r="H192" s="1"/>
  <c r="F190"/>
  <c r="H190" s="1"/>
  <c r="F188"/>
  <c r="H188" s="1"/>
  <c r="F186"/>
  <c r="H186" s="1"/>
  <c r="F184"/>
  <c r="H184" s="1"/>
  <c r="F182"/>
  <c r="H182" s="1"/>
  <c r="F180"/>
  <c r="H180" s="1"/>
  <c r="F178"/>
  <c r="H178" s="1"/>
  <c r="F176"/>
  <c r="H176" s="1"/>
  <c r="F174"/>
  <c r="H174" s="1"/>
  <c r="F156"/>
  <c r="F154"/>
  <c r="H154" s="1"/>
  <c r="F153"/>
  <c r="H153" s="1"/>
  <c r="F150"/>
  <c r="H150" s="1"/>
  <c r="F148"/>
  <c r="H148" s="1"/>
  <c r="F146"/>
  <c r="H146" s="1"/>
  <c r="F144"/>
  <c r="H144" s="1"/>
  <c r="F142"/>
  <c r="H142" s="1"/>
  <c r="F140"/>
  <c r="H140" s="1"/>
  <c r="F138"/>
  <c r="H138" s="1"/>
  <c r="F136"/>
  <c r="H136" s="1"/>
  <c r="F134"/>
  <c r="H134" s="1"/>
  <c r="F132"/>
  <c r="H132" s="1"/>
  <c r="F114"/>
  <c r="F112"/>
  <c r="H112" s="1"/>
  <c r="F110"/>
  <c r="H110" s="1"/>
  <c r="F108"/>
  <c r="H108" s="1"/>
  <c r="F106"/>
  <c r="H106" s="1"/>
  <c r="F104"/>
  <c r="H104" s="1"/>
  <c r="F102"/>
  <c r="H102" s="1"/>
  <c r="F100"/>
  <c r="H100" s="1"/>
  <c r="F98"/>
  <c r="H98" s="1"/>
  <c r="F96"/>
  <c r="H96" s="1"/>
  <c r="F94"/>
  <c r="H94" s="1"/>
  <c r="F92"/>
  <c r="H92" s="1"/>
  <c r="F491"/>
  <c r="H491" s="1"/>
  <c r="F489"/>
  <c r="H489" s="1"/>
  <c r="F487"/>
  <c r="H487" s="1"/>
  <c r="F485"/>
  <c r="H485" s="1"/>
  <c r="F483"/>
  <c r="H483" s="1"/>
  <c r="F481"/>
  <c r="H481" s="1"/>
  <c r="F479"/>
  <c r="H479" s="1"/>
  <c r="F477"/>
  <c r="H477" s="1"/>
  <c r="F475"/>
  <c r="H475" s="1"/>
  <c r="F473"/>
  <c r="H473" s="1"/>
  <c r="F471"/>
  <c r="H471" s="1"/>
  <c r="F469"/>
  <c r="H469" s="1"/>
  <c r="F467"/>
  <c r="H467" s="1"/>
  <c r="F449"/>
  <c r="H449" s="1"/>
  <c r="F447"/>
  <c r="H447" s="1"/>
  <c r="F445"/>
  <c r="H445" s="1"/>
  <c r="F443"/>
  <c r="H443" s="1"/>
  <c r="F441"/>
  <c r="H441" s="1"/>
  <c r="F439"/>
  <c r="H439" s="1"/>
  <c r="F437"/>
  <c r="H437" s="1"/>
  <c r="F435"/>
  <c r="H435" s="1"/>
  <c r="F433"/>
  <c r="H433" s="1"/>
  <c r="F431"/>
  <c r="H431" s="1"/>
  <c r="F429"/>
  <c r="H429" s="1"/>
  <c r="F427"/>
  <c r="H427" s="1"/>
  <c r="F425"/>
  <c r="H425" s="1"/>
  <c r="F407"/>
  <c r="H407" s="1"/>
  <c r="F405"/>
  <c r="H405" s="1"/>
  <c r="F403"/>
  <c r="H403" s="1"/>
  <c r="F401"/>
  <c r="H401" s="1"/>
  <c r="F399"/>
  <c r="H399" s="1"/>
  <c r="F397"/>
  <c r="H397" s="1"/>
  <c r="F395"/>
  <c r="H395" s="1"/>
  <c r="F393"/>
  <c r="H393" s="1"/>
  <c r="F391"/>
  <c r="H391" s="1"/>
  <c r="F389"/>
  <c r="H389" s="1"/>
  <c r="F387"/>
  <c r="H387" s="1"/>
  <c r="F385"/>
  <c r="H385" s="1"/>
  <c r="F383"/>
  <c r="H383" s="1"/>
  <c r="F365"/>
  <c r="H365" s="1"/>
  <c r="F363"/>
  <c r="H363" s="1"/>
  <c r="F361"/>
  <c r="H361" s="1"/>
  <c r="F359"/>
  <c r="H359" s="1"/>
  <c r="F357"/>
  <c r="H357" s="1"/>
  <c r="F355"/>
  <c r="H355" s="1"/>
  <c r="F353"/>
  <c r="H353" s="1"/>
  <c r="F351"/>
  <c r="H351" s="1"/>
  <c r="F349"/>
  <c r="H349" s="1"/>
  <c r="F347"/>
  <c r="H347" s="1"/>
  <c r="F345"/>
  <c r="H345" s="1"/>
  <c r="F343"/>
  <c r="H343" s="1"/>
  <c r="F341"/>
  <c r="H341" s="1"/>
  <c r="F323"/>
  <c r="H323" s="1"/>
  <c r="F321"/>
  <c r="H321" s="1"/>
  <c r="F319"/>
  <c r="H319" s="1"/>
  <c r="F317"/>
  <c r="H317" s="1"/>
  <c r="F315"/>
  <c r="H315" s="1"/>
  <c r="F313"/>
  <c r="H313" s="1"/>
  <c r="F311"/>
  <c r="H311" s="1"/>
  <c r="F309"/>
  <c r="H309" s="1"/>
  <c r="F307"/>
  <c r="H307" s="1"/>
  <c r="F305"/>
  <c r="H305" s="1"/>
  <c r="F303"/>
  <c r="H303" s="1"/>
  <c r="F301"/>
  <c r="H301" s="1"/>
  <c r="F299"/>
  <c r="H299" s="1"/>
  <c r="F281"/>
  <c r="H281" s="1"/>
  <c r="F279"/>
  <c r="H279" s="1"/>
  <c r="F277"/>
  <c r="H277" s="1"/>
  <c r="F275"/>
  <c r="H275" s="1"/>
  <c r="F273"/>
  <c r="H273" s="1"/>
  <c r="F271"/>
  <c r="H271" s="1"/>
  <c r="F269"/>
  <c r="H269" s="1"/>
  <c r="F267"/>
  <c r="H267" s="1"/>
  <c r="F265"/>
  <c r="H265" s="1"/>
  <c r="F263"/>
  <c r="H263" s="1"/>
  <c r="F261"/>
  <c r="H261" s="1"/>
  <c r="F259"/>
  <c r="H259" s="1"/>
  <c r="F257"/>
  <c r="H257" s="1"/>
  <c r="F239"/>
  <c r="H239" s="1"/>
  <c r="F237"/>
  <c r="H237" s="1"/>
  <c r="F235"/>
  <c r="H235" s="1"/>
  <c r="F233"/>
  <c r="H233" s="1"/>
  <c r="F231"/>
  <c r="H231" s="1"/>
  <c r="F229"/>
  <c r="H229" s="1"/>
  <c r="F227"/>
  <c r="H227" s="1"/>
  <c r="F225"/>
  <c r="H225" s="1"/>
  <c r="F223"/>
  <c r="H223" s="1"/>
  <c r="F221"/>
  <c r="H221" s="1"/>
  <c r="F219"/>
  <c r="H219" s="1"/>
  <c r="F217"/>
  <c r="H217" s="1"/>
  <c r="F215"/>
  <c r="H215" s="1"/>
  <c r="F197"/>
  <c r="H197" s="1"/>
  <c r="F195"/>
  <c r="H195" s="1"/>
  <c r="F193"/>
  <c r="H193" s="1"/>
  <c r="F191"/>
  <c r="H191" s="1"/>
  <c r="F189"/>
  <c r="H189" s="1"/>
  <c r="F187"/>
  <c r="H187" s="1"/>
  <c r="F185"/>
  <c r="H185" s="1"/>
  <c r="F183"/>
  <c r="H183" s="1"/>
  <c r="F181"/>
  <c r="H181" s="1"/>
  <c r="F179"/>
  <c r="H179" s="1"/>
  <c r="F177"/>
  <c r="H177" s="1"/>
  <c r="F175"/>
  <c r="H175" s="1"/>
  <c r="F173"/>
  <c r="H173" s="1"/>
  <c r="F155"/>
  <c r="H155" s="1"/>
  <c r="F152"/>
  <c r="H152" s="1"/>
  <c r="F151"/>
  <c r="H151" s="1"/>
  <c r="F149"/>
  <c r="H149" s="1"/>
  <c r="F147"/>
  <c r="H147" s="1"/>
  <c r="F145"/>
  <c r="H145" s="1"/>
  <c r="F143"/>
  <c r="H143" s="1"/>
  <c r="F141"/>
  <c r="H141" s="1"/>
  <c r="F139"/>
  <c r="H139" s="1"/>
  <c r="F137"/>
  <c r="H137" s="1"/>
  <c r="F135"/>
  <c r="H135" s="1"/>
  <c r="F133"/>
  <c r="H133" s="1"/>
  <c r="F131"/>
  <c r="H131" s="1"/>
  <c r="F113"/>
  <c r="H113" s="1"/>
  <c r="F111"/>
  <c r="H111" s="1"/>
  <c r="F109"/>
  <c r="H109" s="1"/>
  <c r="F107"/>
  <c r="H107" s="1"/>
  <c r="F105"/>
  <c r="H105" s="1"/>
  <c r="F103"/>
  <c r="H103" s="1"/>
  <c r="F101"/>
  <c r="H101" s="1"/>
  <c r="F99"/>
  <c r="H99" s="1"/>
  <c r="F97"/>
  <c r="H97" s="1"/>
  <c r="F93"/>
  <c r="H93" s="1"/>
  <c r="F90"/>
  <c r="H90" s="1"/>
  <c r="F72"/>
  <c r="F71"/>
  <c r="H71" s="1"/>
  <c r="F68"/>
  <c r="H68" s="1"/>
  <c r="F66"/>
  <c r="H66" s="1"/>
  <c r="F64"/>
  <c r="H64" s="1"/>
  <c r="F62"/>
  <c r="H62" s="1"/>
  <c r="F60"/>
  <c r="H60" s="1"/>
  <c r="F58"/>
  <c r="H58" s="1"/>
  <c r="F56"/>
  <c r="H56" s="1"/>
  <c r="F54"/>
  <c r="H54" s="1"/>
  <c r="F52"/>
  <c r="H52" s="1"/>
  <c r="F50"/>
  <c r="H50" s="1"/>
  <c r="F48"/>
  <c r="H48" s="1"/>
  <c r="F29"/>
  <c r="H29" s="1"/>
  <c r="F27"/>
  <c r="H27" s="1"/>
  <c r="F25"/>
  <c r="H25" s="1"/>
  <c r="F23"/>
  <c r="H23" s="1"/>
  <c r="F21"/>
  <c r="H21" s="1"/>
  <c r="F19"/>
  <c r="H19" s="1"/>
  <c r="F17"/>
  <c r="H17" s="1"/>
  <c r="F15"/>
  <c r="H15" s="1"/>
  <c r="F13"/>
  <c r="H13" s="1"/>
  <c r="F11"/>
  <c r="H11" s="1"/>
  <c r="F9"/>
  <c r="H9" s="1"/>
  <c r="F6"/>
  <c r="H6" s="1"/>
  <c r="F5"/>
  <c r="H5" s="1"/>
  <c r="F95"/>
  <c r="H95" s="1"/>
  <c r="F91"/>
  <c r="H91" s="1"/>
  <c r="F89"/>
  <c r="H89" s="1"/>
  <c r="F70"/>
  <c r="H70" s="1"/>
  <c r="F69"/>
  <c r="H69" s="1"/>
  <c r="F67"/>
  <c r="H67" s="1"/>
  <c r="F65"/>
  <c r="H65" s="1"/>
  <c r="F63"/>
  <c r="H63" s="1"/>
  <c r="F61"/>
  <c r="H61" s="1"/>
  <c r="F59"/>
  <c r="H59" s="1"/>
  <c r="F57"/>
  <c r="H57" s="1"/>
  <c r="F55"/>
  <c r="H55" s="1"/>
  <c r="F53"/>
  <c r="H53" s="1"/>
  <c r="F51"/>
  <c r="H51" s="1"/>
  <c r="F49"/>
  <c r="H49" s="1"/>
  <c r="F47"/>
  <c r="H47" s="1"/>
  <c r="F30"/>
  <c r="F28"/>
  <c r="H28" s="1"/>
  <c r="F26"/>
  <c r="H26" s="1"/>
  <c r="F24"/>
  <c r="H24" s="1"/>
  <c r="F22"/>
  <c r="H22" s="1"/>
  <c r="F20"/>
  <c r="H20" s="1"/>
  <c r="F18"/>
  <c r="H18" s="1"/>
  <c r="F16"/>
  <c r="H16" s="1"/>
  <c r="F14"/>
  <c r="H14" s="1"/>
  <c r="F12"/>
  <c r="H12" s="1"/>
  <c r="F10"/>
  <c r="H10" s="1"/>
  <c r="F8"/>
  <c r="H8" s="1"/>
  <c r="F7"/>
  <c r="H7" s="1"/>
  <c r="F450"/>
  <c r="F81" i="3"/>
  <c r="G14" i="4"/>
  <c r="G35" s="1"/>
  <c r="E35"/>
  <c r="F9"/>
  <c r="D35"/>
  <c r="F35" i="3"/>
  <c r="F24" i="4" l="1"/>
  <c r="B35"/>
  <c r="H156" i="7"/>
  <c r="H324"/>
  <c r="H198"/>
  <c r="H366"/>
  <c r="H240"/>
  <c r="H408"/>
  <c r="H282"/>
  <c r="H114"/>
  <c r="H72"/>
  <c r="H30"/>
  <c r="H156" i="5"/>
  <c r="H240"/>
  <c r="H324"/>
  <c r="H408"/>
  <c r="H114"/>
  <c r="H492"/>
  <c r="H72"/>
  <c r="H30"/>
  <c r="H198"/>
  <c r="H282"/>
  <c r="H366"/>
  <c r="H450"/>
  <c r="F35" i="4"/>
  <c r="D31" i="2"/>
</calcChain>
</file>

<file path=xl/comments1.xml><?xml version="1.0" encoding="utf-8"?>
<comments xmlns="http://schemas.openxmlformats.org/spreadsheetml/2006/main">
  <authors>
    <author>haghani</author>
  </authors>
  <commentList>
    <comment ref="E5" authorId="0">
      <text>
        <r>
          <rPr>
            <b/>
            <sz val="8"/>
            <color indexed="81"/>
            <rFont val="Tahoma"/>
            <family val="2"/>
          </rPr>
          <t xml:space="preserve">1- در اين قسمت مبلغ تبديلي (چنج پول) تقسيم بر دلار يا يوروي پرداختي به صرافي مي شود . مثلأ100 دلار يا يورو داديم و 1500 لير تركيه گرفتيم  . 
پس 1500 تقسيم بر 100 دلار يا يورو  ميشود 15 كه نرج تسعير مي باشد . 
2- اگر نرخ تسعير را بانك داده بود- نرخ تسعير جمع يا تكي - نرخ تسعير را ضربدر مبلغ يورو يا دلار  ميكنيم تا مبلغ ارز محل كه دريافت شده در بيايد .
</t>
        </r>
      </text>
    </comment>
  </commentList>
</comments>
</file>

<file path=xl/comments2.xml><?xml version="1.0" encoding="utf-8"?>
<comments xmlns="http://schemas.openxmlformats.org/spreadsheetml/2006/main">
  <authors>
    <author>user</author>
    <author>haghani</author>
    <author>4280500053</author>
  </authors>
  <commentList>
    <comment ref="B8" authorId="0">
      <text>
        <r>
          <rPr>
            <b/>
            <sz val="8"/>
            <color indexed="81"/>
            <rFont val="Tahoma"/>
            <charset val="178"/>
          </rPr>
          <t>در این قسمت جمع موارد واریزی(دریافتی ها) به بانک را از تاریخ مشخص درج می کنیم.  
تذکر: موجودی اول دوره بانک در اين قسمت (یعنی بدهکار) قرار می گیرد.</t>
        </r>
      </text>
    </comment>
    <comment ref="C8" authorId="0">
      <text>
        <r>
          <rPr>
            <b/>
            <sz val="8"/>
            <color indexed="81"/>
            <rFont val="Tahoma"/>
            <charset val="178"/>
          </rPr>
          <t>در این قسمت جمع خروجی ها(پرداختی ها یا برداشتی ها) از بانک را (از تاریخ مشخص)درج می کنیم .</t>
        </r>
      </text>
    </comment>
    <comment ref="D8" authorId="0">
      <text>
        <r>
          <rPr>
            <b/>
            <sz val="8"/>
            <color indexed="81"/>
            <rFont val="Tahoma"/>
            <charset val="178"/>
          </rPr>
          <t xml:space="preserve">در این قسمت حاصل تفریق بدهکار با بستانکار را درج می کنیم . یعنی موجودی (آخر ين موجودي بانك)حساب بانکی را درج می کنیم. ( این قسمت یعنی مانده آخر تاریخ اعلامی می باشدکه ماهیت بدهکاری را داراست) . </t>
        </r>
      </text>
    </comment>
    <comment ref="D11" authorId="1">
      <text>
        <r>
          <rPr>
            <b/>
            <sz val="8"/>
            <color indexed="81"/>
            <rFont val="Tahoma"/>
            <family val="2"/>
          </rPr>
          <t xml:space="preserve">اين قسمت را در آخر بررسي ميكنيم. </t>
        </r>
      </text>
    </comment>
    <comment ref="E13" authorId="2">
      <text>
        <r>
          <rPr>
            <b/>
            <sz val="8"/>
            <color indexed="81"/>
            <rFont val="Tahoma"/>
          </rPr>
          <t xml:space="preserve">اگر كسي از ما طلبي داشته باشد در بستانكار مي شيند .حال بايستي بالانس بشود با بدهكاري در اينجا يك سرفصل جدا باز ميشود به اسم تعهدات پرداخت نشده (مثلأ به يك نفر كتابي داده ايم ترجمه كند يك قراردادي نوشته شده به مبلغ 100 تومان .اين مبلغ قرارداد در بستانكار مي نشيند و براي بالانس شدن اگر و يا چون پولي پرداخت نشده در يك سرفصل جدا نوشته ميشود تعهدات پرداخت نشده و در بدهكاران مي نشينيد مبلغ 100 تومان ) </t>
        </r>
      </text>
    </comment>
    <comment ref="E26" authorId="2">
      <text>
        <r>
          <rPr>
            <b/>
            <sz val="8"/>
            <color indexed="81"/>
            <rFont val="Tahoma"/>
            <family val="2"/>
          </rPr>
          <t xml:space="preserve">ماهيت بدهكاري و بستانكاري:
كسي كه مالي را ميدهد ميشود بستانكار
كسي هم كه مالي را مي گيرد بدهكار 
حال در اينجا چون مركز، مبلغي را داده است مي شود بستانكار
رايزني هم گيرنده است ميشود بدهكار </t>
        </r>
      </text>
    </comment>
    <comment ref="E29" authorId="0">
      <text>
        <r>
          <rPr>
            <b/>
            <sz val="8"/>
            <color indexed="81"/>
            <rFont val="Tahoma"/>
            <charset val="178"/>
          </rPr>
          <t xml:space="preserve">در این قسمت حاصل جمع مانده موجودی صندوق(تغيير و تحول هم شامل ميشود يعني يك پولي ميخواهد وارد سيستم هزينه شود) و بانک درج می شود . یعنی مانده اول تاریخ اعلامی (اول تاریخ شروع حسابرسی) می باشد که در بستانکار قرار می گیرد تا وارد سیستم مصرف شود </t>
        </r>
      </text>
    </comment>
    <comment ref="B50" authorId="0">
      <text>
        <r>
          <rPr>
            <b/>
            <sz val="8"/>
            <color indexed="81"/>
            <rFont val="Tahoma"/>
            <charset val="178"/>
          </rPr>
          <t>در این قسمت جمع موارد واریزی(دریافتی ها) به بانک را از تاریخ مشخص درج می کنیم.  
تذکر: موجودی اول دوره بانک در اين قسمت (یعنی بدهکار) قرار می گیرد.</t>
        </r>
      </text>
    </comment>
    <comment ref="C50" authorId="0">
      <text>
        <r>
          <rPr>
            <b/>
            <sz val="8"/>
            <color indexed="81"/>
            <rFont val="Tahoma"/>
            <charset val="178"/>
          </rPr>
          <t>در این قسمت جمع خروجی ها(پرداختی ها یا برداشتی ها) از بانک را (از تاریخ مشخص)درج می کنیم .</t>
        </r>
      </text>
    </comment>
    <comment ref="D50" authorId="0">
      <text>
        <r>
          <rPr>
            <b/>
            <sz val="8"/>
            <color indexed="81"/>
            <rFont val="Tahoma"/>
            <charset val="178"/>
          </rPr>
          <t>در این قسمت حاصل تفریق بدهکار با بستانکار را درج می کنیم . یعنی موجودی (آخرين موجودي بانك)حساب بانکی را درج می کنیم. ( این قسمت یعنی مانده آخر ين تاریخ اعلامی می باشدکه ماهیت بدهکاری را داراست) . يعني از بودجه موجود هزينه شده و اين مقدار  باقي مانده است .</t>
        </r>
      </text>
    </comment>
    <comment ref="A53" authorId="1">
      <text>
        <r>
          <rPr>
            <b/>
            <sz val="8"/>
            <color indexed="81"/>
            <rFont val="Tahoma"/>
            <family val="2"/>
          </rPr>
          <t xml:space="preserve">توجه اگر رايزني بيش از حد هزينه(اعتباري) كرده بود (و در بستانكار قرار گرفت.) بايستي جهت انتقال موجودي (بانك و ... ) از بستانكار كسر شود تا به سال بعد و يا دوره بعد انتقال پيدا كند . </t>
        </r>
      </text>
    </comment>
    <comment ref="D53" authorId="1">
      <text>
        <r>
          <rPr>
            <b/>
            <sz val="8"/>
            <color indexed="81"/>
            <rFont val="Tahoma"/>
            <family val="2"/>
          </rPr>
          <t>در اين قسمت اگر هزينه ها كمتر از موجودي بود . رايزن را بدهكار ميكنيم .</t>
        </r>
      </text>
    </comment>
    <comment ref="E53" authorId="1">
      <text>
        <r>
          <rPr>
            <b/>
            <sz val="8"/>
            <color indexed="81"/>
            <rFont val="Tahoma"/>
            <family val="2"/>
          </rPr>
          <t xml:space="preserve">وقتي موجودي صندوق در بستانكار قرار گزفت يعني رايزن بيش از حد هزينه كرده و بستانكار مي باشد . </t>
        </r>
      </text>
    </comment>
    <comment ref="C66" authorId="0">
      <text>
        <r>
          <rPr>
            <b/>
            <sz val="8"/>
            <color indexed="81"/>
            <rFont val="Tahoma"/>
            <charset val="178"/>
          </rPr>
          <t xml:space="preserve">در این قسمت حاصل جمع مانده موجودی صندوق و بانک درج می شود . یعنی مانده اول تاریخ اعلامی (اول تاریخ شروع حسابرسی) می باشد که در بستانکار قرار می گیرد تا وارد سیستم مصرف شود </t>
        </r>
      </text>
    </comment>
    <comment ref="E66" authorId="0">
      <text>
        <r>
          <rPr>
            <b/>
            <sz val="8"/>
            <color indexed="81"/>
            <rFont val="Tahoma"/>
            <charset val="178"/>
          </rPr>
          <t xml:space="preserve">در این قسمت حاصل جمع مانده موجودی صندوق و بانک درج می شود . یعنی مانده اول تاریخ اعلامی (اول تاریخ شروع حسابرسی) می باشد که در بستانکار قرار می گیرد تا وارد سیستم مصرف شود </t>
        </r>
      </text>
    </comment>
  </commentList>
</comments>
</file>

<file path=xl/sharedStrings.xml><?xml version="1.0" encoding="utf-8"?>
<sst xmlns="http://schemas.openxmlformats.org/spreadsheetml/2006/main" count="1096" uniqueCount="535">
  <si>
    <t>رديف</t>
  </si>
  <si>
    <t>مبلغ يورو</t>
  </si>
  <si>
    <t>نرخ تسعير</t>
  </si>
  <si>
    <t>ملاحضات</t>
  </si>
  <si>
    <t>جمع كل</t>
  </si>
  <si>
    <t>شماره چك/نقدي</t>
  </si>
  <si>
    <t>تاريخ</t>
  </si>
  <si>
    <t>تنظيم كننده:</t>
  </si>
  <si>
    <t>حسابرس اعزامي:</t>
  </si>
  <si>
    <t>مصرف اين دوره حسب فهرست هزينه ها:</t>
  </si>
  <si>
    <t>مانده موجودي قابل انتقال به دوره بعد:</t>
  </si>
  <si>
    <t>كد برنامه</t>
  </si>
  <si>
    <t>عنوان برنامه</t>
  </si>
  <si>
    <t>ارز محل</t>
  </si>
  <si>
    <t>يورو</t>
  </si>
  <si>
    <t>جمع به يورو</t>
  </si>
  <si>
    <t>هزينه هاي خارج از مصوب و تخصيص</t>
  </si>
  <si>
    <t xml:space="preserve">     جمع هزينه هاي جاري</t>
  </si>
  <si>
    <t xml:space="preserve">     جمع هزينه هاي فرهنگي</t>
  </si>
  <si>
    <t xml:space="preserve"> تنظيم كننده:</t>
  </si>
  <si>
    <t>شرح حساب</t>
  </si>
  <si>
    <t xml:space="preserve">گردش عمليات مالي </t>
  </si>
  <si>
    <t>بدهكار</t>
  </si>
  <si>
    <t>بستانكار</t>
  </si>
  <si>
    <t>مانده نهايي حساب</t>
  </si>
  <si>
    <t>حساب دريافتي از سازمان بابت بودجه برنامه اي:</t>
  </si>
  <si>
    <t xml:space="preserve">  بانك:</t>
  </si>
  <si>
    <t xml:space="preserve">  تنخواه گردان پرداختي:</t>
  </si>
  <si>
    <t xml:space="preserve">  علي الحساب ها:</t>
  </si>
  <si>
    <t xml:space="preserve">  دو:</t>
  </si>
  <si>
    <t xml:space="preserve">  سه:</t>
  </si>
  <si>
    <t xml:space="preserve">  حساب تسعير يورو به ارز محل</t>
  </si>
  <si>
    <t xml:space="preserve">  هزينه ها:</t>
  </si>
  <si>
    <t xml:space="preserve">  هزينه هاي جاري</t>
  </si>
  <si>
    <t xml:space="preserve">  هزينه هاي فرهنگي</t>
  </si>
  <si>
    <t xml:space="preserve">  هزينه حقوق كاركنان اعزامي از مركز</t>
  </si>
  <si>
    <t xml:space="preserve">  هزينه(1)</t>
  </si>
  <si>
    <t xml:space="preserve">  هزينه(2)</t>
  </si>
  <si>
    <t xml:space="preserve">  بابت بودجه برنامه اي سال جاري</t>
  </si>
  <si>
    <t xml:space="preserve">  حساب وجوه مصرف نشده سنوات قبل</t>
  </si>
  <si>
    <t xml:space="preserve">  جمع كل:</t>
  </si>
  <si>
    <t>حساب سفارت(مانده حساب رايزني نزد سفارت)</t>
  </si>
  <si>
    <t xml:space="preserve">  وام كاركنان محلي(بدهكار)</t>
  </si>
  <si>
    <t>نرخ ميانگين تسعير:</t>
  </si>
  <si>
    <t>حساب دريافتي از محل تسعير يورو به ارز محل:</t>
  </si>
  <si>
    <t xml:space="preserve">  دريافتي ناشي از تسعير يورو به ارز محل </t>
  </si>
  <si>
    <t xml:space="preserve">  يك: بستانكاران(اگر از رايزني طلب داشته باشد)</t>
  </si>
  <si>
    <t>حساب هاي يوروئي</t>
  </si>
  <si>
    <t xml:space="preserve">معادل يورو حساب هاي ارز محل </t>
  </si>
  <si>
    <t>مانده نهايي به يورو</t>
  </si>
  <si>
    <t>درآمد</t>
  </si>
  <si>
    <t xml:space="preserve">  دريافتي بابت درآمد</t>
  </si>
  <si>
    <t xml:space="preserve">  برابر با يك يورو مورد تأئيد است.</t>
  </si>
  <si>
    <t xml:space="preserve">       تراز عمليات تلفيقي (حساب ارز محل و يورو)</t>
  </si>
  <si>
    <t xml:space="preserve"> بانك:</t>
  </si>
  <si>
    <t xml:space="preserve"> حساب يوروئي(1) به شماره </t>
  </si>
  <si>
    <t xml:space="preserve"> تنخواه گردان پرداخت:</t>
  </si>
  <si>
    <t xml:space="preserve"> علي الحساب ها:</t>
  </si>
  <si>
    <t xml:space="preserve"> علي الحساب سه</t>
  </si>
  <si>
    <t xml:space="preserve"> وام كاركنان محلي</t>
  </si>
  <si>
    <t xml:space="preserve"> حساب سفارت</t>
  </si>
  <si>
    <t xml:space="preserve"> حساب تسعير يورو به ارز محل</t>
  </si>
  <si>
    <t xml:space="preserve"> حساب دريافتي ناشي از تسعير يورو به ارز محل</t>
  </si>
  <si>
    <t xml:space="preserve"> هزينه ها:</t>
  </si>
  <si>
    <t xml:space="preserve"> هزينه هاي جاري</t>
  </si>
  <si>
    <t xml:space="preserve"> هزينه هاي فرهنگي</t>
  </si>
  <si>
    <t xml:space="preserve"> هزينه حقوق كاركنان اعزامي از مركز</t>
  </si>
  <si>
    <t xml:space="preserve"> هزينه يك</t>
  </si>
  <si>
    <t xml:space="preserve"> هزينه دو</t>
  </si>
  <si>
    <t xml:space="preserve"> هزينه خريد خودرو</t>
  </si>
  <si>
    <t xml:space="preserve"> هزينه هاي واخواهي شده</t>
  </si>
  <si>
    <t xml:space="preserve"> حساب دريافتي از سازمان بابت بودجه برنامه اي </t>
  </si>
  <si>
    <t xml:space="preserve"> بابت بودجه برنامه اي سال جاري</t>
  </si>
  <si>
    <t xml:space="preserve"> بابت(1) بودجه ساير ادارات</t>
  </si>
  <si>
    <t xml:space="preserve"> حساب وجوه مصرف نشده سنوات قبل</t>
  </si>
  <si>
    <t xml:space="preserve"> دريافتي بابت درآمد</t>
  </si>
  <si>
    <t>شرح</t>
  </si>
  <si>
    <t>تارخ سند</t>
  </si>
  <si>
    <t xml:space="preserve">جمع به يورو </t>
  </si>
  <si>
    <t>سند</t>
  </si>
  <si>
    <t>رايزن فرهنگي:</t>
  </si>
  <si>
    <t>15/15/91</t>
  </si>
  <si>
    <t>هزينه بانكي(كارمزد)</t>
  </si>
  <si>
    <t>معادل به يورو</t>
  </si>
  <si>
    <t>هزينه آب برق گاز و ساير سوخت ها</t>
  </si>
  <si>
    <t>تعمير و نگهداري خودرو</t>
  </si>
  <si>
    <t>ترميم و نگهداري جزئي ساختمان</t>
  </si>
  <si>
    <t>حمل و نقل و ارتباطات</t>
  </si>
  <si>
    <t>تلفن،فاكس و اينترنت</t>
  </si>
  <si>
    <t>كمك هزينه درمان و بيمه كاركنان</t>
  </si>
  <si>
    <t>هزينه هاي پيش بيني نشده</t>
  </si>
  <si>
    <t>نرخ تسعير:</t>
  </si>
  <si>
    <t>حقوق،بازخريدي و...كاركنان بومي</t>
  </si>
  <si>
    <t>هزينه بانكي</t>
  </si>
  <si>
    <t>تلفن ، فاكس و اينترنت</t>
  </si>
  <si>
    <t>برگزاري جشن نوروز</t>
  </si>
  <si>
    <t>هزينه جاري:بانكي(كارمزد)</t>
  </si>
  <si>
    <t>هزينه جاري:حقوق، بازخريدي و...كاركنان بومي</t>
  </si>
  <si>
    <t>هزينه جاري:هزينه آب برق گاز و ساير سوخت ها</t>
  </si>
  <si>
    <t>هزينه جاري:تعمير و نگهداري خودرو</t>
  </si>
  <si>
    <t>هزينه جاري:ترميم و نگهداري جزئي ساختمان</t>
  </si>
  <si>
    <t>هزينه جاري:حمل و نقل و ارتباطات</t>
  </si>
  <si>
    <t>هزينه جاري:تلفن،فاكس و اينترنت</t>
  </si>
  <si>
    <t>هزينه جاري:كمك هزينه درمان و بيمه كاركنان</t>
  </si>
  <si>
    <t>هزينه هاي جاري: خارج از مصوب و تخصيص</t>
  </si>
  <si>
    <t>هزينه هاي جاري: پيش بيني نشده</t>
  </si>
  <si>
    <t>هزينه يك:برگزاري جشن نوروز</t>
  </si>
  <si>
    <t>هزينه فرهنگي يك: برگزاري جشن نوروز</t>
  </si>
  <si>
    <t>ردیف</t>
  </si>
  <si>
    <t>نام و نام خانوادگی</t>
  </si>
  <si>
    <t>توضیحات</t>
  </si>
  <si>
    <t>ارقام: به يورو</t>
  </si>
  <si>
    <t>شماره سند</t>
  </si>
  <si>
    <t>شماره حواله</t>
  </si>
  <si>
    <t>تاريخ حواله</t>
  </si>
  <si>
    <t>بودجه ارسالي</t>
  </si>
  <si>
    <t>بودجه واريز شده به حساب</t>
  </si>
  <si>
    <t>كارمزد بانكي</t>
  </si>
  <si>
    <t xml:space="preserve">جمع كل </t>
  </si>
  <si>
    <t xml:space="preserve"> حساب ارز محل(1) به شماره</t>
  </si>
  <si>
    <t xml:space="preserve"> حساب ارز محل(2) به شماره</t>
  </si>
  <si>
    <t xml:space="preserve"> حساب يوروئي(2) به شماره </t>
  </si>
  <si>
    <t xml:space="preserve"> موجودي صندوق</t>
  </si>
  <si>
    <t xml:space="preserve">  حساب(جاري1) ارز محل به شماره</t>
  </si>
  <si>
    <t xml:space="preserve">  حساب(جاري2) ارز محل به شماره</t>
  </si>
  <si>
    <t xml:space="preserve">  موجودي صندوق ارز محل</t>
  </si>
  <si>
    <t xml:space="preserve">  مانده موجودي نقل از دوره قبل(صندوق+بانك)</t>
  </si>
  <si>
    <t xml:space="preserve">  حساب(جاري1) يورويي به شماره</t>
  </si>
  <si>
    <t xml:space="preserve">  حساب(جاري2) يورويي به شماره</t>
  </si>
  <si>
    <t xml:space="preserve">  موجودي صندوق</t>
  </si>
  <si>
    <t xml:space="preserve">  بابت(1)علي الحساب دريافتي از مركز...</t>
  </si>
  <si>
    <t>مصوب</t>
  </si>
  <si>
    <t>انحراف</t>
  </si>
  <si>
    <t>شرح برنامه</t>
  </si>
  <si>
    <t xml:space="preserve">  سه: پيش پرداخت</t>
  </si>
  <si>
    <t xml:space="preserve">ردیف </t>
  </si>
  <si>
    <t xml:space="preserve">کد برنامه </t>
  </si>
  <si>
    <t xml:space="preserve">عنوان هزینه </t>
  </si>
  <si>
    <t xml:space="preserve">بودجه </t>
  </si>
  <si>
    <t xml:space="preserve">هزینه </t>
  </si>
  <si>
    <t>معادل</t>
  </si>
  <si>
    <t>هزینه</t>
  </si>
  <si>
    <t>جمع عملکرد</t>
  </si>
  <si>
    <t>بودجه</t>
  </si>
  <si>
    <t>یوروئی هزینه</t>
  </si>
  <si>
    <t xml:space="preserve">به یورو </t>
  </si>
  <si>
    <t xml:space="preserve">هزینه  </t>
  </si>
  <si>
    <t>تخصیص</t>
  </si>
  <si>
    <t xml:space="preserve">هزینه های پیش بینی نشده در امور فرهنگی و جاری </t>
  </si>
  <si>
    <t>هزينه های تعمير و نگهداري اماكن و وسايل اداري</t>
  </si>
  <si>
    <t>هزینه های  تعمير و نگهداري خودرو</t>
  </si>
  <si>
    <t xml:space="preserve">هزينه آب؛برق؛گاز؛وسایر سوختها </t>
  </si>
  <si>
    <t xml:space="preserve">هزینه های بانکی و پست </t>
  </si>
  <si>
    <t xml:space="preserve">خرید اقلام مصرفی و پذیرائی </t>
  </si>
  <si>
    <t xml:space="preserve">حمل نقل و ارتباطات </t>
  </si>
  <si>
    <t xml:space="preserve">کمک هزینه درمان وبیمه کارکنان </t>
  </si>
  <si>
    <t xml:space="preserve">حقوق اعزامی از مرکز </t>
  </si>
  <si>
    <t xml:space="preserve">علی الحساب حقوق کارکنان محلی </t>
  </si>
  <si>
    <t xml:space="preserve">هزینه اجاره ساختمان مرکز آموزش </t>
  </si>
  <si>
    <t xml:space="preserve">علی الحساب حقوق کارکنان اعزامی  </t>
  </si>
  <si>
    <t xml:space="preserve">جمع کل هزینه های جاری و حقوق </t>
  </si>
  <si>
    <t xml:space="preserve">به ارز محل </t>
  </si>
  <si>
    <t>رایزن فرهنگی جمهوری اسلامی ایران در تركمنستان</t>
  </si>
  <si>
    <t>تعداد سند به برگ</t>
  </si>
  <si>
    <t>هزینه تلفن ؛ فکس ؛ واينترنت</t>
  </si>
  <si>
    <t>تسعير:</t>
  </si>
  <si>
    <t>بنزین خودروهای رایزنی در سال 91</t>
  </si>
  <si>
    <t>5 روز</t>
  </si>
  <si>
    <t>6 روز</t>
  </si>
  <si>
    <t>هزينه جاري:خريد اقلام مصرفي و پذیرائی</t>
  </si>
  <si>
    <t>خريد اقلام مصرفي و پذیرائی</t>
  </si>
  <si>
    <t>2 روز</t>
  </si>
  <si>
    <t>8 روز</t>
  </si>
  <si>
    <t>91/4/9</t>
  </si>
  <si>
    <t>خرید غذا برای آقای مومیوند</t>
  </si>
  <si>
    <t>خرید لوازم التحریر</t>
  </si>
  <si>
    <t xml:space="preserve">3 روز </t>
  </si>
  <si>
    <t>خرید لوازم بهداشتی</t>
  </si>
  <si>
    <t>91/8/1</t>
  </si>
  <si>
    <t>غذای مهمانان رایزنی</t>
  </si>
  <si>
    <t>خرید آب برای رایزنی</t>
  </si>
  <si>
    <t xml:space="preserve">خرید ترانس مهتابی </t>
  </si>
  <si>
    <t>91/12/23</t>
  </si>
  <si>
    <t>91/12/25</t>
  </si>
  <si>
    <t>91/8/24</t>
  </si>
  <si>
    <t>پذیرایی از آقای خان احمدی وهمراه</t>
  </si>
  <si>
    <t>91/11/19</t>
  </si>
  <si>
    <t>غذای آقای خان احمدی وهمراه</t>
  </si>
  <si>
    <t xml:space="preserve">هزینه خرید کتاب </t>
  </si>
  <si>
    <t>91/8/16</t>
  </si>
  <si>
    <t>91/9/30</t>
  </si>
  <si>
    <t>لباس برای آقای غلام دادیف وایرا نساء</t>
  </si>
  <si>
    <t xml:space="preserve">4 روز </t>
  </si>
  <si>
    <t xml:space="preserve">هزینه اشتراک روزنامه ومجلات </t>
  </si>
  <si>
    <t xml:space="preserve">شارژ تونر دستگاه کپی اتاق آموزش </t>
  </si>
  <si>
    <t>شارژ تونر دستگاه کپی دفتر رایزن</t>
  </si>
  <si>
    <t>شارژ تونر دستگاه کپی اتاق آموزش</t>
  </si>
  <si>
    <t>تعویض ویندوز ونصب اسکن و پرینتر</t>
  </si>
  <si>
    <t>تعمیر وسرویس کامپیوتر اتاق آموزش</t>
  </si>
  <si>
    <r>
      <t xml:space="preserve">خرید </t>
    </r>
    <r>
      <rPr>
        <b/>
        <sz val="12"/>
        <color theme="1"/>
        <rFont val="Times New Roman"/>
        <family val="1"/>
      </rPr>
      <t>DVD</t>
    </r>
    <r>
      <rPr>
        <b/>
        <sz val="12"/>
        <color theme="1"/>
        <rFont val="Nazanin"/>
      </rPr>
      <t xml:space="preserve"> خام برای رایزنی </t>
    </r>
  </si>
  <si>
    <t>91/10/26</t>
  </si>
  <si>
    <t>91/12/16</t>
  </si>
  <si>
    <t>91/9/1</t>
  </si>
  <si>
    <t>91/12/6</t>
  </si>
  <si>
    <t>91/11/27</t>
  </si>
  <si>
    <t>91/12/27</t>
  </si>
  <si>
    <t>کد:911321413</t>
  </si>
  <si>
    <t>کد:911321417</t>
  </si>
  <si>
    <t>لیست پرداخت حقوق کارکنان در مهر ماه 91</t>
  </si>
  <si>
    <t>لیست پرداخت حقوق کارکنان در آبان ماه 91</t>
  </si>
  <si>
    <t>لیست پرداخت حقوق کارکنان در آذر ماه 91</t>
  </si>
  <si>
    <t>لیست پرداخت حقوق کارکنان در دی ماه 91</t>
  </si>
  <si>
    <t>لیست پرداخت حقوق کارکنان در بهمن ماه 91</t>
  </si>
  <si>
    <t>لیست پرداخت حقوق کارکنان در اسفند ماه 91</t>
  </si>
  <si>
    <t>لیست پرداخت پاداش کارکنان در پایان سال 91</t>
  </si>
  <si>
    <t>لیست پرداخت اضافه کارکارکنان سه ماهه دوم  91</t>
  </si>
  <si>
    <t>لیست پرداخت اضافه کارکارکنان سه ماهه سوم 91</t>
  </si>
  <si>
    <t>لیست پرداخت اضافه کارکارکنان سه ماهه چهارم  91</t>
  </si>
  <si>
    <t>حق الزحمه آقای آزاد کارمند کامپیوتر موقت</t>
  </si>
  <si>
    <t>حق الزحمه محمد عباس اف کامپیوتر موقت</t>
  </si>
  <si>
    <t>حق الزحمه عظیم دوست محمد راننده موقت</t>
  </si>
  <si>
    <t>91/7/30</t>
  </si>
  <si>
    <t>91/8/30</t>
  </si>
  <si>
    <t>91/10/30</t>
  </si>
  <si>
    <t>91/11/30</t>
  </si>
  <si>
    <t>91/12/30</t>
  </si>
  <si>
    <t>91/6/30</t>
  </si>
  <si>
    <t>91/9/20</t>
  </si>
  <si>
    <t>91/9/6</t>
  </si>
  <si>
    <t>91/9/29</t>
  </si>
  <si>
    <t>91/9/2</t>
  </si>
  <si>
    <t xml:space="preserve">کد: 911321411 </t>
  </si>
  <si>
    <t>باز خریدی آقای فرهاد سقلی</t>
  </si>
  <si>
    <t>کد:9113214159</t>
  </si>
  <si>
    <t>تعویض برف پاکن های خودرو لندکروز</t>
  </si>
  <si>
    <t>تعویض سویچ خودرو لندکروز</t>
  </si>
  <si>
    <t xml:space="preserve">کد:911321416 </t>
  </si>
  <si>
    <t>91/8/22</t>
  </si>
  <si>
    <t>91/9/9</t>
  </si>
  <si>
    <t xml:space="preserve">هزینه تلفن رایزنی در مهر ماه 91 </t>
  </si>
  <si>
    <t>هزینه تلفن رایزنی در آبان ماه 91</t>
  </si>
  <si>
    <t>هزینه تلفن رایزنی در آذر ماه 91</t>
  </si>
  <si>
    <t>هزینه تلفن رایزنی در دی ماه 91</t>
  </si>
  <si>
    <t>هزینه تلفن رایزنی در بهمن ماه 91</t>
  </si>
  <si>
    <t>هزینه تلفن رایزنی در اسفند 91</t>
  </si>
  <si>
    <t>هزینه آبانماه تلفن رایزنی در مهر ماه 91</t>
  </si>
  <si>
    <t>هزینه آبانماه تلفن رایزنی در آبان وآذر ماه 91</t>
  </si>
  <si>
    <t>هزینه اینترنت رایزنی در مهرماه 91</t>
  </si>
  <si>
    <t>هزینه اینترنت رایزنی در آبان وآذر ماه 91</t>
  </si>
  <si>
    <t>هزینه اینترنت رایزنی در دی ماه 91</t>
  </si>
  <si>
    <t>هزینه اینترنت رایزنی در بهمن ماه 91</t>
  </si>
  <si>
    <t>پرداخت هزینه اینترنت رایزنی در اسفند 91</t>
  </si>
  <si>
    <t>92/1/30</t>
  </si>
  <si>
    <t>92/11/30</t>
  </si>
  <si>
    <t>91/1/30</t>
  </si>
  <si>
    <t>91/10/28</t>
  </si>
  <si>
    <t>92/3/28</t>
  </si>
  <si>
    <t>کد:911321419</t>
  </si>
  <si>
    <t>هزینه درمان آقای غلام دادیف</t>
  </si>
  <si>
    <t>هزینه درمان همسرآقای نعمتی زاده</t>
  </si>
  <si>
    <t>هزینه درمان آقای فرهاد سقلی</t>
  </si>
  <si>
    <t>هزینه درمان خانم نساء میرزاعلیوا</t>
  </si>
  <si>
    <t>هزینه درمان آقای یوسف دادیف</t>
  </si>
  <si>
    <t>هزینه درمان فرزند آقای اسماعیل زاده</t>
  </si>
  <si>
    <t>هزینه درمان فرزندان آقای نعمتی زاده</t>
  </si>
  <si>
    <t>هزینه درمان همسر آقای نعمتی زاده</t>
  </si>
  <si>
    <t>91/7/20</t>
  </si>
  <si>
    <t>91/8/29</t>
  </si>
  <si>
    <t>91/9/16</t>
  </si>
  <si>
    <t>91/10/7</t>
  </si>
  <si>
    <t>91/10/19</t>
  </si>
  <si>
    <t>91/10/24</t>
  </si>
  <si>
    <t>91/10/27</t>
  </si>
  <si>
    <t>91/11/3</t>
  </si>
  <si>
    <t>91/12/14</t>
  </si>
  <si>
    <t>91/12/22</t>
  </si>
  <si>
    <t>کد:911321412</t>
  </si>
  <si>
    <t>هزينه جاري: کمک هزینه تحصیلی فرزندان</t>
  </si>
  <si>
    <t>کمک هزینه تحصیلی فرزندان</t>
  </si>
  <si>
    <t>هزينه سه: تعمیر و تجهیز مساجد</t>
  </si>
  <si>
    <t>هزينه فرهنگي سه: تعمیر و تجهیز مساجد</t>
  </si>
  <si>
    <t>کد:9113214144</t>
  </si>
  <si>
    <t>هزينه چهار:برگزاری همایش امام رضاع</t>
  </si>
  <si>
    <t>هزينه فرهنگي چهار:برگزاری همایش امام رضاع</t>
  </si>
  <si>
    <t xml:space="preserve">کد:9113214130 </t>
  </si>
  <si>
    <t xml:space="preserve">حق الزحمه همکاری 4 نفر در برگزاری همایش امام رضا (ع) در مرو </t>
  </si>
  <si>
    <t>91/7/7</t>
  </si>
  <si>
    <t>هزينه پنج:ترجمه و انتشار کتابي در باره امام رضا (ع)</t>
  </si>
  <si>
    <t>هزينه فرهنگي پنج:ترجمه و انتشار کتابي در باره امام رضا (ع)</t>
  </si>
  <si>
    <t>هزینه چاپ کتاب (مهربانترین پناه )</t>
  </si>
  <si>
    <t xml:space="preserve">کد:9113214141        </t>
  </si>
  <si>
    <t>هزينه شش:ترجمه وانتشار نهج البلاغه</t>
  </si>
  <si>
    <t>هزينه فرهنگي شش:ترجمه وانتشار نهج البلاغه</t>
  </si>
  <si>
    <t>کد:9113214153</t>
  </si>
  <si>
    <t>قرارداد ترجمه خانم نورگزل</t>
  </si>
  <si>
    <t>قرارداد ویرایش آقای شاهمراد</t>
  </si>
  <si>
    <t>91/12/8</t>
  </si>
  <si>
    <t>هزينه هفت:حمايت از فعاليتهاي ديني وتبليغي</t>
  </si>
  <si>
    <t>هزينه فرهنگي هفت:حمايت از فعاليتهاي ديني وتبليغي</t>
  </si>
  <si>
    <t>کد:9113214133</t>
  </si>
  <si>
    <t>کمک به مراسم مذهبی در مرو (محمد حسین اف)</t>
  </si>
  <si>
    <t>حق الزحمه امور دینی (رستمعلی عباس اف)</t>
  </si>
  <si>
    <t>91/9/22</t>
  </si>
  <si>
    <t>91/10/25</t>
  </si>
  <si>
    <t>91/12/12</t>
  </si>
  <si>
    <t>91/10/1</t>
  </si>
  <si>
    <t>91/12/19</t>
  </si>
  <si>
    <t>هزينه هشت:حمايت از خادمين زبان و ادبيات فارسي</t>
  </si>
  <si>
    <t>هزينه فرهنگي هشت:حمايت از خادمين زبان و ادبيات فارسي</t>
  </si>
  <si>
    <t>کد:9113214147</t>
  </si>
  <si>
    <t xml:space="preserve">کمک به خانواده مرحوم دکتر قندیم </t>
  </si>
  <si>
    <t>حمایت از خادمین زبان فارسی (خانم غلامحسین)</t>
  </si>
  <si>
    <t>رايزني فرهنگي ج.ا.ايران در: ترکمنستان</t>
  </si>
  <si>
    <t xml:space="preserve">هزينه نه:برگزاري 4 دوره (ترم) آموزش زبان فارسي </t>
  </si>
  <si>
    <t xml:space="preserve">هزينه فرهنگي نه:برگزاري 4 دوره (ترم) آموزش زبان فارسي </t>
  </si>
  <si>
    <t xml:space="preserve">کد:9113214145    </t>
  </si>
  <si>
    <t>لیست حقوق معلمان زبان فارسی در آبان 91</t>
  </si>
  <si>
    <t>لیست حقوق معلمان زبان فارسی در آذر 91</t>
  </si>
  <si>
    <t>لیست حقوق معلمان زبان فارسی در دی 91</t>
  </si>
  <si>
    <t>لیست حقوق معلمان زبان فارسی در بهمن 91</t>
  </si>
  <si>
    <t>لیست حقوق معلمان زبان فارسی در اسفند 91</t>
  </si>
  <si>
    <t>لیست حقوق سه نفر بخش آموزش در مهر 91</t>
  </si>
  <si>
    <t>لیست حقوق سه نفر بخش آموزش در آبان 91</t>
  </si>
  <si>
    <t>لیست حقوق سه نفر بخش آموزش در آذر 91</t>
  </si>
  <si>
    <t>لیست حقوق سه نفر بخش آموزش در دی 91</t>
  </si>
  <si>
    <t>لیست حقوق سه نفر بخش آموزش در بهمن 91</t>
  </si>
  <si>
    <t>لیست حقوق سه نفر بخش آموزش در اسفند 91</t>
  </si>
  <si>
    <t>هزينه ده:برگزاري مراسم و مناسبت هاي ديني و مذهبي</t>
  </si>
  <si>
    <t>هزينه فرهنگي ده:برگزاري مراسم و مناسبت هاي ديني و مذهبي</t>
  </si>
  <si>
    <t>رايزني فرهنگي ج.ا.ايران در:ترکمنستان</t>
  </si>
  <si>
    <t>کد:9113214126</t>
  </si>
  <si>
    <t>خرید غذا برای وهاب زاده مبلغ اعزامی</t>
  </si>
  <si>
    <t>91/9/7</t>
  </si>
  <si>
    <t>شیرینی عید قربان</t>
  </si>
  <si>
    <t>حق الزحمه مراسم عید غدیرآقای نادر علی اف</t>
  </si>
  <si>
    <t>عدس شام ولادت حضرت رسول (ص)</t>
  </si>
  <si>
    <t>91/8/5</t>
  </si>
  <si>
    <t>91/8/12</t>
  </si>
  <si>
    <t>91/8/4</t>
  </si>
  <si>
    <t>91/8/10</t>
  </si>
  <si>
    <t>دعای کمیل</t>
  </si>
  <si>
    <t>غذای محرم</t>
  </si>
  <si>
    <t xml:space="preserve">6 روز </t>
  </si>
  <si>
    <t xml:space="preserve">غذای روز اربعین </t>
  </si>
  <si>
    <t>غذای روز رحلت حضرت رسول (ص)</t>
  </si>
  <si>
    <t>غذای روز شهادت امام رضا (ع)</t>
  </si>
  <si>
    <t>غذای روز ولادت حضرت رسول (ص)</t>
  </si>
  <si>
    <t>حق الزحمه پخت غذای ولادت پیامبرخانم معصومه</t>
  </si>
  <si>
    <t>حق الزحمه پخت غذای ولادت پیامبرخانم مایا</t>
  </si>
  <si>
    <t>حق الزحمه پخت غذای ولادت پیامبرخانم ناتالی</t>
  </si>
  <si>
    <t>91/10/14</t>
  </si>
  <si>
    <t>91/10/22</t>
  </si>
  <si>
    <t>91/10/23</t>
  </si>
  <si>
    <t>91/11/9</t>
  </si>
  <si>
    <t>91/11/13</t>
  </si>
  <si>
    <t>کد:9113214111</t>
  </si>
  <si>
    <t>91/8/26</t>
  </si>
  <si>
    <t>رايزني فرهنگي ج.ا.ايران در::ترکمنستان</t>
  </si>
  <si>
    <t xml:space="preserve">     رايزني فرهنگي جمهوري اسلامي ايران در : ترکمنستان</t>
  </si>
  <si>
    <t>هزینه ویزا وهاب زاده (دلار)</t>
  </si>
  <si>
    <t>مزد چایخانه وپخت غذای شبهای محرم خانم مایا-معصومه-المیرا-ولادمیر(دلار)</t>
  </si>
  <si>
    <t>کمک به مراسم مذهبی در مرو (محمد حسین اف)دلار</t>
  </si>
  <si>
    <t>حق الزحمه همکاری در برگزاری مراسم محرم (نادر علیف)دلار</t>
  </si>
  <si>
    <t>حق الزحمه همکاری در برگزاری مراسم اربعین و 28 صفر (نادر علیف)دلار</t>
  </si>
  <si>
    <t>حق الزحمه امور دینی (رستمعلی عباس اف)دلار</t>
  </si>
  <si>
    <t>کمک به مسجد امام رضا (ع) (نادر علیف)دلار</t>
  </si>
  <si>
    <t>کمک به مسجد (محمد حسین اف)دلار</t>
  </si>
  <si>
    <t xml:space="preserve">هزینه تحصیلی فرزندان آقای میرمحمدی(دلار) </t>
  </si>
  <si>
    <t>هزينه:حقوق، بازخريدي و...كاركنان بومي</t>
  </si>
  <si>
    <t>هزينه:خريد اقلام مصرفي و پذیرائی</t>
  </si>
  <si>
    <t>هزينه:هزينه آب برق گاز و ساير سوخت ها</t>
  </si>
  <si>
    <t>هزينه:تعمير و نگهداري خودرو</t>
  </si>
  <si>
    <t>هزينه: کمک هزینه تحصیلی فرزندان</t>
  </si>
  <si>
    <t xml:space="preserve">       حسابرس اعزامي:  سعید حقانی</t>
  </si>
  <si>
    <t xml:space="preserve">               حسابرس اعزامي: سعید حقانی</t>
  </si>
  <si>
    <t>حسابرس اعزامي: سعید حقانی</t>
  </si>
  <si>
    <t>رايزن فرهنگي:  آقای اسماعیل زاده</t>
  </si>
  <si>
    <t xml:space="preserve">حسابرس اعزامي: سعید حقانی </t>
  </si>
  <si>
    <t>رايزن فرهنگي: آقای اسماعیل زاده</t>
  </si>
  <si>
    <t>911321411 9113214159</t>
  </si>
  <si>
    <r>
      <t xml:space="preserve">ليست كلي هزينه هاي </t>
    </r>
    <r>
      <rPr>
        <b/>
        <sz val="13"/>
        <color rgb="FFFF0000"/>
        <rFont val="Calibri"/>
        <family val="2"/>
        <scheme val="minor"/>
      </rPr>
      <t>جاري</t>
    </r>
    <r>
      <rPr>
        <b/>
        <sz val="13"/>
        <color theme="1"/>
        <rFont val="Calibri"/>
        <family val="2"/>
        <scheme val="minor"/>
      </rPr>
      <t xml:space="preserve"> رايزني فرهنگي ج.ا.ايران در ترکمنستان -عشق آباد</t>
    </r>
  </si>
  <si>
    <r>
      <t xml:space="preserve">ليست كلي هزينه هاي </t>
    </r>
    <r>
      <rPr>
        <b/>
        <sz val="13"/>
        <color rgb="FFFF0000"/>
        <rFont val="Calibri"/>
        <family val="2"/>
        <scheme val="minor"/>
      </rPr>
      <t>فرهنگي</t>
    </r>
    <r>
      <rPr>
        <b/>
        <sz val="13"/>
        <color theme="1"/>
        <rFont val="Calibri"/>
        <family val="2"/>
        <scheme val="minor"/>
      </rPr>
      <t xml:space="preserve"> رايزني فرهنگي ج.ا.ايران در ترکمنستان -عشق آباد</t>
    </r>
  </si>
  <si>
    <t>آقای اسماعیل زاده</t>
  </si>
  <si>
    <t>مبلغ دلار</t>
  </si>
  <si>
    <t>سعید حقانی</t>
  </si>
  <si>
    <t>رايزني فرهنگي ج .ا.ا: آقای اسماعیل زاده</t>
  </si>
  <si>
    <t>تبديلي به: منات</t>
  </si>
  <si>
    <t>تبديلي به: دلار</t>
  </si>
  <si>
    <t xml:space="preserve">     حسابرس اعزامي: سعید حقانی</t>
  </si>
  <si>
    <t>رايزني فرهنگي ج.ا.ايران در ترکمنستان</t>
  </si>
  <si>
    <t>حقوق نعمتی زاده</t>
  </si>
  <si>
    <t>حقوق اسماعیل زاده</t>
  </si>
  <si>
    <t>حقوق میرمحمدی</t>
  </si>
  <si>
    <t>جاری و فرهنگی</t>
  </si>
  <si>
    <t>بازخریدی پرویز میرزآاف</t>
  </si>
  <si>
    <t>بازخریدی رشید عباس اف</t>
  </si>
  <si>
    <t>بازخریدی فرهاد سقلی</t>
  </si>
  <si>
    <t>جشن نوروز</t>
  </si>
  <si>
    <t>84/26679</t>
  </si>
  <si>
    <t>84/26827</t>
  </si>
  <si>
    <t>84/26949</t>
  </si>
  <si>
    <t>91/11/14</t>
  </si>
  <si>
    <t>91/12/13</t>
  </si>
  <si>
    <t>92/1/10</t>
  </si>
  <si>
    <t>حسابرس اعزامي از مركز: سعید حقانی</t>
  </si>
  <si>
    <t>رايزن فرهنگي ج.ا. ايران در ترکمستان</t>
  </si>
  <si>
    <t xml:space="preserve">          بدينوسيله گواهي مي شود مبالغ فوق الذكر بابت بودجه جاري و فرهنگي تحویلی به نمايندگي فرهنگی ج .ا.ایران در ترکمنستان</t>
  </si>
  <si>
    <t xml:space="preserve">حقوق کارکنان محلی و بازخریدی رایزنی </t>
  </si>
  <si>
    <r>
      <t xml:space="preserve">صورت خلاصه هزینه های </t>
    </r>
    <r>
      <rPr>
        <b/>
        <sz val="20"/>
        <color rgb="FFFF0000"/>
        <rFont val="B Nazanin"/>
        <charset val="178"/>
      </rPr>
      <t>جاری</t>
    </r>
    <r>
      <rPr>
        <b/>
        <sz val="20"/>
        <rFont val="B Nazanin"/>
        <charset val="178"/>
      </rPr>
      <t xml:space="preserve"> نمایندگی فرهنگی جمهوری اسلامی ایران در تركمنستان از تاریخ 1391/07/28لغایت 1391/12/29</t>
    </r>
  </si>
  <si>
    <t xml:space="preserve">کمک هزینه تحصیلی فرزندان کارکنان اعزامی مرکز </t>
  </si>
  <si>
    <r>
      <t xml:space="preserve">صورت خلاصه هزینه های </t>
    </r>
    <r>
      <rPr>
        <b/>
        <sz val="20"/>
        <color rgb="FFFF0000"/>
        <rFont val="B Nazanin"/>
        <charset val="178"/>
      </rPr>
      <t>فرهنگی</t>
    </r>
    <r>
      <rPr>
        <b/>
        <sz val="20"/>
        <rFont val="B Nazanin"/>
        <charset val="178"/>
      </rPr>
      <t xml:space="preserve"> نمایندگی فرهنگی جمهوری اسلامی ایران در تركمنستان از تاریخ 1391/07/28لغایت 1391/12/29</t>
    </r>
  </si>
  <si>
    <t>برگزاری جشن نوروز</t>
  </si>
  <si>
    <t>برگزاری مراسم مردمی سالگرد ارتحال امام ره</t>
  </si>
  <si>
    <t>برگزاری مراسم ویژه برزگداشت نیمه شعبان</t>
  </si>
  <si>
    <t>انتشار 4 شماره از نشریه دوره ای خاوران</t>
  </si>
  <si>
    <t>برکزاری مناسبتهای دینی و مذهبی(رمضان محرم ولادتها و وفاتهاو...</t>
  </si>
  <si>
    <t>برگزاری هفته فرهنگی</t>
  </si>
  <si>
    <t>برگزاری روزهای دوستی کودکان و نوجوانان ایران و ترکمنستان</t>
  </si>
  <si>
    <t>برگزاری نمایشگاه قرآنی در ماه مبارک رمضان</t>
  </si>
  <si>
    <r>
      <t>برگزاري همايش امام رضا (ع) در مرو</t>
    </r>
    <r>
      <rPr>
        <b/>
        <sz val="12"/>
        <color rgb="FF000080"/>
        <rFont val="Tahoma"/>
        <family val="2"/>
      </rPr>
      <t xml:space="preserve"> </t>
    </r>
  </si>
  <si>
    <r>
      <t>برگزاري مراسم مردمي روز قدس</t>
    </r>
    <r>
      <rPr>
        <b/>
        <sz val="12"/>
        <color rgb="FF000080"/>
        <rFont val="Tahoma"/>
        <family val="2"/>
      </rPr>
      <t xml:space="preserve"> </t>
    </r>
  </si>
  <si>
    <r>
      <t>حمايت از فعاليت هاي ديني و تبليغي بومي</t>
    </r>
    <r>
      <rPr>
        <b/>
        <sz val="12"/>
        <color rgb="FF000080"/>
        <rFont val="Tahoma"/>
        <family val="2"/>
      </rPr>
      <t xml:space="preserve"> </t>
    </r>
  </si>
  <si>
    <r>
      <t>حمايت از برگزاري نشست علمي"اخلاق و معنويت در اشعار مختومقلي"</t>
    </r>
    <r>
      <rPr>
        <b/>
        <sz val="12"/>
        <color rgb="FF000080"/>
        <rFont val="Tahoma"/>
        <family val="2"/>
      </rPr>
      <t xml:space="preserve"> </t>
    </r>
  </si>
  <si>
    <r>
      <t>حمايت از چاپ مقاله در مطبوعات محلي</t>
    </r>
    <r>
      <rPr>
        <b/>
        <sz val="12"/>
        <color rgb="FF000080"/>
        <rFont val="Tahoma"/>
        <family val="2"/>
      </rPr>
      <t xml:space="preserve"> </t>
    </r>
  </si>
  <si>
    <r>
      <t>ترجمه و انتشار کتاب سيره نبوي شهيد مطهري</t>
    </r>
    <r>
      <rPr>
        <b/>
        <sz val="12"/>
        <color rgb="FF000080"/>
        <rFont val="Tahoma"/>
        <family val="2"/>
      </rPr>
      <t xml:space="preserve"> </t>
    </r>
  </si>
  <si>
    <r>
      <t>ترجمه و چاپ کتاب انسان و ايمان شهيد مطهري</t>
    </r>
    <r>
      <rPr>
        <b/>
        <sz val="12"/>
        <color rgb="FF000080"/>
        <rFont val="Tahoma"/>
        <family val="2"/>
      </rPr>
      <t xml:space="preserve"> </t>
    </r>
  </si>
  <si>
    <r>
      <t>ترجمه و انتشار کتاب " آنچه يک مسلمان بايد بداند " رضا استادي</t>
    </r>
    <r>
      <rPr>
        <b/>
        <sz val="12"/>
        <color rgb="FF000080"/>
        <rFont val="Tahoma"/>
        <family val="2"/>
      </rPr>
      <t xml:space="preserve"> </t>
    </r>
  </si>
  <si>
    <r>
      <t>ترجمه و انتشار کتاب " پس از پنجاه سال (قيام امام حسين ع ) اثر دکتر شهيدي</t>
    </r>
    <r>
      <rPr>
        <b/>
        <sz val="12"/>
        <color rgb="FF000080"/>
        <rFont val="Tahoma"/>
        <family val="2"/>
      </rPr>
      <t xml:space="preserve"> </t>
    </r>
  </si>
  <si>
    <r>
      <t>ترجمه و انتشار کتابي در باره امام رضا (ع)</t>
    </r>
    <r>
      <rPr>
        <b/>
        <sz val="12"/>
        <color rgb="FF000080"/>
        <rFont val="Tahoma"/>
        <family val="2"/>
      </rPr>
      <t xml:space="preserve"> </t>
    </r>
  </si>
  <si>
    <r>
      <t>تاسيس کتابخانه در مسجد پيروان اهل بيت(ع) شهر ترکمنباشي</t>
    </r>
    <r>
      <rPr>
        <b/>
        <sz val="12"/>
        <color rgb="FF000080"/>
        <rFont val="Tahoma"/>
        <family val="2"/>
      </rPr>
      <t xml:space="preserve"> </t>
    </r>
  </si>
  <si>
    <r>
      <t>تجهيز و توسعه حسينيه امام خميني(ره) مرو</t>
    </r>
    <r>
      <rPr>
        <b/>
        <sz val="12"/>
        <color rgb="FF000080"/>
        <rFont val="Tahoma"/>
        <family val="2"/>
      </rPr>
      <t xml:space="preserve"> </t>
    </r>
  </si>
  <si>
    <r>
      <t>تعمير و تجهيز مساجد پيروان اهل بيت(ع) شهرهاي عشق آباد - بايرامعلي- کاخکا- باقر</t>
    </r>
    <r>
      <rPr>
        <b/>
        <sz val="12"/>
        <color rgb="FF000080"/>
        <rFont val="Tahoma"/>
        <family val="2"/>
      </rPr>
      <t xml:space="preserve"> </t>
    </r>
  </si>
  <si>
    <r>
      <t>برگزاري 4 دوره (ترم) آموزش زبان فارسي در 4 سطح ابتدايي- متوسطه- پيشرفته- عالي</t>
    </r>
    <r>
      <rPr>
        <b/>
        <sz val="12"/>
        <color rgb="FF000080"/>
        <rFont val="Tahoma"/>
        <family val="2"/>
      </rPr>
      <t xml:space="preserve"> </t>
    </r>
  </si>
  <si>
    <r>
      <t>برگزاري 3 اردوي علمي و آموزشي براي فارسي آموزان رايزني</t>
    </r>
    <r>
      <rPr>
        <b/>
        <sz val="12"/>
        <color rgb="FF000080"/>
        <rFont val="Tahoma"/>
        <family val="2"/>
      </rPr>
      <t xml:space="preserve"> </t>
    </r>
  </si>
  <si>
    <r>
      <t>حمايت از خادمين زبان و ادبيات فارسي</t>
    </r>
    <r>
      <rPr>
        <b/>
        <sz val="12"/>
        <color rgb="FF000080"/>
        <rFont val="Tahoma"/>
        <family val="2"/>
      </rPr>
      <t xml:space="preserve"> </t>
    </r>
  </si>
  <si>
    <r>
      <t>تبادل هيئت هاي دانشگاهي</t>
    </r>
    <r>
      <rPr>
        <b/>
        <sz val="12"/>
        <color rgb="FF000080"/>
        <rFont val="Tahoma"/>
        <family val="2"/>
      </rPr>
      <t xml:space="preserve"> </t>
    </r>
  </si>
  <si>
    <r>
      <t>اعزام افراد و گروههاي فرهنگي و ديني به مشهد مقدس</t>
    </r>
    <r>
      <rPr>
        <b/>
        <sz val="12"/>
        <color rgb="FF000080"/>
        <rFont val="Tahoma"/>
        <family val="2"/>
      </rPr>
      <t xml:space="preserve"> </t>
    </r>
  </si>
  <si>
    <r>
      <t>بررسي و تحقيق در باره فعاليت هاي فرهنگي کشورهاي ديگر</t>
    </r>
    <r>
      <rPr>
        <b/>
        <sz val="12"/>
        <color rgb="FF000080"/>
        <rFont val="Tahoma"/>
        <family val="2"/>
      </rPr>
      <t xml:space="preserve"> </t>
    </r>
  </si>
  <si>
    <r>
      <t>پژوهشي در آثار تاريخي ايراني - اسلامي در ترکمنستان</t>
    </r>
    <r>
      <rPr>
        <b/>
        <sz val="12"/>
        <color rgb="FF000080"/>
        <rFont val="Tahoma"/>
        <family val="2"/>
      </rPr>
      <t xml:space="preserve"> </t>
    </r>
  </si>
  <si>
    <r>
      <t>بررسي اصول و جهت گيري هاي ديني و فرهنگي دولت ترکمنستان</t>
    </r>
    <r>
      <rPr>
        <b/>
        <sz val="12"/>
        <color rgb="FF000080"/>
        <rFont val="Tahoma"/>
        <family val="2"/>
      </rPr>
      <t xml:space="preserve"> </t>
    </r>
  </si>
  <si>
    <r>
      <t>ترجمه و انتشار نهج البلاغه</t>
    </r>
    <r>
      <rPr>
        <b/>
        <sz val="12"/>
        <color rgb="FF000080"/>
        <rFont val="Tahoma"/>
        <family val="2"/>
      </rPr>
      <t xml:space="preserve"> </t>
    </r>
  </si>
  <si>
    <r>
      <t>ترجمه قرآن كريم به زبان تركمني</t>
    </r>
    <r>
      <rPr>
        <b/>
        <sz val="12"/>
        <color rgb="FF000080"/>
        <rFont val="Tahoma"/>
        <family val="2"/>
      </rPr>
      <t xml:space="preserve"> </t>
    </r>
  </si>
  <si>
    <t>نمایندگی ج.ا.ایران در ترکمنستان</t>
  </si>
  <si>
    <t>تیر</t>
  </si>
  <si>
    <t>مرداد</t>
  </si>
  <si>
    <t>شهریور</t>
  </si>
  <si>
    <t>مهر</t>
  </si>
  <si>
    <t>آبان</t>
  </si>
  <si>
    <t>دی</t>
  </si>
  <si>
    <t>بهمن</t>
  </si>
  <si>
    <t>اسفند</t>
  </si>
  <si>
    <t>رسول اسماعیل زاده</t>
  </si>
  <si>
    <t>نعمتی زاده</t>
  </si>
  <si>
    <t>میرمحمدی</t>
  </si>
  <si>
    <t>فروردین</t>
  </si>
  <si>
    <t>اردیبهشت</t>
  </si>
  <si>
    <t>خرداد</t>
  </si>
  <si>
    <t>آذر</t>
  </si>
  <si>
    <t>جمع کل</t>
  </si>
  <si>
    <t xml:space="preserve">جمع کل : </t>
  </si>
  <si>
    <t>رایزنی فرهنگی ج.ا.ایران در ترکمنستان :</t>
  </si>
  <si>
    <t xml:space="preserve">           رسول اسماعیل زاده</t>
  </si>
  <si>
    <t>تنظیم کننده : سعید حقانی</t>
  </si>
  <si>
    <t>جمع پرداخت شده به تفکیک افراد</t>
  </si>
  <si>
    <t>تاریخ</t>
  </si>
  <si>
    <t>یورو</t>
  </si>
  <si>
    <t>تبدیل شده به دلار</t>
  </si>
  <si>
    <t>تسعیر دلار</t>
  </si>
  <si>
    <t>تسعیر منات</t>
  </si>
  <si>
    <t>تبدیل شده به منات</t>
  </si>
  <si>
    <t>رايزن فرهنگي ج .ا.ا: آقای اسماعیل زاده</t>
  </si>
  <si>
    <t xml:space="preserve">هزينه فرهنگي دو: انتشار 4 شماره از نشريه دوره اي خاوران </t>
  </si>
  <si>
    <t xml:space="preserve">هزينه دو:انتشار 4 شماره از نشريه دوره اي خاوران </t>
  </si>
  <si>
    <t>ترجمه مقالات مجله خاوران - خ نورنبات</t>
  </si>
  <si>
    <t xml:space="preserve">انتشار 4 شماره از نشريه دوره اي خاوران </t>
  </si>
  <si>
    <t>خرید آنتی ویروس</t>
  </si>
  <si>
    <t>خرید اقلام بدون فاکتور</t>
  </si>
  <si>
    <t>خرید اقلام برای آقای مومیوند(بدون فاکتور</t>
  </si>
  <si>
    <t>ترجمه نانه امام علی ع</t>
  </si>
  <si>
    <t>خرید اقلام برای وهاب زاده مبلغ اعزامی(بدون فاکتور)</t>
  </si>
  <si>
    <t>حق الزحمه پخت غذای سه شب خانم معصومه -المیرا-مایا(سرپرست نادرعلی اف</t>
  </si>
  <si>
    <t>صبحانه روز عید قربان(بدون فاکتور</t>
  </si>
  <si>
    <t>شام روز عید غدیر(بدون فاکتور</t>
  </si>
  <si>
    <t>تصاویر قرارداد و شناسایی</t>
  </si>
  <si>
    <t>شش ماه دوم</t>
  </si>
  <si>
    <t>آزاد</t>
  </si>
  <si>
    <t>بدون رسید و یا فیش</t>
  </si>
  <si>
    <t xml:space="preserve">  يك:علي الحساب جک امانی آقای ناصری</t>
  </si>
  <si>
    <t xml:space="preserve">  دو: تعهدات پرداخت نشده(چک آقای ناصری</t>
  </si>
  <si>
    <t xml:space="preserve"> يك:علي الحساب جک امانی آقای ناصری</t>
  </si>
  <si>
    <t>دو: تعهدات پرداخت نشده(چک آقای ناصری</t>
  </si>
  <si>
    <t>اضافه کار نعمتی زاده</t>
  </si>
  <si>
    <r>
      <rPr>
        <b/>
        <sz val="12"/>
        <color theme="1"/>
        <rFont val="Calibri"/>
        <family val="2"/>
        <scheme val="minor"/>
      </rPr>
      <t>ارقام :</t>
    </r>
    <r>
      <rPr>
        <b/>
        <sz val="12"/>
        <color rgb="FFFF0000"/>
        <rFont val="Calibri"/>
        <family val="2"/>
        <scheme val="minor"/>
      </rPr>
      <t xml:space="preserve"> یورو</t>
    </r>
  </si>
  <si>
    <t xml:space="preserve">هزینه حقوق: پرسنلی اعزامی از مرکز </t>
  </si>
  <si>
    <t xml:space="preserve">     نمايندگي فرهنگي سفارت ج.ا.ايران در ترکمنستان</t>
  </si>
  <si>
    <t xml:space="preserve">     از تاریخ 1391/7/28 لغایت 91/12/28                                 نرخ ميانگين تسعير:</t>
  </si>
  <si>
    <t xml:space="preserve">     از تاریخ 1391/7/28 لغایت 91/12/28 </t>
  </si>
  <si>
    <t xml:space="preserve">    از تاریخ 1391/7/28 لغایت 91/12/28 </t>
  </si>
  <si>
    <t xml:space="preserve"> از تاریخ 1391/7/28 لغایت 91/12/28 </t>
  </si>
  <si>
    <t xml:space="preserve">     رايزني فرهنگي ج.ا.ا: ترکمنستان</t>
  </si>
  <si>
    <t>رايزني فرهنگي ج.ا.ا: ترکمنستان</t>
  </si>
  <si>
    <t xml:space="preserve">  نمايندگي فرهنگي سفارت ج.ا.ايران در ترکمنستان</t>
  </si>
  <si>
    <t>بدين وسيله صحت ارقام در ترازنامه نمايندگي به شرح فوق از تاريخ  91/7/28  لغايت 91/12/28 مورد تأئيد است.</t>
  </si>
  <si>
    <t xml:space="preserve">تراز عمليات مالي حساب هاي ارز محل از تاريخ 1391/7/28   لغايت 1391/12/28                     ارقام به :ارز محل  </t>
  </si>
  <si>
    <t>بدين وسيله صحت ارقام در ترازنامه نمايندگي به شرح فوق از تاريخ 91/7/28  لغايت 91/12/28  مورد تأئيد است.</t>
  </si>
  <si>
    <t xml:space="preserve">         دریافت و مورد تاييد است.</t>
  </si>
  <si>
    <t>کد:9113214125</t>
  </si>
  <si>
    <t>خرید و تکثیر سی دی خاوران</t>
  </si>
  <si>
    <t>92/12/20</t>
  </si>
  <si>
    <t>برگ سند 16</t>
  </si>
  <si>
    <t>924ضرب2.86تسعیر=2642.6منات</t>
  </si>
  <si>
    <t>200دلارضرب2.86تسعیر=570منات</t>
  </si>
  <si>
    <t>150دلارضرب2.86تسعیر=427.5منات</t>
  </si>
  <si>
    <t>100دلار ضرب2.86تسعیر=286منات</t>
  </si>
  <si>
    <t>300دلارضرب2.86تسعیر=858منات</t>
  </si>
  <si>
    <t>200دلارضرب2.86تسعیر=572منات</t>
  </si>
  <si>
    <t>500دلارضرب2.86تسعیر=1430منات</t>
  </si>
  <si>
    <t>89دلارضرب2.86تسعیر=254.54منات</t>
  </si>
  <si>
    <r>
      <t>9618.18/2607=</t>
    </r>
    <r>
      <rPr>
        <b/>
        <sz val="14"/>
        <color rgb="FFFF0000"/>
        <rFont val="Calibri"/>
        <family val="2"/>
        <scheme val="minor"/>
      </rPr>
      <t>3.689</t>
    </r>
    <r>
      <rPr>
        <b/>
        <sz val="14"/>
        <color theme="1"/>
        <rFont val="Calibri"/>
        <family val="2"/>
        <scheme val="minor"/>
      </rPr>
      <t xml:space="preserve"> رقم تسعیر منات به یورو</t>
    </r>
  </si>
  <si>
    <t>علی الحساب جاری و فرهنگی 91</t>
  </si>
  <si>
    <t>حقوق و مزایای آقای میر محمدی</t>
  </si>
  <si>
    <t>حقوق و مزایای آقای اسماعیل زاده</t>
  </si>
  <si>
    <t>حقوق و مزایای آقای نعمتی زاده</t>
  </si>
  <si>
    <t>84/26155</t>
  </si>
  <si>
    <t>84/26330</t>
  </si>
  <si>
    <t>91/7/4</t>
  </si>
  <si>
    <t>91/7/18</t>
  </si>
  <si>
    <t>نقدی دریافت</t>
  </si>
  <si>
    <t>فهرست وجوه ارسالي از سازمان فرهنگ و ارتباطات اسلامي                                                                                                                                سال 1391</t>
  </si>
  <si>
    <t xml:space="preserve">نمايندگي فرهنگي سفارت ج.ا.ايران در ترکمنستان                                                                                                                                                            </t>
  </si>
  <si>
    <t xml:space="preserve">  بدين وسيله صحت ارقام در ترازنامه نمايندگي به شرح فوق از تاريخ 1391/7/28لغايت 91/12/28 با نرخ ميانگين تسعير:  3.689        </t>
  </si>
  <si>
    <t>رايزن فرهنگي: اسماعیل زاده</t>
  </si>
  <si>
    <t xml:space="preserve">  مانده موجودي نقل از دوره قبل(صورتجلسه)</t>
  </si>
  <si>
    <t xml:space="preserve"> مانده موجودي نقل از دوره قبل(صورتجلسه)</t>
  </si>
  <si>
    <t xml:space="preserve">تراز عمليات مالي حساب هاي يوروئي از تاريخ    1391/7/28   لغايت  91/12/28                    ارقام به: يورو  </t>
  </si>
</sst>
</file>

<file path=xl/styles.xml><?xml version="1.0" encoding="utf-8"?>
<styleSheet xmlns="http://schemas.openxmlformats.org/spreadsheetml/2006/main">
  <numFmts count="6">
    <numFmt numFmtId="164" formatCode="#,##0.0"/>
    <numFmt numFmtId="165" formatCode="#,##0.0000"/>
    <numFmt numFmtId="166" formatCode="0.0"/>
    <numFmt numFmtId="167" formatCode="0.000"/>
    <numFmt numFmtId="168" formatCode="0.0000"/>
    <numFmt numFmtId="169" formatCode="#,##0.000"/>
  </numFmts>
  <fonts count="53">
    <font>
      <sz val="11"/>
      <color theme="1"/>
      <name val="Calibri"/>
      <family val="2"/>
      <charset val="178"/>
      <scheme val="minor"/>
    </font>
    <font>
      <sz val="11"/>
      <color theme="1"/>
      <name val="Calibri"/>
      <family val="2"/>
      <scheme val="minor"/>
    </font>
    <font>
      <b/>
      <sz val="15"/>
      <color theme="1"/>
      <name val="Calibri"/>
      <family val="2"/>
      <scheme val="minor"/>
    </font>
    <font>
      <b/>
      <sz val="11"/>
      <color theme="1"/>
      <name val="Calibri"/>
      <family val="2"/>
      <scheme val="minor"/>
    </font>
    <font>
      <b/>
      <sz val="12"/>
      <color theme="1"/>
      <name val="Calibri"/>
      <family val="2"/>
      <scheme val="minor"/>
    </font>
    <font>
      <b/>
      <sz val="13"/>
      <color theme="1"/>
      <name val="Calibri"/>
      <family val="2"/>
      <scheme val="minor"/>
    </font>
    <font>
      <sz val="13"/>
      <color theme="1"/>
      <name val="Calibri"/>
      <family val="2"/>
      <scheme val="minor"/>
    </font>
    <font>
      <b/>
      <sz val="10"/>
      <color theme="1"/>
      <name val="Calibri"/>
      <family val="2"/>
      <scheme val="minor"/>
    </font>
    <font>
      <sz val="14"/>
      <color theme="1"/>
      <name val="Calibri"/>
      <family val="2"/>
      <scheme val="minor"/>
    </font>
    <font>
      <sz val="11"/>
      <color theme="1"/>
      <name val="Calibri"/>
      <family val="2"/>
      <scheme val="minor"/>
    </font>
    <font>
      <u/>
      <sz val="11"/>
      <color theme="10"/>
      <name val="Calibri"/>
      <family val="2"/>
      <charset val="178"/>
    </font>
    <font>
      <b/>
      <sz val="11"/>
      <color theme="10"/>
      <name val="Calibri"/>
      <family val="2"/>
    </font>
    <font>
      <sz val="10"/>
      <color theme="1"/>
      <name val="Calibri"/>
      <family val="2"/>
      <charset val="178"/>
      <scheme val="minor"/>
    </font>
    <font>
      <b/>
      <sz val="10"/>
      <color theme="1"/>
      <name val="Calibri"/>
      <family val="2"/>
      <charset val="178"/>
      <scheme val="minor"/>
    </font>
    <font>
      <b/>
      <sz val="11"/>
      <color theme="1"/>
      <name val="Calibri"/>
      <family val="2"/>
    </font>
    <font>
      <b/>
      <sz val="11"/>
      <color theme="1"/>
      <name val="Calibri"/>
      <family val="2"/>
      <charset val="178"/>
      <scheme val="minor"/>
    </font>
    <font>
      <b/>
      <sz val="10"/>
      <color theme="1"/>
      <name val="B Nazanin"/>
      <charset val="178"/>
    </font>
    <font>
      <b/>
      <sz val="11"/>
      <color theme="1"/>
      <name val="B Nazanin"/>
      <charset val="178"/>
    </font>
    <font>
      <sz val="11"/>
      <color theme="1"/>
      <name val="B Nazanin"/>
      <charset val="178"/>
    </font>
    <font>
      <b/>
      <sz val="10.5"/>
      <color theme="1"/>
      <name val="Calibri"/>
      <family val="2"/>
      <scheme val="minor"/>
    </font>
    <font>
      <b/>
      <sz val="8"/>
      <color indexed="81"/>
      <name val="Tahoma"/>
      <charset val="178"/>
    </font>
    <font>
      <b/>
      <sz val="8"/>
      <color indexed="81"/>
      <name val="Tahoma"/>
      <family val="2"/>
    </font>
    <font>
      <b/>
      <sz val="13"/>
      <color rgb="FFFF0000"/>
      <name val="Calibri"/>
      <family val="2"/>
      <scheme val="minor"/>
    </font>
    <font>
      <b/>
      <sz val="8"/>
      <color indexed="81"/>
      <name val="Tahoma"/>
    </font>
    <font>
      <sz val="11"/>
      <color theme="1"/>
      <name val="Calibri"/>
      <family val="2"/>
      <charset val="178"/>
      <scheme val="minor"/>
    </font>
    <font>
      <sz val="11"/>
      <color rgb="FF006100"/>
      <name val="Calibri"/>
      <family val="2"/>
      <scheme val="minor"/>
    </font>
    <font>
      <b/>
      <sz val="20"/>
      <name val="B Nazanin"/>
      <charset val="178"/>
    </font>
    <font>
      <b/>
      <sz val="15"/>
      <name val="B Nazanin"/>
      <charset val="178"/>
    </font>
    <font>
      <b/>
      <sz val="14"/>
      <name val="B Nazanin"/>
      <charset val="178"/>
    </font>
    <font>
      <b/>
      <sz val="18"/>
      <name val="B Nazanin"/>
      <charset val="178"/>
    </font>
    <font>
      <sz val="11"/>
      <name val="Calibri"/>
      <family val="2"/>
      <scheme val="minor"/>
    </font>
    <font>
      <sz val="14"/>
      <name val="B Nazanin"/>
      <charset val="178"/>
    </font>
    <font>
      <b/>
      <sz val="20"/>
      <color rgb="FFFF0000"/>
      <name val="B Nazanin"/>
      <charset val="178"/>
    </font>
    <font>
      <b/>
      <sz val="14"/>
      <color theme="1"/>
      <name val="B Nazanin"/>
      <charset val="178"/>
    </font>
    <font>
      <b/>
      <sz val="12"/>
      <color theme="1"/>
      <name val="Nazanin"/>
    </font>
    <font>
      <sz val="14"/>
      <color theme="1"/>
      <name val="Nazanin"/>
    </font>
    <font>
      <b/>
      <sz val="12"/>
      <color theme="1"/>
      <name val="Times New Roman"/>
      <family val="1"/>
    </font>
    <font>
      <b/>
      <sz val="11.5"/>
      <color theme="1"/>
      <name val="Calibri"/>
      <family val="2"/>
      <scheme val="minor"/>
    </font>
    <font>
      <b/>
      <sz val="11"/>
      <color theme="1"/>
      <name val="Nazanin"/>
    </font>
    <font>
      <b/>
      <sz val="12"/>
      <color theme="1"/>
      <name val="Calibri"/>
      <family val="2"/>
      <charset val="178"/>
      <scheme val="minor"/>
    </font>
    <font>
      <b/>
      <sz val="14"/>
      <color theme="1"/>
      <name val="Calibri"/>
      <family val="2"/>
      <scheme val="minor"/>
    </font>
    <font>
      <b/>
      <sz val="14"/>
      <color theme="1"/>
      <name val="Calibri"/>
      <family val="2"/>
      <charset val="178"/>
      <scheme val="minor"/>
    </font>
    <font>
      <sz val="15"/>
      <color theme="1"/>
      <name val="Calibri"/>
      <family val="2"/>
      <charset val="178"/>
      <scheme val="minor"/>
    </font>
    <font>
      <b/>
      <sz val="15"/>
      <color theme="1"/>
      <name val="Calibri"/>
      <family val="2"/>
      <charset val="178"/>
      <scheme val="minor"/>
    </font>
    <font>
      <b/>
      <sz val="15"/>
      <name val="Calibri"/>
      <family val="2"/>
      <scheme val="minor"/>
    </font>
    <font>
      <b/>
      <sz val="12"/>
      <name val="Tahoma"/>
      <family val="2"/>
    </font>
    <font>
      <b/>
      <sz val="12"/>
      <color theme="1"/>
      <name val="Tahoma"/>
      <family val="2"/>
    </font>
    <font>
      <b/>
      <sz val="12"/>
      <color rgb="FF000000"/>
      <name val="Tahoma"/>
      <family val="2"/>
    </font>
    <font>
      <b/>
      <sz val="12"/>
      <color rgb="FF000080"/>
      <name val="Tahoma"/>
      <family val="2"/>
    </font>
    <font>
      <sz val="12"/>
      <color theme="1"/>
      <name val="Calibri"/>
      <family val="2"/>
      <scheme val="minor"/>
    </font>
    <font>
      <b/>
      <sz val="14"/>
      <color rgb="FFFF0000"/>
      <name val="Calibri"/>
      <family val="2"/>
      <scheme val="minor"/>
    </font>
    <font>
      <b/>
      <sz val="10.5"/>
      <color theme="1"/>
      <name val="Nazanin"/>
    </font>
    <font>
      <b/>
      <sz val="12"/>
      <color rgb="FFFF0000"/>
      <name val="Calibri"/>
      <family val="2"/>
      <scheme val="minor"/>
    </font>
  </fonts>
  <fills count="22">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6" tint="0.79998168889431442"/>
        <bgColor indexed="64"/>
      </patternFill>
    </fill>
    <fill>
      <patternFill patternType="solid">
        <fgColor theme="0"/>
        <bgColor indexed="64"/>
      </patternFill>
    </fill>
    <fill>
      <patternFill patternType="solid">
        <fgColor rgb="FFFF8F8F"/>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C6EFCE"/>
      </patternFill>
    </fill>
    <fill>
      <patternFill patternType="solid">
        <fgColor rgb="FFFFFFCC"/>
      </patternFill>
    </fill>
    <fill>
      <patternFill patternType="solid">
        <fgColor theme="5" tint="0.79998168889431442"/>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8"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4" tint="0.79998168889431442"/>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top style="thin">
        <color indexed="64"/>
      </top>
      <bottom style="thin">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bottom/>
      <diagonal/>
    </border>
    <border>
      <left/>
      <right/>
      <top/>
      <bottom style="medium">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right style="thin">
        <color indexed="64"/>
      </right>
      <top style="medium">
        <color indexed="64"/>
      </top>
      <bottom style="medium">
        <color indexed="64"/>
      </bottom>
      <diagonal/>
    </border>
  </borders>
  <cellStyleXfs count="9">
    <xf numFmtId="0" fontId="0" fillId="0" borderId="0"/>
    <xf numFmtId="0" fontId="10" fillId="0" borderId="0" applyNumberFormat="0" applyFill="0" applyBorder="0" applyAlignment="0" applyProtection="0">
      <alignment vertical="top"/>
      <protection locked="0"/>
    </xf>
    <xf numFmtId="0" fontId="25" fillId="9" borderId="0" applyNumberFormat="0" applyBorder="0" applyAlignment="0" applyProtection="0"/>
    <xf numFmtId="0" fontId="24" fillId="10" borderId="43"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cellStyleXfs>
  <cellXfs count="492">
    <xf numFmtId="0" fontId="0" fillId="0" borderId="0" xfId="0"/>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0" xfId="0" applyFont="1"/>
    <xf numFmtId="0" fontId="3" fillId="0" borderId="1" xfId="0" applyFont="1" applyBorder="1" applyAlignment="1">
      <alignment horizontal="center" vertical="center" wrapText="1" readingOrder="2"/>
    </xf>
    <xf numFmtId="0" fontId="0" fillId="0" borderId="0" xfId="0" applyAlignment="1">
      <alignment readingOrder="2"/>
    </xf>
    <xf numFmtId="0" fontId="3" fillId="0" borderId="0" xfId="0" applyFont="1" applyAlignment="1">
      <alignment horizontal="left" readingOrder="2"/>
    </xf>
    <xf numFmtId="0" fontId="3" fillId="0" borderId="0" xfId="0" applyFont="1" applyAlignment="1">
      <alignment readingOrder="2"/>
    </xf>
    <xf numFmtId="0" fontId="3" fillId="0" borderId="0" xfId="0" applyFont="1" applyAlignment="1">
      <alignment horizontal="center" vertical="center"/>
    </xf>
    <xf numFmtId="0" fontId="6" fillId="0" borderId="0" xfId="0" applyFont="1" applyAlignment="1">
      <alignment horizontal="right"/>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6" xfId="0" applyFont="1" applyFill="1" applyBorder="1" applyAlignment="1">
      <alignment horizontal="center" vertical="center" wrapText="1" readingOrder="2"/>
    </xf>
    <xf numFmtId="0" fontId="4" fillId="2" borderId="7" xfId="0" applyFont="1" applyFill="1" applyBorder="1" applyAlignment="1">
      <alignment horizontal="center" vertical="center" wrapText="1"/>
    </xf>
    <xf numFmtId="0" fontId="3" fillId="0" borderId="9" xfId="0" applyFont="1" applyBorder="1"/>
    <xf numFmtId="0" fontId="3" fillId="0" borderId="10" xfId="0" applyFont="1" applyBorder="1"/>
    <xf numFmtId="0" fontId="5" fillId="0" borderId="0" xfId="0" applyFont="1" applyAlignment="1">
      <alignment horizontal="right" vertical="center" readingOrder="2"/>
    </xf>
    <xf numFmtId="0" fontId="5" fillId="0" borderId="0" xfId="0" applyFont="1" applyAlignment="1">
      <alignment horizontal="center" vertical="center" readingOrder="2"/>
    </xf>
    <xf numFmtId="0" fontId="3" fillId="0" borderId="0" xfId="0" applyFont="1" applyAlignment="1">
      <alignment horizontal="center" vertical="center" readingOrder="2"/>
    </xf>
    <xf numFmtId="0" fontId="3" fillId="0" borderId="1" xfId="0" applyFont="1" applyBorder="1" applyAlignment="1">
      <alignment horizontal="center" vertical="center" readingOrder="2"/>
    </xf>
    <xf numFmtId="0" fontId="0" fillId="0" borderId="1" xfId="0" applyBorder="1" applyAlignment="1">
      <alignment horizontal="center" vertical="center" readingOrder="2"/>
    </xf>
    <xf numFmtId="0" fontId="3" fillId="0" borderId="0" xfId="0" applyFont="1" applyAlignment="1">
      <alignment horizontal="center" vertical="center"/>
    </xf>
    <xf numFmtId="0" fontId="5" fillId="0" borderId="0" xfId="0" applyFont="1" applyBorder="1" applyAlignment="1">
      <alignment horizontal="right" vertical="top"/>
    </xf>
    <xf numFmtId="0" fontId="4" fillId="2" borderId="5" xfId="0" applyFont="1" applyFill="1" applyBorder="1" applyAlignment="1">
      <alignment horizontal="center" vertical="center" readingOrder="2"/>
    </xf>
    <xf numFmtId="0" fontId="4" fillId="2" borderId="6" xfId="0" applyFont="1" applyFill="1" applyBorder="1" applyAlignment="1">
      <alignment horizontal="center" vertical="center" readingOrder="2"/>
    </xf>
    <xf numFmtId="0" fontId="4" fillId="2" borderId="7" xfId="0" applyFont="1" applyFill="1" applyBorder="1" applyAlignment="1">
      <alignment horizontal="center" vertical="center" readingOrder="2"/>
    </xf>
    <xf numFmtId="0" fontId="3" fillId="0" borderId="8" xfId="0" applyFont="1" applyBorder="1" applyAlignment="1">
      <alignment horizontal="center" vertical="center" readingOrder="2"/>
    </xf>
    <xf numFmtId="0" fontId="3" fillId="0" borderId="19" xfId="0" applyFont="1" applyBorder="1" applyAlignment="1">
      <alignment horizontal="center" vertical="center"/>
    </xf>
    <xf numFmtId="0" fontId="3" fillId="0" borderId="9" xfId="0" applyFont="1" applyBorder="1" applyAlignment="1">
      <alignment horizontal="center" vertical="center"/>
    </xf>
    <xf numFmtId="0" fontId="0" fillId="0" borderId="1" xfId="0" applyBorder="1" applyAlignment="1">
      <alignment readingOrder="2"/>
    </xf>
    <xf numFmtId="0" fontId="4" fillId="2" borderId="8" xfId="0" applyFont="1" applyFill="1" applyBorder="1" applyAlignment="1">
      <alignment horizontal="right" vertical="center"/>
    </xf>
    <xf numFmtId="0" fontId="7" fillId="0" borderId="8" xfId="0" applyFont="1" applyBorder="1" applyAlignment="1">
      <alignment horizontal="right" vertical="center"/>
    </xf>
    <xf numFmtId="0" fontId="7" fillId="2" borderId="8" xfId="0" applyFont="1" applyFill="1" applyBorder="1" applyAlignment="1">
      <alignment horizontal="right" vertical="center"/>
    </xf>
    <xf numFmtId="0" fontId="4" fillId="2" borderId="21" xfId="0" applyFont="1" applyFill="1" applyBorder="1" applyAlignment="1">
      <alignment horizontal="right" vertical="center"/>
    </xf>
    <xf numFmtId="0" fontId="4" fillId="5" borderId="0" xfId="0" applyFont="1" applyFill="1" applyBorder="1" applyAlignment="1">
      <alignment horizontal="right" vertical="center" readingOrder="2"/>
    </xf>
    <xf numFmtId="0" fontId="3" fillId="0" borderId="0" xfId="0" applyFont="1" applyAlignment="1">
      <alignment horizontal="right" vertical="center"/>
    </xf>
    <xf numFmtId="0" fontId="0" fillId="0" borderId="0" xfId="0" applyAlignment="1">
      <alignment horizontal="right" vertical="center" readingOrder="2"/>
    </xf>
    <xf numFmtId="0" fontId="3" fillId="2" borderId="12" xfId="0" applyFont="1" applyFill="1" applyBorder="1" applyAlignment="1">
      <alignment horizontal="right" vertical="center" readingOrder="2"/>
    </xf>
    <xf numFmtId="0" fontId="3" fillId="5" borderId="0" xfId="0" applyFont="1" applyFill="1" applyBorder="1" applyAlignment="1">
      <alignment horizontal="right" vertical="center" readingOrder="2"/>
    </xf>
    <xf numFmtId="0" fontId="3" fillId="5" borderId="0" xfId="0" applyFont="1" applyFill="1" applyBorder="1" applyAlignment="1">
      <alignment horizontal="center" vertical="center" readingOrder="2"/>
    </xf>
    <xf numFmtId="0" fontId="5" fillId="2" borderId="1" xfId="0" applyFont="1" applyFill="1" applyBorder="1" applyAlignment="1">
      <alignment horizontal="center" vertical="center" readingOrder="2"/>
    </xf>
    <xf numFmtId="0" fontId="5" fillId="2" borderId="9" xfId="0" applyFont="1" applyFill="1" applyBorder="1" applyAlignment="1">
      <alignment horizontal="center" vertical="center" readingOrder="2"/>
    </xf>
    <xf numFmtId="0" fontId="3" fillId="2" borderId="1" xfId="0" applyFont="1" applyFill="1" applyBorder="1" applyAlignment="1">
      <alignment horizontal="center" vertical="center" readingOrder="2"/>
    </xf>
    <xf numFmtId="0" fontId="3" fillId="2" borderId="9" xfId="0" applyFont="1" applyFill="1" applyBorder="1" applyAlignment="1">
      <alignment horizontal="center" vertical="center" readingOrder="2"/>
    </xf>
    <xf numFmtId="0" fontId="0" fillId="0" borderId="0" xfId="0" applyBorder="1" applyAlignment="1">
      <alignment horizontal="right" vertical="center" readingOrder="2"/>
    </xf>
    <xf numFmtId="0" fontId="3" fillId="2" borderId="8" xfId="0" applyFont="1" applyFill="1" applyBorder="1" applyAlignment="1">
      <alignment horizontal="right" vertical="center"/>
    </xf>
    <xf numFmtId="0" fontId="3" fillId="0" borderId="8" xfId="0" applyFont="1" applyBorder="1" applyAlignment="1">
      <alignment horizontal="right" vertical="center"/>
    </xf>
    <xf numFmtId="0" fontId="2" fillId="2" borderId="11" xfId="0" applyFont="1" applyFill="1" applyBorder="1" applyAlignment="1">
      <alignment horizontal="right" vertical="center"/>
    </xf>
    <xf numFmtId="0" fontId="7" fillId="0" borderId="35" xfId="0" applyFont="1" applyFill="1" applyBorder="1" applyAlignment="1">
      <alignment horizontal="right" vertical="center"/>
    </xf>
    <xf numFmtId="0" fontId="3" fillId="0" borderId="8" xfId="0" applyFont="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readingOrder="2"/>
    </xf>
    <xf numFmtId="0" fontId="12" fillId="0" borderId="0" xfId="0" applyFont="1" applyAlignment="1">
      <alignment readingOrder="2"/>
    </xf>
    <xf numFmtId="0" fontId="13" fillId="0" borderId="0" xfId="0" applyFont="1" applyAlignment="1">
      <alignment horizontal="center" vertical="center" readingOrder="2"/>
    </xf>
    <xf numFmtId="0" fontId="13" fillId="2" borderId="6" xfId="0" applyFont="1" applyFill="1" applyBorder="1" applyAlignment="1">
      <alignment horizontal="center" vertical="center" readingOrder="2"/>
    </xf>
    <xf numFmtId="0" fontId="13" fillId="2" borderId="7" xfId="0" applyFont="1" applyFill="1" applyBorder="1" applyAlignment="1">
      <alignment horizontal="center" vertical="center" readingOrder="2"/>
    </xf>
    <xf numFmtId="0" fontId="7" fillId="2" borderId="1" xfId="0" applyFont="1" applyFill="1" applyBorder="1" applyAlignment="1">
      <alignment horizontal="center" vertical="center" readingOrder="2"/>
    </xf>
    <xf numFmtId="0" fontId="7" fillId="2" borderId="9" xfId="0" applyFont="1" applyFill="1" applyBorder="1" applyAlignment="1">
      <alignment horizontal="center" vertical="center" readingOrder="2"/>
    </xf>
    <xf numFmtId="0" fontId="14" fillId="0" borderId="1" xfId="1" applyFont="1" applyBorder="1" applyAlignment="1" applyProtection="1">
      <alignment horizontal="center" vertical="center" readingOrder="2"/>
    </xf>
    <xf numFmtId="0" fontId="3" fillId="0" borderId="25" xfId="0" applyFont="1" applyBorder="1" applyAlignment="1">
      <alignment horizontal="right" vertical="center" readingOrder="2"/>
    </xf>
    <xf numFmtId="0" fontId="3" fillId="0" borderId="1" xfId="0" applyFont="1" applyBorder="1" applyAlignment="1">
      <alignment horizontal="right" vertical="center" readingOrder="2"/>
    </xf>
    <xf numFmtId="0" fontId="3" fillId="2" borderId="5" xfId="0" applyFont="1" applyFill="1" applyBorder="1" applyAlignment="1">
      <alignment horizontal="center" vertical="center" readingOrder="2"/>
    </xf>
    <xf numFmtId="0" fontId="16" fillId="0" borderId="0" xfId="0" applyFont="1" applyAlignment="1">
      <alignment horizontal="center" readingOrder="2"/>
    </xf>
    <xf numFmtId="0" fontId="16" fillId="0" borderId="0" xfId="0" applyFont="1" applyAlignment="1">
      <alignment horizontal="center"/>
    </xf>
    <xf numFmtId="0" fontId="16" fillId="0" borderId="0" xfId="0" applyFont="1" applyAlignment="1">
      <alignment horizontal="center" vertical="center" readingOrder="2"/>
    </xf>
    <xf numFmtId="0" fontId="3" fillId="0" borderId="3" xfId="0" applyFont="1" applyBorder="1" applyAlignment="1">
      <alignment horizontal="center" vertical="center" readingOrder="2"/>
    </xf>
    <xf numFmtId="0" fontId="0" fillId="0" borderId="0" xfId="0" applyFont="1" applyAlignment="1">
      <alignment readingOrder="2"/>
    </xf>
    <xf numFmtId="0" fontId="0" fillId="0" borderId="0" xfId="0" applyFont="1"/>
    <xf numFmtId="0" fontId="0" fillId="0" borderId="0" xfId="0" applyFont="1" applyAlignment="1">
      <alignment vertical="center" readingOrder="2"/>
    </xf>
    <xf numFmtId="0" fontId="18" fillId="0" borderId="0" xfId="0" applyFont="1" applyAlignment="1">
      <alignment vertical="center" readingOrder="2"/>
    </xf>
    <xf numFmtId="0" fontId="15" fillId="0" borderId="0" xfId="0" applyFont="1" applyAlignment="1">
      <alignment horizontal="center" vertical="center" readingOrder="2"/>
    </xf>
    <xf numFmtId="0" fontId="15" fillId="2" borderId="6" xfId="0" applyFont="1" applyFill="1" applyBorder="1" applyAlignment="1">
      <alignment horizontal="center" vertical="center" readingOrder="2"/>
    </xf>
    <xf numFmtId="0" fontId="19" fillId="0" borderId="8" xfId="0" applyFont="1" applyBorder="1" applyAlignment="1">
      <alignment horizontal="right" vertical="center"/>
    </xf>
    <xf numFmtId="0" fontId="4" fillId="8" borderId="8" xfId="0" applyFont="1" applyFill="1" applyBorder="1" applyAlignment="1">
      <alignment horizontal="right" vertical="center"/>
    </xf>
    <xf numFmtId="0" fontId="3" fillId="0" borderId="0" xfId="0" applyFont="1" applyAlignment="1">
      <alignment horizontal="center" vertical="center"/>
    </xf>
    <xf numFmtId="4" fontId="0" fillId="0" borderId="0" xfId="0" applyNumberFormat="1"/>
    <xf numFmtId="4" fontId="3" fillId="8" borderId="1" xfId="0" applyNumberFormat="1" applyFont="1" applyFill="1" applyBorder="1" applyAlignment="1">
      <alignment horizontal="center" vertical="center" readingOrder="2"/>
    </xf>
    <xf numFmtId="4" fontId="3" fillId="8" borderId="9" xfId="0" applyNumberFormat="1" applyFont="1" applyFill="1" applyBorder="1" applyAlignment="1">
      <alignment horizontal="center" vertical="center" readingOrder="2"/>
    </xf>
    <xf numFmtId="0" fontId="30" fillId="0" borderId="0" xfId="0" applyFont="1" applyBorder="1"/>
    <xf numFmtId="0" fontId="28" fillId="0" borderId="0" xfId="0" applyFont="1" applyBorder="1" applyAlignment="1">
      <alignment horizontal="center" vertical="center"/>
    </xf>
    <xf numFmtId="0" fontId="31" fillId="0" borderId="0" xfId="0" applyFont="1" applyBorder="1"/>
    <xf numFmtId="0" fontId="3" fillId="16" borderId="8" xfId="0" applyFont="1" applyFill="1" applyBorder="1" applyAlignment="1">
      <alignment horizontal="center" vertical="center" wrapText="1"/>
    </xf>
    <xf numFmtId="0" fontId="3" fillId="16" borderId="8" xfId="0" applyFont="1" applyFill="1" applyBorder="1" applyAlignment="1">
      <alignment horizontal="center" vertical="center" readingOrder="2"/>
    </xf>
    <xf numFmtId="0" fontId="3" fillId="16" borderId="8" xfId="0" applyFont="1" applyFill="1" applyBorder="1" applyAlignment="1">
      <alignment horizontal="center" vertical="center"/>
    </xf>
    <xf numFmtId="16" fontId="3" fillId="0" borderId="1" xfId="0" applyNumberFormat="1" applyFont="1" applyBorder="1" applyAlignment="1">
      <alignment horizontal="center" vertical="center" readingOrder="2"/>
    </xf>
    <xf numFmtId="0" fontId="3" fillId="0" borderId="0" xfId="0" applyFont="1" applyAlignment="1">
      <alignment horizontal="right" vertical="center" readingOrder="2"/>
    </xf>
    <xf numFmtId="0" fontId="34" fillId="0" borderId="1" xfId="0" applyFont="1" applyBorder="1" applyAlignment="1">
      <alignment horizontal="center" vertical="center" wrapText="1"/>
    </xf>
    <xf numFmtId="0" fontId="3" fillId="0" borderId="36" xfId="0" applyFont="1" applyBorder="1" applyAlignment="1">
      <alignment horizontal="center" vertical="center" readingOrder="2"/>
    </xf>
    <xf numFmtId="0" fontId="3" fillId="0" borderId="16" xfId="0" applyFont="1" applyBorder="1" applyAlignment="1">
      <alignment horizontal="center" vertical="center" readingOrder="2"/>
    </xf>
    <xf numFmtId="0" fontId="34" fillId="0" borderId="1" xfId="0" applyFont="1" applyBorder="1" applyAlignment="1">
      <alignment horizontal="right" vertical="top" wrapText="1" readingOrder="2"/>
    </xf>
    <xf numFmtId="0" fontId="3" fillId="2" borderId="44" xfId="0" applyFont="1" applyFill="1" applyBorder="1" applyAlignment="1">
      <alignment horizontal="center" vertical="center" readingOrder="2"/>
    </xf>
    <xf numFmtId="0" fontId="4" fillId="0" borderId="36" xfId="0" applyFont="1" applyBorder="1" applyAlignment="1">
      <alignment horizontal="center" vertical="center" readingOrder="2"/>
    </xf>
    <xf numFmtId="0" fontId="35" fillId="0" borderId="1" xfId="0" applyFont="1" applyBorder="1" applyAlignment="1">
      <alignment horizontal="right" vertical="center"/>
    </xf>
    <xf numFmtId="0" fontId="4" fillId="0" borderId="1" xfId="0" applyFont="1" applyBorder="1" applyAlignment="1">
      <alignment horizontal="center" vertical="center" readingOrder="2"/>
    </xf>
    <xf numFmtId="0" fontId="34" fillId="0" borderId="1" xfId="0" applyFont="1" applyBorder="1" applyAlignment="1">
      <alignment horizontal="right" vertical="center" wrapText="1" readingOrder="2"/>
    </xf>
    <xf numFmtId="0" fontId="4" fillId="0" borderId="1" xfId="0" applyFont="1" applyBorder="1" applyAlignment="1">
      <alignment horizontal="right" vertical="center" readingOrder="2"/>
    </xf>
    <xf numFmtId="0" fontId="34" fillId="0" borderId="1" xfId="0" applyFont="1" applyBorder="1" applyAlignment="1">
      <alignment vertical="center" wrapText="1"/>
    </xf>
    <xf numFmtId="0" fontId="34" fillId="0" borderId="1" xfId="0" applyFont="1" applyBorder="1" applyAlignment="1">
      <alignment vertical="center" wrapText="1" readingOrder="2"/>
    </xf>
    <xf numFmtId="0" fontId="34" fillId="0" borderId="1" xfId="0" applyFont="1" applyBorder="1" applyAlignment="1">
      <alignment vertical="center"/>
    </xf>
    <xf numFmtId="16" fontId="3" fillId="0" borderId="36" xfId="0" applyNumberFormat="1" applyFont="1" applyBorder="1" applyAlignment="1">
      <alignment horizontal="center" vertical="center" readingOrder="2"/>
    </xf>
    <xf numFmtId="164" fontId="3" fillId="4" borderId="1" xfId="0" applyNumberFormat="1" applyFont="1" applyFill="1" applyBorder="1" applyAlignment="1">
      <alignment horizontal="center" vertical="center" readingOrder="2"/>
    </xf>
    <xf numFmtId="0" fontId="3" fillId="0" borderId="0" xfId="0" applyFont="1" applyAlignment="1">
      <alignment horizontal="center" vertical="center" readingOrder="2"/>
    </xf>
    <xf numFmtId="0" fontId="3" fillId="2" borderId="30" xfId="0" applyFont="1" applyFill="1" applyBorder="1" applyAlignment="1">
      <alignment horizontal="center" vertical="center"/>
    </xf>
    <xf numFmtId="167" fontId="0" fillId="0" borderId="0" xfId="0" applyNumberFormat="1" applyFont="1" applyAlignment="1">
      <alignment readingOrder="2"/>
    </xf>
    <xf numFmtId="0" fontId="34" fillId="0" borderId="1" xfId="0" applyFont="1" applyBorder="1" applyAlignment="1">
      <alignment horizontal="right"/>
    </xf>
    <xf numFmtId="0" fontId="37" fillId="0" borderId="1" xfId="0" applyFont="1" applyBorder="1" applyAlignment="1">
      <alignment horizontal="center" vertical="center" readingOrder="2"/>
    </xf>
    <xf numFmtId="0" fontId="4" fillId="0" borderId="16" xfId="0" applyFont="1" applyBorder="1" applyAlignment="1">
      <alignment horizontal="center" vertical="center" readingOrder="2"/>
    </xf>
    <xf numFmtId="4" fontId="4" fillId="4" borderId="1" xfId="0" applyNumberFormat="1" applyFont="1" applyFill="1" applyBorder="1" applyAlignment="1">
      <alignment horizontal="center" vertical="center" readingOrder="2"/>
    </xf>
    <xf numFmtId="4" fontId="4" fillId="4" borderId="9" xfId="0" applyNumberFormat="1" applyFont="1" applyFill="1" applyBorder="1" applyAlignment="1">
      <alignment horizontal="center" vertical="center" readingOrder="2"/>
    </xf>
    <xf numFmtId="2" fontId="4" fillId="0" borderId="1" xfId="0" applyNumberFormat="1" applyFont="1" applyBorder="1" applyAlignment="1">
      <alignment horizontal="center" vertical="center" readingOrder="2"/>
    </xf>
    <xf numFmtId="0" fontId="38" fillId="0" borderId="1" xfId="0" applyFont="1" applyBorder="1" applyAlignment="1">
      <alignment horizontal="right" vertical="center" wrapText="1" readingOrder="2"/>
    </xf>
    <xf numFmtId="0" fontId="3" fillId="0" borderId="1" xfId="0" applyFont="1" applyBorder="1" applyAlignment="1">
      <alignment horizontal="right" vertical="center" wrapText="1" readingOrder="2"/>
    </xf>
    <xf numFmtId="0" fontId="4" fillId="4" borderId="14" xfId="0" applyFont="1" applyFill="1" applyBorder="1" applyAlignment="1">
      <alignment horizontal="center" vertical="center" readingOrder="2"/>
    </xf>
    <xf numFmtId="4" fontId="4" fillId="4" borderId="14" xfId="0" applyNumberFormat="1" applyFont="1" applyFill="1" applyBorder="1" applyAlignment="1">
      <alignment horizontal="center" vertical="center" readingOrder="2"/>
    </xf>
    <xf numFmtId="164" fontId="4" fillId="4" borderId="1" xfId="0" applyNumberFormat="1" applyFont="1" applyFill="1" applyBorder="1" applyAlignment="1">
      <alignment horizontal="center" vertical="center" readingOrder="2"/>
    </xf>
    <xf numFmtId="164" fontId="4" fillId="4" borderId="9" xfId="0" applyNumberFormat="1" applyFont="1" applyFill="1" applyBorder="1" applyAlignment="1">
      <alignment horizontal="center" vertical="center" readingOrder="2"/>
    </xf>
    <xf numFmtId="164" fontId="4" fillId="0" borderId="1" xfId="0" applyNumberFormat="1" applyFont="1" applyBorder="1" applyAlignment="1">
      <alignment horizontal="center" vertical="center" readingOrder="2"/>
    </xf>
    <xf numFmtId="164" fontId="4" fillId="0" borderId="2" xfId="0" applyNumberFormat="1" applyFont="1" applyBorder="1" applyAlignment="1">
      <alignment horizontal="center" vertical="center" readingOrder="2"/>
    </xf>
    <xf numFmtId="164" fontId="4" fillId="4" borderId="14" xfId="0" applyNumberFormat="1" applyFont="1" applyFill="1" applyBorder="1" applyAlignment="1">
      <alignment horizontal="center" vertical="center" readingOrder="2"/>
    </xf>
    <xf numFmtId="164" fontId="4" fillId="4" borderId="15" xfId="0" applyNumberFormat="1" applyFont="1" applyFill="1" applyBorder="1" applyAlignment="1">
      <alignment horizontal="center" vertical="center" readingOrder="2"/>
    </xf>
    <xf numFmtId="2" fontId="4" fillId="4" borderId="14" xfId="0" applyNumberFormat="1" applyFont="1" applyFill="1" applyBorder="1" applyAlignment="1">
      <alignment horizontal="center" vertical="center" readingOrder="2"/>
    </xf>
    <xf numFmtId="166" fontId="4" fillId="4" borderId="14" xfId="0" applyNumberFormat="1" applyFont="1" applyFill="1" applyBorder="1" applyAlignment="1">
      <alignment horizontal="center" vertical="center" readingOrder="2"/>
    </xf>
    <xf numFmtId="4" fontId="39" fillId="4" borderId="9" xfId="0" applyNumberFormat="1" applyFont="1" applyFill="1" applyBorder="1" applyAlignment="1">
      <alignment horizontal="center" vertical="center" readingOrder="2"/>
    </xf>
    <xf numFmtId="164" fontId="39" fillId="4" borderId="9" xfId="0" applyNumberFormat="1" applyFont="1" applyFill="1" applyBorder="1" applyAlignment="1">
      <alignment horizontal="center" vertical="center" readingOrder="2"/>
    </xf>
    <xf numFmtId="3" fontId="4" fillId="0" borderId="1" xfId="0" applyNumberFormat="1" applyFont="1" applyBorder="1" applyAlignment="1">
      <alignment horizontal="center" vertical="center" readingOrder="2"/>
    </xf>
    <xf numFmtId="3" fontId="4" fillId="4" borderId="14" xfId="0" applyNumberFormat="1" applyFont="1" applyFill="1" applyBorder="1" applyAlignment="1">
      <alignment horizontal="center" vertical="center" readingOrder="2"/>
    </xf>
    <xf numFmtId="4" fontId="4" fillId="4" borderId="15" xfId="0" applyNumberFormat="1" applyFont="1" applyFill="1" applyBorder="1" applyAlignment="1">
      <alignment horizontal="center" vertical="center" readingOrder="2"/>
    </xf>
    <xf numFmtId="3" fontId="4" fillId="0" borderId="1" xfId="0" applyNumberFormat="1" applyFont="1" applyBorder="1" applyAlignment="1">
      <alignment horizontal="center" vertical="center" wrapText="1" readingOrder="2"/>
    </xf>
    <xf numFmtId="4" fontId="4" fillId="4" borderId="1" xfId="0" applyNumberFormat="1" applyFont="1" applyFill="1" applyBorder="1" applyAlignment="1">
      <alignment horizontal="center" vertical="center" wrapText="1" readingOrder="2"/>
    </xf>
    <xf numFmtId="164" fontId="4" fillId="0" borderId="1" xfId="0" applyNumberFormat="1" applyFont="1" applyBorder="1" applyAlignment="1">
      <alignment horizontal="center" vertical="center" wrapText="1" readingOrder="2"/>
    </xf>
    <xf numFmtId="3" fontId="4" fillId="0" borderId="2" xfId="0" applyNumberFormat="1" applyFont="1" applyBorder="1" applyAlignment="1">
      <alignment horizontal="center" vertical="center" wrapText="1" readingOrder="2"/>
    </xf>
    <xf numFmtId="4" fontId="4" fillId="4" borderId="2" xfId="0" applyNumberFormat="1" applyFont="1" applyFill="1" applyBorder="1" applyAlignment="1">
      <alignment horizontal="center" vertical="center" wrapText="1" readingOrder="2"/>
    </xf>
    <xf numFmtId="164" fontId="4" fillId="0" borderId="2" xfId="0" applyNumberFormat="1" applyFont="1" applyBorder="1" applyAlignment="1">
      <alignment horizontal="center" vertical="center" wrapText="1" readingOrder="2"/>
    </xf>
    <xf numFmtId="3" fontId="4" fillId="4" borderId="1" xfId="0" applyNumberFormat="1" applyFont="1" applyFill="1" applyBorder="1" applyAlignment="1">
      <alignment horizontal="center" vertical="center" wrapText="1" readingOrder="2"/>
    </xf>
    <xf numFmtId="4" fontId="4" fillId="0" borderId="1" xfId="0" applyNumberFormat="1" applyFont="1" applyBorder="1" applyAlignment="1">
      <alignment horizontal="center" vertical="center" wrapText="1" readingOrder="2"/>
    </xf>
    <xf numFmtId="4" fontId="3" fillId="4" borderId="1" xfId="0" applyNumberFormat="1" applyFont="1" applyFill="1" applyBorder="1" applyAlignment="1">
      <alignment horizontal="center" vertical="center" readingOrder="2"/>
    </xf>
    <xf numFmtId="4" fontId="4" fillId="3" borderId="1" xfId="0" applyNumberFormat="1" applyFont="1" applyFill="1" applyBorder="1" applyAlignment="1">
      <alignment horizontal="center" vertical="center" wrapText="1" readingOrder="2"/>
    </xf>
    <xf numFmtId="4" fontId="4" fillId="4" borderId="17" xfId="0" applyNumberFormat="1" applyFont="1" applyFill="1" applyBorder="1" applyAlignment="1">
      <alignment horizontal="center" vertical="center" readingOrder="2"/>
    </xf>
    <xf numFmtId="165" fontId="4" fillId="4" borderId="17" xfId="0" applyNumberFormat="1" applyFont="1" applyFill="1" applyBorder="1" applyAlignment="1">
      <alignment horizontal="center" readingOrder="2"/>
    </xf>
    <xf numFmtId="164" fontId="4" fillId="4" borderId="17" xfId="0" applyNumberFormat="1" applyFont="1" applyFill="1" applyBorder="1" applyAlignment="1">
      <alignment horizontal="center" vertical="center" readingOrder="2"/>
    </xf>
    <xf numFmtId="165" fontId="4" fillId="4" borderId="1" xfId="0" applyNumberFormat="1" applyFont="1" applyFill="1" applyBorder="1" applyAlignment="1">
      <alignment horizontal="center" vertical="center" wrapText="1" readingOrder="2"/>
    </xf>
    <xf numFmtId="3" fontId="4" fillId="4" borderId="17" xfId="0" applyNumberFormat="1" applyFont="1" applyFill="1" applyBorder="1" applyAlignment="1">
      <alignment horizontal="center" vertical="center" readingOrder="2"/>
    </xf>
    <xf numFmtId="4" fontId="4" fillId="4" borderId="17" xfId="0" applyNumberFormat="1" applyFont="1" applyFill="1" applyBorder="1" applyAlignment="1">
      <alignment horizontal="center" readingOrder="2"/>
    </xf>
    <xf numFmtId="0" fontId="34" fillId="0" borderId="0" xfId="0" applyFont="1" applyBorder="1" applyAlignment="1">
      <alignment horizontal="right" vertical="center" wrapText="1"/>
    </xf>
    <xf numFmtId="167" fontId="4" fillId="0" borderId="0" xfId="0" applyNumberFormat="1" applyFont="1" applyBorder="1" applyAlignment="1">
      <alignment horizontal="center" vertical="center" readingOrder="2"/>
    </xf>
    <xf numFmtId="0" fontId="13" fillId="2" borderId="44" xfId="0" applyFont="1" applyFill="1" applyBorder="1" applyAlignment="1">
      <alignment horizontal="center" vertical="center" readingOrder="2"/>
    </xf>
    <xf numFmtId="0" fontId="13" fillId="2" borderId="45" xfId="0" applyFont="1" applyFill="1" applyBorder="1" applyAlignment="1">
      <alignment horizontal="center" vertical="center" readingOrder="2"/>
    </xf>
    <xf numFmtId="0" fontId="3" fillId="0" borderId="5" xfId="0" applyFont="1" applyBorder="1" applyAlignment="1">
      <alignment horizontal="center" vertical="center"/>
    </xf>
    <xf numFmtId="0" fontId="3" fillId="0" borderId="32" xfId="0" applyFont="1" applyBorder="1" applyAlignment="1">
      <alignment horizontal="center" vertical="center" readingOrder="2"/>
    </xf>
    <xf numFmtId="0" fontId="34" fillId="0" borderId="6" xfId="0" applyFont="1" applyBorder="1" applyAlignment="1">
      <alignment horizontal="right" vertical="top" wrapText="1" readingOrder="2"/>
    </xf>
    <xf numFmtId="0" fontId="3" fillId="0" borderId="34" xfId="0" applyFont="1" applyBorder="1" applyAlignment="1">
      <alignment horizontal="center" vertical="center" readingOrder="2"/>
    </xf>
    <xf numFmtId="0" fontId="4" fillId="0" borderId="6" xfId="0" applyFont="1" applyBorder="1" applyAlignment="1">
      <alignment horizontal="center" vertical="center" readingOrder="2"/>
    </xf>
    <xf numFmtId="4" fontId="4" fillId="4" borderId="6" xfId="0" applyNumberFormat="1" applyFont="1" applyFill="1" applyBorder="1" applyAlignment="1">
      <alignment horizontal="center" vertical="center" readingOrder="2"/>
    </xf>
    <xf numFmtId="4" fontId="4" fillId="4" borderId="7" xfId="0" applyNumberFormat="1" applyFont="1" applyFill="1" applyBorder="1" applyAlignment="1">
      <alignment horizontal="center" vertical="center" readingOrder="2"/>
    </xf>
    <xf numFmtId="164" fontId="39" fillId="4" borderId="15" xfId="0" applyNumberFormat="1" applyFont="1" applyFill="1" applyBorder="1" applyAlignment="1">
      <alignment horizontal="center" vertical="center" readingOrder="2"/>
    </xf>
    <xf numFmtId="0" fontId="34" fillId="0" borderId="0" xfId="0" applyFont="1" applyBorder="1" applyAlignment="1">
      <alignment horizontal="right"/>
    </xf>
    <xf numFmtId="0" fontId="34" fillId="0" borderId="0" xfId="0" applyFont="1" applyBorder="1" applyAlignment="1">
      <alignment horizontal="center" vertical="center" wrapText="1"/>
    </xf>
    <xf numFmtId="2" fontId="4" fillId="0" borderId="6" xfId="0" applyNumberFormat="1" applyFont="1" applyBorder="1" applyAlignment="1">
      <alignment horizontal="center" vertical="center" readingOrder="2"/>
    </xf>
    <xf numFmtId="0" fontId="3" fillId="0" borderId="6" xfId="0" applyFont="1" applyBorder="1" applyAlignment="1">
      <alignment horizontal="center" vertical="center" readingOrder="2"/>
    </xf>
    <xf numFmtId="0" fontId="3" fillId="0" borderId="6" xfId="0" applyFont="1" applyBorder="1" applyAlignment="1">
      <alignment horizontal="center" vertical="center" wrapText="1" readingOrder="2"/>
    </xf>
    <xf numFmtId="0" fontId="3" fillId="16" borderId="5" xfId="0" applyFont="1" applyFill="1" applyBorder="1" applyAlignment="1">
      <alignment horizontal="center" vertical="center"/>
    </xf>
    <xf numFmtId="0" fontId="3" fillId="0" borderId="6" xfId="0" applyFont="1" applyBorder="1" applyAlignment="1">
      <alignment horizontal="right" vertical="center" readingOrder="2"/>
    </xf>
    <xf numFmtId="0" fontId="11" fillId="0" borderId="1" xfId="1" applyFont="1" applyBorder="1" applyAlignment="1" applyProtection="1">
      <alignment horizontal="right" vertical="center" readingOrder="2"/>
    </xf>
    <xf numFmtId="0" fontId="0" fillId="0" borderId="1" xfId="0" applyBorder="1" applyAlignment="1">
      <alignment horizontal="right" vertical="center" readingOrder="2"/>
    </xf>
    <xf numFmtId="0" fontId="3" fillId="0" borderId="1" xfId="0" applyFont="1" applyBorder="1" applyAlignment="1">
      <alignment horizontal="center" vertical="center"/>
    </xf>
    <xf numFmtId="0" fontId="3" fillId="0" borderId="14" xfId="0" applyFont="1" applyBorder="1" applyAlignment="1">
      <alignment horizontal="center" vertical="center" readingOrder="2"/>
    </xf>
    <xf numFmtId="3" fontId="3" fillId="0" borderId="1" xfId="0" applyNumberFormat="1" applyFont="1" applyBorder="1" applyAlignment="1">
      <alignment horizontal="center" vertical="center" readingOrder="2"/>
    </xf>
    <xf numFmtId="164" fontId="28" fillId="4" borderId="1" xfId="5" applyNumberFormat="1" applyFont="1" applyFill="1" applyBorder="1" applyAlignment="1">
      <alignment horizontal="center" vertical="center"/>
    </xf>
    <xf numFmtId="3" fontId="28" fillId="5" borderId="9" xfId="2" applyNumberFormat="1" applyFont="1" applyFill="1" applyBorder="1" applyAlignment="1">
      <alignment horizontal="center" vertical="center"/>
    </xf>
    <xf numFmtId="3" fontId="28" fillId="5" borderId="10" xfId="2" applyNumberFormat="1" applyFont="1" applyFill="1" applyBorder="1" applyAlignment="1">
      <alignment horizontal="center" vertical="center"/>
    </xf>
    <xf numFmtId="0" fontId="29" fillId="3" borderId="0" xfId="0" applyFont="1" applyFill="1" applyBorder="1" applyAlignment="1">
      <alignment horizontal="center" vertical="center"/>
    </xf>
    <xf numFmtId="3" fontId="28" fillId="18" borderId="40" xfId="2" applyNumberFormat="1" applyFont="1" applyFill="1" applyBorder="1" applyAlignment="1">
      <alignment horizontal="center" vertical="center"/>
    </xf>
    <xf numFmtId="3" fontId="28" fillId="5" borderId="41" xfId="2" applyNumberFormat="1" applyFont="1" applyFill="1" applyBorder="1" applyAlignment="1">
      <alignment horizontal="center" vertical="center"/>
    </xf>
    <xf numFmtId="0" fontId="28" fillId="2" borderId="6" xfId="7" applyFont="1" applyFill="1" applyBorder="1" applyAlignment="1">
      <alignment horizontal="center" vertical="center"/>
    </xf>
    <xf numFmtId="0" fontId="28" fillId="2" borderId="6" xfId="0" applyFont="1" applyFill="1" applyBorder="1" applyAlignment="1">
      <alignment horizontal="center" vertical="center"/>
    </xf>
    <xf numFmtId="0" fontId="28" fillId="2" borderId="6" xfId="5" applyFont="1" applyFill="1" applyBorder="1" applyAlignment="1">
      <alignment horizontal="center" vertical="center"/>
    </xf>
    <xf numFmtId="0" fontId="28" fillId="2" borderId="6" xfId="8" applyFont="1" applyFill="1" applyBorder="1" applyAlignment="1">
      <alignment horizontal="center" vertical="center"/>
    </xf>
    <xf numFmtId="0" fontId="28" fillId="2" borderId="6" xfId="3" applyFont="1" applyFill="1" applyBorder="1" applyAlignment="1">
      <alignment horizontal="center" vertical="center"/>
    </xf>
    <xf numFmtId="0" fontId="28" fillId="2" borderId="6" xfId="4" applyFont="1" applyFill="1" applyBorder="1" applyAlignment="1">
      <alignment horizontal="center" vertical="center"/>
    </xf>
    <xf numFmtId="0" fontId="28" fillId="2" borderId="14" xfId="7" applyFont="1" applyFill="1" applyBorder="1" applyAlignment="1">
      <alignment horizontal="center" vertical="center"/>
    </xf>
    <xf numFmtId="0" fontId="28" fillId="2" borderId="14" xfId="0" applyFont="1" applyFill="1" applyBorder="1" applyAlignment="1">
      <alignment horizontal="center" vertical="center"/>
    </xf>
    <xf numFmtId="0" fontId="28" fillId="2" borderId="14" xfId="5" applyFont="1" applyFill="1" applyBorder="1" applyAlignment="1">
      <alignment horizontal="center" vertical="center"/>
    </xf>
    <xf numFmtId="0" fontId="28" fillId="2" borderId="14" xfId="8" applyFont="1" applyFill="1" applyBorder="1" applyAlignment="1">
      <alignment horizontal="center" vertical="center"/>
    </xf>
    <xf numFmtId="0" fontId="28" fillId="2" borderId="14" xfId="3" applyFont="1" applyFill="1" applyBorder="1" applyAlignment="1">
      <alignment horizontal="center" vertical="center"/>
    </xf>
    <xf numFmtId="0" fontId="28" fillId="2" borderId="14" xfId="4" applyFont="1" applyFill="1" applyBorder="1" applyAlignment="1">
      <alignment horizontal="center" vertical="center"/>
    </xf>
    <xf numFmtId="0" fontId="28" fillId="14" borderId="50" xfId="7" applyFont="1" applyBorder="1" applyAlignment="1">
      <alignment horizontal="center" vertical="center"/>
    </xf>
    <xf numFmtId="0" fontId="28" fillId="14" borderId="51" xfId="7" applyFont="1" applyBorder="1" applyAlignment="1">
      <alignment horizontal="center" vertical="center"/>
    </xf>
    <xf numFmtId="0" fontId="28" fillId="14" borderId="49" xfId="7" applyFont="1" applyBorder="1" applyAlignment="1">
      <alignment horizontal="center" vertical="center"/>
    </xf>
    <xf numFmtId="164" fontId="28" fillId="20" borderId="39" xfId="3" applyNumberFormat="1" applyFont="1" applyFill="1" applyBorder="1" applyAlignment="1">
      <alignment horizontal="center" vertical="center"/>
    </xf>
    <xf numFmtId="3" fontId="27" fillId="5" borderId="3" xfId="7" applyNumberFormat="1" applyFont="1" applyFill="1" applyBorder="1" applyAlignment="1">
      <alignment horizontal="center" vertical="center"/>
    </xf>
    <xf numFmtId="3" fontId="27" fillId="0" borderId="3" xfId="0" applyNumberFormat="1" applyFont="1" applyBorder="1" applyAlignment="1">
      <alignment horizontal="center" vertical="center"/>
    </xf>
    <xf numFmtId="3" fontId="27" fillId="4" borderId="3" xfId="5" applyNumberFormat="1" applyFont="1" applyFill="1" applyBorder="1" applyAlignment="1">
      <alignment horizontal="center" vertical="center"/>
    </xf>
    <xf numFmtId="3" fontId="27" fillId="5" borderId="3" xfId="8" applyNumberFormat="1" applyFont="1" applyFill="1" applyBorder="1" applyAlignment="1">
      <alignment horizontal="center" vertical="center"/>
    </xf>
    <xf numFmtId="3" fontId="27" fillId="4" borderId="3" xfId="3" applyNumberFormat="1" applyFont="1" applyFill="1" applyBorder="1" applyAlignment="1">
      <alignment horizontal="center" vertical="center"/>
    </xf>
    <xf numFmtId="3" fontId="27" fillId="4" borderId="3" xfId="4" applyNumberFormat="1" applyFont="1" applyFill="1" applyBorder="1" applyAlignment="1">
      <alignment horizontal="center" vertical="center"/>
    </xf>
    <xf numFmtId="3" fontId="27" fillId="5" borderId="41" xfId="2" applyNumberFormat="1" applyFont="1" applyFill="1" applyBorder="1" applyAlignment="1">
      <alignment horizontal="center" vertical="center"/>
    </xf>
    <xf numFmtId="3" fontId="27" fillId="5" borderId="1" xfId="7" applyNumberFormat="1" applyFont="1" applyFill="1" applyBorder="1" applyAlignment="1">
      <alignment horizontal="center" vertical="center"/>
    </xf>
    <xf numFmtId="3" fontId="27" fillId="0" borderId="1" xfId="0" applyNumberFormat="1" applyFont="1" applyBorder="1" applyAlignment="1">
      <alignment horizontal="center" vertical="center"/>
    </xf>
    <xf numFmtId="164" fontId="27" fillId="4" borderId="1" xfId="5" applyNumberFormat="1" applyFont="1" applyFill="1" applyBorder="1" applyAlignment="1">
      <alignment horizontal="center" vertical="center"/>
    </xf>
    <xf numFmtId="3" fontId="27" fillId="5" borderId="1" xfId="8" applyNumberFormat="1" applyFont="1" applyFill="1" applyBorder="1" applyAlignment="1">
      <alignment horizontal="center" vertical="center"/>
    </xf>
    <xf numFmtId="3" fontId="27" fillId="4" borderId="1" xfId="3" applyNumberFormat="1" applyFont="1" applyFill="1" applyBorder="1" applyAlignment="1">
      <alignment horizontal="center" vertical="center"/>
    </xf>
    <xf numFmtId="3" fontId="27" fillId="4" borderId="1" xfId="4" applyNumberFormat="1" applyFont="1" applyFill="1" applyBorder="1" applyAlignment="1">
      <alignment horizontal="center" vertical="center"/>
    </xf>
    <xf numFmtId="3" fontId="27" fillId="5" borderId="9" xfId="2" applyNumberFormat="1" applyFont="1" applyFill="1" applyBorder="1" applyAlignment="1">
      <alignment horizontal="center" vertical="center"/>
    </xf>
    <xf numFmtId="3" fontId="27" fillId="4" borderId="1" xfId="5" applyNumberFormat="1" applyFont="1" applyFill="1" applyBorder="1" applyAlignment="1">
      <alignment horizontal="center" vertical="center"/>
    </xf>
    <xf numFmtId="0" fontId="42" fillId="0" borderId="1" xfId="0" applyFont="1" applyBorder="1"/>
    <xf numFmtId="0" fontId="2" fillId="4" borderId="1" xfId="0" applyFont="1" applyFill="1" applyBorder="1" applyAlignment="1">
      <alignment horizontal="center" vertical="center"/>
    </xf>
    <xf numFmtId="0" fontId="43" fillId="4" borderId="1" xfId="0" applyFont="1" applyFill="1" applyBorder="1" applyAlignment="1">
      <alignment horizontal="center" vertical="center"/>
    </xf>
    <xf numFmtId="0" fontId="42" fillId="0" borderId="9" xfId="0" applyFont="1" applyBorder="1"/>
    <xf numFmtId="3" fontId="27" fillId="5" borderId="2" xfId="7" applyNumberFormat="1" applyFont="1" applyFill="1" applyBorder="1" applyAlignment="1">
      <alignment horizontal="center" vertical="center"/>
    </xf>
    <xf numFmtId="3" fontId="27" fillId="0" borderId="2" xfId="0" applyNumberFormat="1" applyFont="1" applyBorder="1" applyAlignment="1">
      <alignment horizontal="center" vertical="center"/>
    </xf>
    <xf numFmtId="3" fontId="27" fillId="4" borderId="2" xfId="5" applyNumberFormat="1" applyFont="1" applyFill="1" applyBorder="1" applyAlignment="1">
      <alignment horizontal="center" vertical="center"/>
    </xf>
    <xf numFmtId="3" fontId="27" fillId="5" borderId="2" xfId="8" applyNumberFormat="1" applyFont="1" applyFill="1" applyBorder="1" applyAlignment="1">
      <alignment horizontal="center" vertical="center"/>
    </xf>
    <xf numFmtId="3" fontId="27" fillId="4" borderId="2" xfId="3" applyNumberFormat="1" applyFont="1" applyFill="1" applyBorder="1" applyAlignment="1">
      <alignment horizontal="center" vertical="center"/>
    </xf>
    <xf numFmtId="3" fontId="27" fillId="4" borderId="2" xfId="4" applyNumberFormat="1" applyFont="1" applyFill="1" applyBorder="1" applyAlignment="1">
      <alignment horizontal="center" vertical="center"/>
    </xf>
    <xf numFmtId="3" fontId="27" fillId="5" borderId="10" xfId="2" applyNumberFormat="1" applyFont="1" applyFill="1" applyBorder="1" applyAlignment="1">
      <alignment horizontal="center" vertical="center"/>
    </xf>
    <xf numFmtId="3" fontId="27" fillId="18" borderId="39" xfId="7" applyNumberFormat="1" applyFont="1" applyFill="1" applyBorder="1" applyAlignment="1">
      <alignment horizontal="center" vertical="center"/>
    </xf>
    <xf numFmtId="3" fontId="27" fillId="18" borderId="39" xfId="0" applyNumberFormat="1" applyFont="1" applyFill="1" applyBorder="1" applyAlignment="1">
      <alignment horizontal="center" vertical="center"/>
    </xf>
    <xf numFmtId="3" fontId="27" fillId="18" borderId="39" xfId="5" applyNumberFormat="1" applyFont="1" applyFill="1" applyBorder="1" applyAlignment="1">
      <alignment horizontal="center" vertical="center"/>
    </xf>
    <xf numFmtId="3" fontId="27" fillId="18" borderId="39" xfId="8" applyNumberFormat="1" applyFont="1" applyFill="1" applyBorder="1" applyAlignment="1">
      <alignment horizontal="center" vertical="center"/>
    </xf>
    <xf numFmtId="3" fontId="27" fillId="20" borderId="39" xfId="3" applyNumberFormat="1" applyFont="1" applyFill="1" applyBorder="1" applyAlignment="1">
      <alignment horizontal="center" vertical="center"/>
    </xf>
    <xf numFmtId="3" fontId="27" fillId="19" borderId="39" xfId="0" applyNumberFormat="1" applyFont="1" applyFill="1" applyBorder="1" applyAlignment="1">
      <alignment horizontal="center" vertical="center"/>
    </xf>
    <xf numFmtId="3" fontId="27" fillId="19" borderId="39" xfId="4" applyNumberFormat="1" applyFont="1" applyFill="1" applyBorder="1" applyAlignment="1">
      <alignment horizontal="center" vertical="center"/>
    </xf>
    <xf numFmtId="3" fontId="27" fillId="18" borderId="40" xfId="2" applyNumberFormat="1" applyFont="1" applyFill="1" applyBorder="1" applyAlignment="1">
      <alignment horizontal="center" vertical="center"/>
    </xf>
    <xf numFmtId="0" fontId="2" fillId="0" borderId="46" xfId="0" applyFont="1" applyBorder="1" applyAlignment="1">
      <alignment horizontal="center" vertical="center" wrapText="1" readingOrder="2"/>
    </xf>
    <xf numFmtId="0" fontId="27" fillId="0" borderId="3" xfId="0" applyFont="1" applyBorder="1" applyAlignment="1">
      <alignment horizontal="right" vertical="center"/>
    </xf>
    <xf numFmtId="0" fontId="2" fillId="0" borderId="16" xfId="0" applyFont="1" applyBorder="1" applyAlignment="1">
      <alignment horizontal="center" vertical="center" readingOrder="2"/>
    </xf>
    <xf numFmtId="0" fontId="27" fillId="0" borderId="1" xfId="0" applyFont="1" applyBorder="1" applyAlignment="1">
      <alignment horizontal="right" vertical="center"/>
    </xf>
    <xf numFmtId="0" fontId="42" fillId="0" borderId="16" xfId="0" applyFont="1" applyBorder="1"/>
    <xf numFmtId="0" fontId="44" fillId="5" borderId="16" xfId="4" applyFont="1" applyFill="1" applyBorder="1" applyAlignment="1">
      <alignment horizontal="center" vertical="center"/>
    </xf>
    <xf numFmtId="0" fontId="44" fillId="5" borderId="47" xfId="4" applyFont="1" applyFill="1" applyBorder="1" applyAlignment="1">
      <alignment horizontal="center" vertical="center"/>
    </xf>
    <xf numFmtId="0" fontId="27" fillId="0" borderId="2" xfId="0" applyFont="1" applyBorder="1" applyAlignment="1">
      <alignment horizontal="right" vertical="center"/>
    </xf>
    <xf numFmtId="0" fontId="2" fillId="0" borderId="16" xfId="0" applyFont="1" applyBorder="1" applyAlignment="1">
      <alignment horizontal="center" vertical="center"/>
    </xf>
    <xf numFmtId="164" fontId="28" fillId="4" borderId="3" xfId="5" applyNumberFormat="1" applyFont="1" applyFill="1" applyBorder="1" applyAlignment="1">
      <alignment horizontal="center" vertical="center"/>
    </xf>
    <xf numFmtId="164" fontId="40" fillId="4" borderId="1" xfId="0" applyNumberFormat="1" applyFont="1" applyFill="1" applyBorder="1" applyAlignment="1">
      <alignment horizontal="center" vertical="center"/>
    </xf>
    <xf numFmtId="0" fontId="28" fillId="14" borderId="50" xfId="7" applyFont="1" applyBorder="1" applyAlignment="1">
      <alignment horizontal="right" vertical="center"/>
    </xf>
    <xf numFmtId="0" fontId="0" fillId="0" borderId="0" xfId="0" applyAlignment="1">
      <alignment horizontal="right"/>
    </xf>
    <xf numFmtId="0" fontId="28" fillId="14" borderId="51" xfId="7" applyFont="1" applyBorder="1" applyAlignment="1">
      <alignment horizontal="right" vertical="center"/>
    </xf>
    <xf numFmtId="0" fontId="45" fillId="0" borderId="3" xfId="0" applyFont="1" applyBorder="1" applyAlignment="1">
      <alignment horizontal="right" vertical="center"/>
    </xf>
    <xf numFmtId="0" fontId="45" fillId="0" borderId="1" xfId="0" applyFont="1" applyBorder="1" applyAlignment="1">
      <alignment horizontal="right" vertical="center"/>
    </xf>
    <xf numFmtId="0" fontId="45" fillId="0" borderId="1" xfId="0" applyFont="1" applyBorder="1" applyAlignment="1">
      <alignment horizontal="right" vertical="center" wrapText="1"/>
    </xf>
    <xf numFmtId="0" fontId="46" fillId="0" borderId="1" xfId="0" applyFont="1" applyBorder="1" applyAlignment="1">
      <alignment horizontal="right" vertical="center"/>
    </xf>
    <xf numFmtId="0" fontId="45" fillId="0" borderId="2" xfId="0" applyFont="1" applyBorder="1" applyAlignment="1">
      <alignment horizontal="right" vertical="center"/>
    </xf>
    <xf numFmtId="0" fontId="47" fillId="0" borderId="1" xfId="0" applyFont="1" applyBorder="1" applyAlignment="1">
      <alignment horizontal="right" vertical="center"/>
    </xf>
    <xf numFmtId="0" fontId="47" fillId="0" borderId="1" xfId="0" applyFont="1" applyBorder="1" applyAlignment="1">
      <alignment horizontal="right" vertical="center" wrapText="1"/>
    </xf>
    <xf numFmtId="164" fontId="28" fillId="5" borderId="3" xfId="7" applyNumberFormat="1" applyFont="1" applyFill="1" applyBorder="1" applyAlignment="1">
      <alignment horizontal="center" vertical="center"/>
    </xf>
    <xf numFmtId="164" fontId="28" fillId="0" borderId="3" xfId="0" applyNumberFormat="1" applyFont="1" applyBorder="1" applyAlignment="1">
      <alignment horizontal="center" vertical="center"/>
    </xf>
    <xf numFmtId="164" fontId="28" fillId="5" borderId="3" xfId="8" applyNumberFormat="1" applyFont="1" applyFill="1" applyBorder="1" applyAlignment="1">
      <alignment horizontal="center" vertical="center"/>
    </xf>
    <xf numFmtId="164" fontId="28" fillId="4" borderId="3" xfId="3" applyNumberFormat="1" applyFont="1" applyFill="1" applyBorder="1" applyAlignment="1">
      <alignment horizontal="center" vertical="center"/>
    </xf>
    <xf numFmtId="164" fontId="28" fillId="4" borderId="3" xfId="4" applyNumberFormat="1" applyFont="1" applyFill="1" applyBorder="1" applyAlignment="1">
      <alignment horizontal="center" vertical="center"/>
    </xf>
    <xf numFmtId="164" fontId="28" fillId="5" borderId="1" xfId="7" applyNumberFormat="1" applyFont="1" applyFill="1" applyBorder="1" applyAlignment="1">
      <alignment horizontal="center" vertical="center"/>
    </xf>
    <xf numFmtId="164" fontId="28" fillId="0" borderId="1" xfId="0" applyNumberFormat="1" applyFont="1" applyBorder="1" applyAlignment="1">
      <alignment horizontal="center" vertical="center"/>
    </xf>
    <xf numFmtId="164" fontId="28" fillId="5" borderId="1" xfId="8" applyNumberFormat="1" applyFont="1" applyFill="1" applyBorder="1" applyAlignment="1">
      <alignment horizontal="center" vertical="center"/>
    </xf>
    <xf numFmtId="164" fontId="28" fillId="4" borderId="1" xfId="3" applyNumberFormat="1" applyFont="1" applyFill="1" applyBorder="1" applyAlignment="1">
      <alignment horizontal="center" vertical="center"/>
    </xf>
    <xf numFmtId="164" fontId="28" fillId="4" borderId="1" xfId="4" applyNumberFormat="1" applyFont="1" applyFill="1" applyBorder="1" applyAlignment="1">
      <alignment horizontal="center" vertical="center"/>
    </xf>
    <xf numFmtId="164" fontId="41" fillId="4" borderId="1" xfId="0" applyNumberFormat="1" applyFont="1" applyFill="1" applyBorder="1" applyAlignment="1">
      <alignment horizontal="center" vertical="center"/>
    </xf>
    <xf numFmtId="164" fontId="28" fillId="5" borderId="2" xfId="7" applyNumberFormat="1" applyFont="1" applyFill="1" applyBorder="1" applyAlignment="1">
      <alignment horizontal="center" vertical="center"/>
    </xf>
    <xf numFmtId="164" fontId="28" fillId="0" borderId="2" xfId="0" applyNumberFormat="1" applyFont="1" applyBorder="1" applyAlignment="1">
      <alignment horizontal="center" vertical="center"/>
    </xf>
    <xf numFmtId="164" fontId="28" fillId="4" borderId="2" xfId="5" applyNumberFormat="1" applyFont="1" applyFill="1" applyBorder="1" applyAlignment="1">
      <alignment horizontal="center" vertical="center"/>
    </xf>
    <xf numFmtId="164" fontId="28" fillId="5" borderId="2" xfId="8" applyNumberFormat="1" applyFont="1" applyFill="1" applyBorder="1" applyAlignment="1">
      <alignment horizontal="center" vertical="center"/>
    </xf>
    <xf numFmtId="164" fontId="28" fillId="4" borderId="2" xfId="3" applyNumberFormat="1" applyFont="1" applyFill="1" applyBorder="1" applyAlignment="1">
      <alignment horizontal="center" vertical="center"/>
    </xf>
    <xf numFmtId="164" fontId="28" fillId="4" borderId="2" xfId="4" applyNumberFormat="1" applyFont="1" applyFill="1" applyBorder="1" applyAlignment="1">
      <alignment horizontal="center" vertical="center"/>
    </xf>
    <xf numFmtId="164" fontId="28" fillId="18" borderId="39" xfId="7" applyNumberFormat="1" applyFont="1" applyFill="1" applyBorder="1" applyAlignment="1">
      <alignment horizontal="center" vertical="center"/>
    </xf>
    <xf numFmtId="164" fontId="28" fillId="18" borderId="39" xfId="0" applyNumberFormat="1" applyFont="1" applyFill="1" applyBorder="1" applyAlignment="1">
      <alignment horizontal="center" vertical="center"/>
    </xf>
    <xf numFmtId="164" fontId="28" fillId="18" borderId="39" xfId="5" applyNumberFormat="1" applyFont="1" applyFill="1" applyBorder="1" applyAlignment="1">
      <alignment horizontal="center" vertical="center"/>
    </xf>
    <xf numFmtId="164" fontId="28" fillId="18" borderId="39" xfId="8" applyNumberFormat="1" applyFont="1" applyFill="1" applyBorder="1" applyAlignment="1">
      <alignment horizontal="center" vertical="center"/>
    </xf>
    <xf numFmtId="164" fontId="28" fillId="19" borderId="39" xfId="0" applyNumberFormat="1" applyFont="1" applyFill="1" applyBorder="1" applyAlignment="1">
      <alignment horizontal="center" vertical="center"/>
    </xf>
    <xf numFmtId="164" fontId="28" fillId="19" borderId="39" xfId="4" applyNumberFormat="1" applyFont="1" applyFill="1" applyBorder="1" applyAlignment="1">
      <alignment horizontal="center" vertical="center"/>
    </xf>
    <xf numFmtId="164" fontId="41" fillId="0" borderId="1" xfId="0" applyNumberFormat="1" applyFont="1" applyBorder="1" applyAlignment="1">
      <alignment horizontal="center"/>
    </xf>
    <xf numFmtId="164" fontId="41" fillId="0" borderId="1" xfId="0" applyNumberFormat="1" applyFont="1" applyBorder="1" applyAlignment="1">
      <alignment horizontal="center" vertical="center"/>
    </xf>
    <xf numFmtId="164" fontId="40" fillId="0" borderId="1" xfId="0" applyNumberFormat="1" applyFont="1" applyBorder="1" applyAlignment="1">
      <alignment horizontal="center" vertical="center"/>
    </xf>
    <xf numFmtId="3" fontId="41" fillId="0" borderId="9" xfId="0" applyNumberFormat="1" applyFont="1" applyBorder="1" applyAlignment="1">
      <alignment horizontal="center" vertical="center"/>
    </xf>
    <xf numFmtId="0" fontId="0" fillId="0" borderId="9" xfId="0" applyBorder="1"/>
    <xf numFmtId="0" fontId="0" fillId="0" borderId="15" xfId="0" applyBorder="1"/>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1" borderId="8" xfId="0" applyFont="1" applyFill="1" applyBorder="1" applyAlignment="1">
      <alignment horizontal="center" vertical="center"/>
    </xf>
    <xf numFmtId="0" fontId="3" fillId="2" borderId="5" xfId="0" applyFont="1" applyFill="1" applyBorder="1" applyAlignment="1">
      <alignment horizontal="center" vertical="center" textRotation="90"/>
    </xf>
    <xf numFmtId="0" fontId="3" fillId="2" borderId="6" xfId="0" applyFont="1" applyFill="1" applyBorder="1" applyAlignment="1">
      <alignment horizontal="center" vertical="center" wrapText="1"/>
    </xf>
    <xf numFmtId="0" fontId="3" fillId="20" borderId="1" xfId="0" applyFont="1" applyFill="1" applyBorder="1" applyAlignment="1">
      <alignment horizontal="center" vertical="center"/>
    </xf>
    <xf numFmtId="0" fontId="0" fillId="0" borderId="8" xfId="0" applyBorder="1" applyAlignment="1">
      <alignment readingOrder="2"/>
    </xf>
    <xf numFmtId="0" fontId="0" fillId="0" borderId="21" xfId="0" applyBorder="1" applyAlignment="1">
      <alignment readingOrder="2"/>
    </xf>
    <xf numFmtId="0" fontId="0" fillId="0" borderId="14" xfId="0" applyBorder="1" applyAlignment="1">
      <alignment readingOrder="2"/>
    </xf>
    <xf numFmtId="0" fontId="0" fillId="0" borderId="3" xfId="0" applyBorder="1" applyAlignment="1">
      <alignment readingOrder="2"/>
    </xf>
    <xf numFmtId="0" fontId="4" fillId="2" borderId="38" xfId="0" applyFont="1" applyFill="1" applyBorder="1" applyAlignment="1">
      <alignment horizontal="center" vertical="center" readingOrder="2"/>
    </xf>
    <xf numFmtId="0" fontId="4" fillId="2" borderId="39" xfId="0" applyFont="1" applyFill="1" applyBorder="1" applyAlignment="1">
      <alignment horizontal="center" vertical="center" readingOrder="2"/>
    </xf>
    <xf numFmtId="0" fontId="4" fillId="2" borderId="40" xfId="0" applyFont="1" applyFill="1" applyBorder="1" applyAlignment="1">
      <alignment horizontal="center" vertical="center" readingOrder="2"/>
    </xf>
    <xf numFmtId="0" fontId="3" fillId="16" borderId="31" xfId="0" applyFont="1" applyFill="1" applyBorder="1" applyAlignment="1">
      <alignment horizontal="center" vertical="center" wrapText="1" readingOrder="2"/>
    </xf>
    <xf numFmtId="0" fontId="3" fillId="16" borderId="8" xfId="0" applyFont="1" applyFill="1" applyBorder="1" applyAlignment="1">
      <alignment horizontal="center" vertical="center" wrapText="1" readingOrder="2"/>
    </xf>
    <xf numFmtId="3" fontId="4" fillId="0" borderId="3" xfId="0" applyNumberFormat="1" applyFont="1" applyBorder="1" applyAlignment="1">
      <alignment horizontal="center" vertical="center" readingOrder="2"/>
    </xf>
    <xf numFmtId="165" fontId="4" fillId="4" borderId="1" xfId="0" applyNumberFormat="1" applyFont="1" applyFill="1" applyBorder="1" applyAlignment="1">
      <alignment horizontal="center" vertical="center" readingOrder="2"/>
    </xf>
    <xf numFmtId="0" fontId="4" fillId="4" borderId="3" xfId="0" applyFont="1" applyFill="1" applyBorder="1" applyAlignment="1">
      <alignment horizontal="center" vertical="center" readingOrder="2"/>
    </xf>
    <xf numFmtId="0" fontId="4" fillId="4" borderId="1" xfId="0" applyFont="1" applyFill="1" applyBorder="1" applyAlignment="1">
      <alignment horizontal="center" vertical="center" readingOrder="2"/>
    </xf>
    <xf numFmtId="0" fontId="4" fillId="0" borderId="9" xfId="0" applyFont="1" applyBorder="1" applyAlignment="1">
      <alignment horizontal="center" vertical="center" wrapText="1"/>
    </xf>
    <xf numFmtId="3" fontId="4" fillId="4" borderId="1" xfId="0" applyNumberFormat="1" applyFont="1" applyFill="1" applyBorder="1" applyAlignment="1">
      <alignment horizontal="center" vertical="center" readingOrder="2"/>
    </xf>
    <xf numFmtId="0" fontId="4" fillId="0" borderId="0" xfId="0" applyFont="1" applyAlignment="1">
      <alignment horizontal="center" vertical="center"/>
    </xf>
    <xf numFmtId="0" fontId="14" fillId="0" borderId="1" xfId="1" applyFont="1" applyBorder="1" applyAlignment="1" applyProtection="1">
      <alignment horizontal="right" vertical="center" readingOrder="2"/>
    </xf>
    <xf numFmtId="4" fontId="4" fillId="8" borderId="1" xfId="0" applyNumberFormat="1" applyFont="1" applyFill="1" applyBorder="1" applyAlignment="1">
      <alignment horizontal="center" vertical="center" readingOrder="2"/>
    </xf>
    <xf numFmtId="4" fontId="4" fillId="8" borderId="9" xfId="0" applyNumberFormat="1" applyFont="1" applyFill="1" applyBorder="1" applyAlignment="1">
      <alignment horizontal="center" vertical="center" readingOrder="2"/>
    </xf>
    <xf numFmtId="164" fontId="4" fillId="8" borderId="1" xfId="0" applyNumberFormat="1" applyFont="1" applyFill="1" applyBorder="1" applyAlignment="1">
      <alignment horizontal="center" vertical="center" readingOrder="2"/>
    </xf>
    <xf numFmtId="164" fontId="4" fillId="8" borderId="9" xfId="0" applyNumberFormat="1" applyFont="1" applyFill="1" applyBorder="1" applyAlignment="1">
      <alignment horizontal="center" vertical="center" readingOrder="2"/>
    </xf>
    <xf numFmtId="164" fontId="4" fillId="2" borderId="1" xfId="0" applyNumberFormat="1" applyFont="1" applyFill="1" applyBorder="1" applyAlignment="1">
      <alignment horizontal="center" vertical="center" readingOrder="2"/>
    </xf>
    <xf numFmtId="164" fontId="4" fillId="2" borderId="9" xfId="0" applyNumberFormat="1" applyFont="1" applyFill="1" applyBorder="1" applyAlignment="1">
      <alignment horizontal="center" vertical="center" readingOrder="2"/>
    </xf>
    <xf numFmtId="164" fontId="4" fillId="5" borderId="1" xfId="0" applyNumberFormat="1" applyFont="1" applyFill="1" applyBorder="1" applyAlignment="1">
      <alignment horizontal="center" vertical="center" readingOrder="2"/>
    </xf>
    <xf numFmtId="164" fontId="4" fillId="0" borderId="9" xfId="0" applyNumberFormat="1" applyFont="1" applyBorder="1" applyAlignment="1">
      <alignment horizontal="center" vertical="center" readingOrder="2"/>
    </xf>
    <xf numFmtId="164" fontId="4" fillId="8" borderId="20" xfId="0" applyNumberFormat="1" applyFont="1" applyFill="1" applyBorder="1" applyAlignment="1">
      <alignment horizontal="center" vertical="center" readingOrder="2"/>
    </xf>
    <xf numFmtId="164" fontId="4" fillId="4" borderId="3" xfId="0" applyNumberFormat="1" applyFont="1" applyFill="1" applyBorder="1" applyAlignment="1">
      <alignment horizontal="center" vertical="center" readingOrder="2"/>
    </xf>
    <xf numFmtId="164" fontId="4" fillId="6" borderId="9" xfId="0" applyNumberFormat="1" applyFont="1" applyFill="1" applyBorder="1" applyAlignment="1">
      <alignment horizontal="center" vertical="center" readingOrder="2"/>
    </xf>
    <xf numFmtId="164" fontId="49" fillId="8" borderId="1" xfId="0" applyNumberFormat="1" applyFont="1" applyFill="1" applyBorder="1" applyAlignment="1">
      <alignment readingOrder="2"/>
    </xf>
    <xf numFmtId="164" fontId="49" fillId="0" borderId="9" xfId="0" applyNumberFormat="1" applyFont="1" applyBorder="1" applyAlignment="1">
      <alignment readingOrder="2"/>
    </xf>
    <xf numFmtId="164" fontId="49" fillId="2" borderId="9" xfId="0" applyNumberFormat="1" applyFont="1" applyFill="1" applyBorder="1" applyAlignment="1">
      <alignment horizontal="center" vertical="center" readingOrder="2"/>
    </xf>
    <xf numFmtId="164" fontId="4" fillId="6" borderId="1" xfId="0" applyNumberFormat="1" applyFont="1" applyFill="1" applyBorder="1" applyAlignment="1">
      <alignment horizontal="center" vertical="center" readingOrder="2"/>
    </xf>
    <xf numFmtId="164" fontId="4" fillId="8" borderId="16" xfId="0" applyNumberFormat="1" applyFont="1" applyFill="1" applyBorder="1" applyAlignment="1">
      <alignment horizontal="center" vertical="center" readingOrder="2"/>
    </xf>
    <xf numFmtId="3" fontId="4" fillId="4" borderId="9" xfId="0" applyNumberFormat="1" applyFont="1" applyFill="1" applyBorder="1" applyAlignment="1">
      <alignment horizontal="center" vertical="center" readingOrder="2"/>
    </xf>
    <xf numFmtId="3" fontId="4" fillId="4" borderId="15" xfId="0" applyNumberFormat="1" applyFont="1" applyFill="1" applyBorder="1" applyAlignment="1">
      <alignment horizontal="center" vertical="center" readingOrder="2"/>
    </xf>
    <xf numFmtId="4" fontId="4" fillId="0" borderId="9" xfId="0" applyNumberFormat="1" applyFont="1" applyBorder="1" applyAlignment="1">
      <alignment horizontal="center" vertical="center" wrapText="1" readingOrder="2"/>
    </xf>
    <xf numFmtId="0" fontId="3" fillId="16" borderId="35" xfId="0" applyFont="1" applyFill="1" applyBorder="1" applyAlignment="1">
      <alignment horizontal="center" vertical="center" wrapText="1" readingOrder="2"/>
    </xf>
    <xf numFmtId="0" fontId="0" fillId="0" borderId="2" xfId="0" applyBorder="1" applyAlignment="1">
      <alignment readingOrder="2"/>
    </xf>
    <xf numFmtId="3" fontId="4" fillId="0" borderId="2" xfId="0" applyNumberFormat="1" applyFont="1" applyBorder="1" applyAlignment="1">
      <alignment horizontal="center" vertical="center" readingOrder="2"/>
    </xf>
    <xf numFmtId="165" fontId="4" fillId="4" borderId="2" xfId="0" applyNumberFormat="1" applyFont="1" applyFill="1" applyBorder="1" applyAlignment="1">
      <alignment horizontal="center" vertical="center" readingOrder="2"/>
    </xf>
    <xf numFmtId="0" fontId="4" fillId="4" borderId="2" xfId="0" applyFont="1" applyFill="1" applyBorder="1" applyAlignment="1">
      <alignment horizontal="center" vertical="center" readingOrder="2"/>
    </xf>
    <xf numFmtId="0" fontId="4" fillId="0" borderId="10" xfId="0" applyFont="1" applyBorder="1" applyAlignment="1">
      <alignment horizontal="center" vertical="center" wrapText="1"/>
    </xf>
    <xf numFmtId="3" fontId="4" fillId="4" borderId="6" xfId="0" applyNumberFormat="1" applyFont="1" applyFill="1" applyBorder="1" applyAlignment="1">
      <alignment horizontal="center" vertical="center" wrapText="1" readingOrder="2"/>
    </xf>
    <xf numFmtId="168" fontId="4" fillId="3" borderId="6" xfId="0" applyNumberFormat="1" applyFont="1" applyFill="1" applyBorder="1" applyAlignment="1">
      <alignment horizontal="center" vertical="center" readingOrder="2"/>
    </xf>
    <xf numFmtId="3" fontId="4" fillId="4" borderId="6" xfId="0" applyNumberFormat="1" applyFont="1" applyFill="1" applyBorder="1" applyAlignment="1">
      <alignment horizontal="center" vertical="center" readingOrder="2"/>
    </xf>
    <xf numFmtId="0" fontId="4" fillId="3" borderId="6" xfId="0" applyFont="1" applyFill="1" applyBorder="1" applyAlignment="1">
      <alignment horizontal="center" vertical="center" wrapText="1" readingOrder="2"/>
    </xf>
    <xf numFmtId="4" fontId="4" fillId="4" borderId="7" xfId="0" applyNumberFormat="1" applyFont="1" applyFill="1" applyBorder="1" applyAlignment="1">
      <alignment horizontal="center" vertical="center" wrapText="1"/>
    </xf>
    <xf numFmtId="168" fontId="40" fillId="5" borderId="9" xfId="0" applyNumberFormat="1" applyFont="1" applyFill="1" applyBorder="1" applyAlignment="1">
      <alignment horizontal="center" vertical="center" readingOrder="2"/>
    </xf>
    <xf numFmtId="164" fontId="4" fillId="4" borderId="6" xfId="0" applyNumberFormat="1" applyFont="1" applyFill="1" applyBorder="1" applyAlignment="1">
      <alignment horizontal="center" vertical="center" readingOrder="2"/>
    </xf>
    <xf numFmtId="164" fontId="4" fillId="0" borderId="6" xfId="0" applyNumberFormat="1" applyFont="1" applyBorder="1" applyAlignment="1">
      <alignment horizontal="center" vertical="center" readingOrder="2"/>
    </xf>
    <xf numFmtId="164" fontId="4" fillId="4" borderId="7" xfId="0" applyNumberFormat="1" applyFont="1" applyFill="1" applyBorder="1" applyAlignment="1">
      <alignment horizontal="center" vertical="center" readingOrder="2"/>
    </xf>
    <xf numFmtId="0" fontId="4" fillId="0" borderId="1" xfId="0" applyFont="1" applyBorder="1" applyAlignment="1">
      <alignment horizontal="center" vertical="center" wrapText="1" readingOrder="2"/>
    </xf>
    <xf numFmtId="3" fontId="4" fillId="4" borderId="10" xfId="0" applyNumberFormat="1" applyFont="1" applyFill="1" applyBorder="1" applyAlignment="1">
      <alignment horizontal="center" vertical="center" readingOrder="2"/>
    </xf>
    <xf numFmtId="0" fontId="51" fillId="0" borderId="1" xfId="0" applyFont="1" applyBorder="1" applyAlignment="1">
      <alignment horizontal="right" vertical="center" wrapText="1"/>
    </xf>
    <xf numFmtId="0" fontId="3" fillId="0" borderId="3" xfId="0" applyFont="1" applyBorder="1" applyAlignment="1">
      <alignment horizontal="left" vertical="center" readingOrder="2"/>
    </xf>
    <xf numFmtId="0" fontId="3" fillId="0" borderId="0" xfId="0" applyFont="1" applyFill="1" applyBorder="1" applyAlignment="1">
      <alignment horizontal="right" vertical="center"/>
    </xf>
    <xf numFmtId="0" fontId="4" fillId="0" borderId="1" xfId="0" applyFont="1" applyBorder="1" applyAlignment="1">
      <alignment horizontal="center" vertical="center" wrapText="1"/>
    </xf>
    <xf numFmtId="0" fontId="4" fillId="0" borderId="9" xfId="0" applyFont="1" applyBorder="1" applyAlignment="1">
      <alignment horizontal="center" vertical="center"/>
    </xf>
    <xf numFmtId="0" fontId="7" fillId="0" borderId="24" xfId="0" applyFont="1" applyBorder="1" applyAlignment="1">
      <alignment vertical="center"/>
    </xf>
    <xf numFmtId="3" fontId="4" fillId="0" borderId="1" xfId="0" applyNumberFormat="1" applyFont="1" applyBorder="1" applyAlignment="1">
      <alignment horizontal="center" vertical="center"/>
    </xf>
    <xf numFmtId="0" fontId="4" fillId="0" borderId="1" xfId="0" applyFont="1" applyBorder="1" applyAlignment="1">
      <alignment horizontal="center" vertical="center"/>
    </xf>
    <xf numFmtId="3" fontId="4" fillId="4" borderId="14" xfId="0" applyNumberFormat="1" applyFont="1" applyFill="1" applyBorder="1" applyAlignment="1">
      <alignment horizontal="center" vertical="center"/>
    </xf>
    <xf numFmtId="0" fontId="3" fillId="2" borderId="37" xfId="0" applyFont="1" applyFill="1" applyBorder="1" applyAlignment="1">
      <alignment horizontal="center" vertical="center" wrapText="1"/>
    </xf>
    <xf numFmtId="0" fontId="52" fillId="0" borderId="0" xfId="0" applyFont="1" applyAlignment="1">
      <alignment horizontal="center" vertical="center"/>
    </xf>
    <xf numFmtId="4" fontId="4" fillId="0" borderId="1" xfId="0" applyNumberFormat="1" applyFont="1" applyBorder="1" applyAlignment="1">
      <alignment horizontal="center" vertical="center" readingOrder="2"/>
    </xf>
    <xf numFmtId="169" fontId="4" fillId="4" borderId="1" xfId="0" applyNumberFormat="1" applyFont="1" applyFill="1" applyBorder="1" applyAlignment="1">
      <alignment horizontal="center" vertical="center" wrapText="1" readingOrder="2"/>
    </xf>
    <xf numFmtId="164" fontId="4" fillId="4" borderId="1" xfId="0" applyNumberFormat="1" applyFont="1" applyFill="1" applyBorder="1" applyAlignment="1">
      <alignment horizontal="center" vertical="center" wrapText="1" readingOrder="2"/>
    </xf>
    <xf numFmtId="4" fontId="4" fillId="4" borderId="3" xfId="0" applyNumberFormat="1" applyFont="1" applyFill="1" applyBorder="1" applyAlignment="1">
      <alignment horizontal="center" vertical="center" readingOrder="2"/>
    </xf>
    <xf numFmtId="4" fontId="4" fillId="0" borderId="3" xfId="0" applyNumberFormat="1" applyFont="1" applyBorder="1" applyAlignment="1">
      <alignment horizontal="center" vertical="center" readingOrder="2"/>
    </xf>
    <xf numFmtId="169" fontId="4" fillId="3" borderId="17" xfId="0" applyNumberFormat="1" applyFont="1" applyFill="1" applyBorder="1" applyAlignment="1">
      <alignment horizontal="center" readingOrder="2"/>
    </xf>
    <xf numFmtId="0" fontId="3" fillId="7" borderId="44" xfId="0" applyFont="1" applyFill="1" applyBorder="1" applyAlignment="1">
      <alignment horizontal="center" vertical="center" readingOrder="2"/>
    </xf>
    <xf numFmtId="0" fontId="7" fillId="7" borderId="44" xfId="0" applyFont="1" applyFill="1" applyBorder="1" applyAlignment="1">
      <alignment horizontal="center" vertical="center" readingOrder="2"/>
    </xf>
    <xf numFmtId="0" fontId="3" fillId="7" borderId="45" xfId="0" applyFont="1" applyFill="1" applyBorder="1" applyAlignment="1">
      <alignment horizontal="center" vertical="center" readingOrder="2"/>
    </xf>
    <xf numFmtId="0" fontId="3" fillId="7" borderId="30" xfId="0" applyFont="1" applyFill="1" applyBorder="1" applyAlignment="1">
      <alignment horizontal="center" vertical="center" readingOrder="2"/>
    </xf>
    <xf numFmtId="0" fontId="3" fillId="7" borderId="44" xfId="0" applyFont="1" applyFill="1" applyBorder="1" applyAlignment="1">
      <alignment horizontal="center" vertical="center"/>
    </xf>
    <xf numFmtId="0" fontId="3" fillId="7" borderId="1" xfId="0" applyFont="1" applyFill="1" applyBorder="1" applyAlignment="1">
      <alignment horizontal="center" vertical="center" readingOrder="2"/>
    </xf>
    <xf numFmtId="0" fontId="3" fillId="0" borderId="1" xfId="0" applyFont="1" applyBorder="1" applyAlignment="1">
      <alignment horizontal="right" vertical="center"/>
    </xf>
    <xf numFmtId="3" fontId="3" fillId="7" borderId="1" xfId="0" applyNumberFormat="1" applyFont="1" applyFill="1" applyBorder="1" applyAlignment="1">
      <alignment horizontal="center" vertical="center" readingOrder="2"/>
    </xf>
    <xf numFmtId="0" fontId="3" fillId="7" borderId="1" xfId="0" applyFont="1" applyFill="1" applyBorder="1" applyAlignment="1">
      <alignment horizontal="right" vertical="center"/>
    </xf>
    <xf numFmtId="0" fontId="3" fillId="7" borderId="8" xfId="0" applyFont="1" applyFill="1" applyBorder="1" applyAlignment="1">
      <alignment horizontal="center" vertical="center" readingOrder="2"/>
    </xf>
    <xf numFmtId="0" fontId="3" fillId="7" borderId="9" xfId="0" applyFont="1" applyFill="1" applyBorder="1" applyAlignment="1">
      <alignment horizontal="center" vertical="center" readingOrder="2"/>
    </xf>
    <xf numFmtId="0" fontId="3" fillId="7" borderId="55" xfId="0" applyFont="1" applyFill="1" applyBorder="1" applyAlignment="1">
      <alignment horizontal="center" vertical="center" readingOrder="2"/>
    </xf>
    <xf numFmtId="0" fontId="3" fillId="0" borderId="55" xfId="0" applyFont="1" applyBorder="1" applyAlignment="1">
      <alignment horizontal="right" vertical="center"/>
    </xf>
    <xf numFmtId="0" fontId="3" fillId="0" borderId="2" xfId="0" applyFont="1" applyBorder="1" applyAlignment="1">
      <alignment horizontal="center" vertical="center" readingOrder="2"/>
    </xf>
    <xf numFmtId="14" fontId="3" fillId="0" borderId="2" xfId="0" applyNumberFormat="1" applyFont="1" applyBorder="1" applyAlignment="1">
      <alignment horizontal="center" vertical="center" readingOrder="2"/>
    </xf>
    <xf numFmtId="3" fontId="3" fillId="0" borderId="2" xfId="0" applyNumberFormat="1" applyFont="1" applyBorder="1" applyAlignment="1">
      <alignment horizontal="center" vertical="center" readingOrder="2"/>
    </xf>
    <xf numFmtId="0" fontId="3" fillId="7" borderId="10" xfId="0" applyFont="1" applyFill="1" applyBorder="1" applyAlignment="1">
      <alignment horizontal="center" vertical="center" readingOrder="2"/>
    </xf>
    <xf numFmtId="3" fontId="3" fillId="4" borderId="39" xfId="0" applyNumberFormat="1" applyFont="1" applyFill="1" applyBorder="1" applyAlignment="1">
      <alignment horizontal="center" vertical="center" readingOrder="2"/>
    </xf>
    <xf numFmtId="3" fontId="3" fillId="4" borderId="39" xfId="0" applyNumberFormat="1" applyFont="1" applyFill="1" applyBorder="1" applyAlignment="1">
      <alignment horizontal="center" vertical="center" wrapText="1" readingOrder="2"/>
    </xf>
    <xf numFmtId="3" fontId="3" fillId="4" borderId="40" xfId="0" applyNumberFormat="1" applyFont="1" applyFill="1" applyBorder="1" applyAlignment="1">
      <alignment horizontal="center" vertical="center" readingOrder="2"/>
    </xf>
    <xf numFmtId="0" fontId="3" fillId="7" borderId="5" xfId="0" applyFont="1" applyFill="1" applyBorder="1" applyAlignment="1">
      <alignment horizontal="center" vertical="center" readingOrder="2"/>
    </xf>
    <xf numFmtId="0" fontId="3" fillId="7" borderId="6" xfId="0" applyFont="1" applyFill="1" applyBorder="1" applyAlignment="1">
      <alignment horizontal="right" vertical="center"/>
    </xf>
    <xf numFmtId="0" fontId="3" fillId="7" borderId="6" xfId="0" applyFont="1" applyFill="1" applyBorder="1" applyAlignment="1">
      <alignment horizontal="center" vertical="center" readingOrder="2"/>
    </xf>
    <xf numFmtId="3" fontId="3" fillId="7" borderId="6" xfId="0" applyNumberFormat="1" applyFont="1" applyFill="1" applyBorder="1" applyAlignment="1">
      <alignment horizontal="center" vertical="center" readingOrder="2"/>
    </xf>
    <xf numFmtId="0" fontId="3" fillId="7" borderId="7" xfId="0" applyFont="1" applyFill="1" applyBorder="1" applyAlignment="1">
      <alignment horizontal="center" vertical="center" readingOrder="2"/>
    </xf>
    <xf numFmtId="169" fontId="4" fillId="3" borderId="0" xfId="0" applyNumberFormat="1" applyFont="1" applyFill="1" applyBorder="1" applyAlignment="1">
      <alignment horizontal="center" vertical="center" readingOrder="2"/>
    </xf>
    <xf numFmtId="167" fontId="33" fillId="3" borderId="0" xfId="0" applyNumberFormat="1" applyFont="1" applyFill="1" applyBorder="1" applyAlignment="1">
      <alignment horizontal="center" vertical="center" wrapText="1"/>
    </xf>
    <xf numFmtId="169" fontId="39" fillId="3" borderId="0" xfId="0" applyNumberFormat="1" applyFont="1" applyFill="1" applyAlignment="1">
      <alignment horizontal="center" vertical="center" readingOrder="2"/>
    </xf>
    <xf numFmtId="169" fontId="4" fillId="3" borderId="25" xfId="0" applyNumberFormat="1" applyFont="1" applyFill="1" applyBorder="1" applyAlignment="1">
      <alignment horizontal="center" vertical="center" readingOrder="2"/>
    </xf>
    <xf numFmtId="0" fontId="5" fillId="0" borderId="0" xfId="0" applyFont="1" applyAlignment="1">
      <alignment horizontal="right"/>
    </xf>
    <xf numFmtId="0" fontId="5" fillId="0" borderId="0" xfId="0" applyFont="1" applyAlignment="1"/>
    <xf numFmtId="0" fontId="40" fillId="4" borderId="5" xfId="0" applyFont="1" applyFill="1" applyBorder="1" applyAlignment="1">
      <alignment horizontal="center" vertical="center" wrapText="1" readingOrder="2"/>
    </xf>
    <xf numFmtId="0" fontId="40" fillId="4" borderId="6" xfId="0" applyFont="1" applyFill="1" applyBorder="1" applyAlignment="1">
      <alignment horizontal="center" vertical="center" wrapText="1" readingOrder="2"/>
    </xf>
    <xf numFmtId="0" fontId="3" fillId="0" borderId="0" xfId="0" applyFont="1" applyAlignment="1">
      <alignment horizontal="center"/>
    </xf>
    <xf numFmtId="0" fontId="3" fillId="0" borderId="0" xfId="0" applyFont="1" applyAlignment="1">
      <alignment horizontal="center" vertical="center"/>
    </xf>
    <xf numFmtId="0" fontId="40" fillId="0" borderId="36" xfId="0" applyFont="1" applyBorder="1" applyAlignment="1">
      <alignment horizontal="center" vertical="center" wrapText="1" readingOrder="2"/>
    </xf>
    <xf numFmtId="0" fontId="8" fillId="0" borderId="4" xfId="0" applyFont="1" applyBorder="1" applyAlignment="1">
      <alignment horizontal="center" vertical="center" wrapText="1" readingOrder="2"/>
    </xf>
    <xf numFmtId="0" fontId="0" fillId="0" borderId="4" xfId="0" applyBorder="1" applyAlignment="1">
      <alignment horizontal="center" vertical="center" wrapText="1" readingOrder="2"/>
    </xf>
    <xf numFmtId="0" fontId="0" fillId="0" borderId="16" xfId="0" applyBorder="1" applyAlignment="1">
      <alignment horizontal="center" vertical="center" wrapText="1" readingOrder="2"/>
    </xf>
    <xf numFmtId="0" fontId="2" fillId="2" borderId="18"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6" xfId="0" applyFont="1" applyFill="1" applyBorder="1" applyAlignment="1">
      <alignment horizontal="center" vertical="center"/>
    </xf>
    <xf numFmtId="0" fontId="3" fillId="0" borderId="18" xfId="0" applyFont="1" applyBorder="1" applyAlignment="1">
      <alignment horizontal="right" vertical="center"/>
    </xf>
    <xf numFmtId="0" fontId="3" fillId="0" borderId="4" xfId="0" applyFont="1" applyBorder="1" applyAlignment="1">
      <alignment horizontal="right" vertical="center"/>
    </xf>
    <xf numFmtId="0" fontId="3" fillId="0" borderId="16" xfId="0" applyFont="1" applyBorder="1" applyAlignment="1">
      <alignment horizontal="right" vertical="center"/>
    </xf>
    <xf numFmtId="0" fontId="3" fillId="0" borderId="11" xfId="0" applyFont="1" applyBorder="1" applyAlignment="1">
      <alignment horizontal="right" vertical="center"/>
    </xf>
    <xf numFmtId="0" fontId="3" fillId="0" borderId="12" xfId="0" applyFont="1" applyBorder="1" applyAlignment="1">
      <alignment horizontal="right" vertical="center"/>
    </xf>
    <xf numFmtId="0" fontId="3" fillId="0" borderId="13" xfId="0" applyFont="1" applyBorder="1" applyAlignment="1">
      <alignment horizontal="right" vertical="center"/>
    </xf>
    <xf numFmtId="0" fontId="11" fillId="0" borderId="25" xfId="1" applyFont="1" applyBorder="1" applyAlignment="1" applyProtection="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0" borderId="0" xfId="0" applyFont="1" applyAlignment="1">
      <alignment horizontal="center" readingOrder="2"/>
    </xf>
    <xf numFmtId="0" fontId="4" fillId="0" borderId="0" xfId="0" applyFont="1" applyAlignment="1">
      <alignment vertical="center" wrapText="1" readingOrder="2"/>
    </xf>
    <xf numFmtId="0" fontId="0" fillId="0" borderId="0" xfId="0" applyAlignment="1">
      <alignment horizontal="center" vertical="center"/>
    </xf>
    <xf numFmtId="0" fontId="4" fillId="0" borderId="0" xfId="0" applyFont="1" applyAlignment="1">
      <alignment horizontal="center" readingOrder="2"/>
    </xf>
    <xf numFmtId="0" fontId="4" fillId="0" borderId="0" xfId="0" applyFont="1" applyAlignment="1">
      <alignment horizontal="center" vertical="center" readingOrder="2"/>
    </xf>
    <xf numFmtId="0" fontId="11" fillId="0" borderId="0" xfId="1" applyFont="1" applyAlignment="1" applyProtection="1">
      <alignment horizontal="center" vertical="center"/>
    </xf>
    <xf numFmtId="0" fontId="4" fillId="0" borderId="0" xfId="0" applyFont="1" applyAlignment="1">
      <alignment horizontal="center" vertical="center" wrapText="1" readingOrder="2"/>
    </xf>
    <xf numFmtId="0" fontId="11" fillId="0" borderId="0" xfId="1" applyFont="1" applyAlignment="1" applyProtection="1">
      <alignment horizontal="center" vertical="center" wrapText="1"/>
    </xf>
    <xf numFmtId="0" fontId="0" fillId="0" borderId="0" xfId="0" applyAlignment="1">
      <alignment wrapText="1"/>
    </xf>
    <xf numFmtId="0" fontId="11" fillId="0" borderId="0" xfId="1" applyFont="1" applyAlignment="1" applyProtection="1">
      <alignment horizontal="center" wrapText="1"/>
    </xf>
    <xf numFmtId="0" fontId="11" fillId="5" borderId="0" xfId="1" applyFont="1" applyFill="1" applyBorder="1" applyAlignment="1" applyProtection="1">
      <alignment horizontal="center" vertical="center" wrapText="1" readingOrder="2"/>
    </xf>
    <xf numFmtId="0" fontId="4" fillId="0" borderId="0" xfId="0" applyFont="1" applyAlignment="1">
      <alignment horizontal="right" vertical="center" wrapText="1"/>
    </xf>
    <xf numFmtId="0" fontId="49" fillId="0" borderId="0" xfId="0" applyFont="1" applyAlignment="1">
      <alignment wrapText="1"/>
    </xf>
    <xf numFmtId="0" fontId="49" fillId="0" borderId="0" xfId="0" applyFont="1" applyAlignment="1">
      <alignment horizontal="right" vertical="center" wrapText="1"/>
    </xf>
    <xf numFmtId="0" fontId="3" fillId="0" borderId="0" xfId="0" applyFont="1" applyAlignment="1">
      <alignment horizontal="right" vertical="center" wrapText="1"/>
    </xf>
    <xf numFmtId="0" fontId="3" fillId="21" borderId="21" xfId="0" applyFont="1" applyFill="1" applyBorder="1" applyAlignment="1">
      <alignment horizontal="center" vertical="center" wrapText="1"/>
    </xf>
    <xf numFmtId="0" fontId="0" fillId="0" borderId="14" xfId="0" applyBorder="1" applyAlignment="1">
      <alignment horizontal="center" vertical="center" wrapText="1"/>
    </xf>
    <xf numFmtId="0" fontId="3" fillId="0" borderId="42" xfId="0" applyFont="1" applyBorder="1" applyAlignment="1">
      <alignment vertical="center" wrapText="1"/>
    </xf>
    <xf numFmtId="0" fontId="3" fillId="0" borderId="53" xfId="0" applyFont="1" applyBorder="1" applyAlignment="1">
      <alignment vertical="center" wrapText="1"/>
    </xf>
    <xf numFmtId="3" fontId="4" fillId="8" borderId="42" xfId="0" applyNumberFormat="1" applyFont="1" applyFill="1" applyBorder="1" applyAlignment="1">
      <alignment horizontal="center" vertical="center" wrapText="1"/>
    </xf>
    <xf numFmtId="3" fontId="4" fillId="8" borderId="52" xfId="0" applyNumberFormat="1" applyFont="1" applyFill="1" applyBorder="1" applyAlignment="1">
      <alignment horizontal="center" vertical="center" wrapText="1"/>
    </xf>
    <xf numFmtId="3" fontId="49" fillId="8" borderId="53" xfId="0" applyNumberFormat="1" applyFont="1" applyFill="1" applyBorder="1" applyAlignment="1">
      <alignment horizontal="center" vertical="center" wrapText="1"/>
    </xf>
    <xf numFmtId="0" fontId="5" fillId="0" borderId="0" xfId="0" applyFont="1" applyAlignment="1">
      <alignment horizontal="right" vertical="center" readingOrder="2"/>
    </xf>
    <xf numFmtId="0" fontId="0" fillId="0" borderId="0" xfId="0" applyAlignment="1">
      <alignment horizontal="right" vertical="center" readingOrder="2"/>
    </xf>
    <xf numFmtId="0" fontId="3" fillId="0" borderId="0" xfId="0" applyFont="1" applyAlignment="1">
      <alignment horizontal="right" vertical="center" readingOrder="2"/>
    </xf>
    <xf numFmtId="0" fontId="3" fillId="2" borderId="11" xfId="0" applyFont="1" applyFill="1" applyBorder="1" applyAlignment="1">
      <alignment horizontal="right" vertical="center" readingOrder="2"/>
    </xf>
    <xf numFmtId="0" fontId="3" fillId="2" borderId="12" xfId="0" applyFont="1" applyFill="1" applyBorder="1" applyAlignment="1">
      <alignment horizontal="right" vertical="center" readingOrder="2"/>
    </xf>
    <xf numFmtId="0" fontId="3" fillId="2" borderId="13" xfId="0" applyFont="1" applyFill="1" applyBorder="1" applyAlignment="1">
      <alignment horizontal="right" vertical="center" readingOrder="2"/>
    </xf>
    <xf numFmtId="0" fontId="5" fillId="0" borderId="0" xfId="0" applyFont="1" applyAlignment="1">
      <alignment vertical="center" readingOrder="2"/>
    </xf>
    <xf numFmtId="0" fontId="0" fillId="0" borderId="0" xfId="0" applyAlignment="1">
      <alignment vertical="center" readingOrder="2"/>
    </xf>
    <xf numFmtId="0" fontId="3" fillId="2" borderId="12" xfId="0" applyFont="1" applyFill="1" applyBorder="1" applyAlignment="1">
      <alignment horizontal="center" vertical="center" wrapText="1" readingOrder="2"/>
    </xf>
    <xf numFmtId="0" fontId="0" fillId="0" borderId="54" xfId="0" applyBorder="1" applyAlignment="1">
      <alignment horizontal="center" vertical="center" wrapText="1" readingOrder="2"/>
    </xf>
    <xf numFmtId="0" fontId="4" fillId="0" borderId="0" xfId="0" applyFont="1" applyFill="1" applyBorder="1" applyAlignment="1">
      <alignment horizontal="right" vertical="center"/>
    </xf>
    <xf numFmtId="0" fontId="8" fillId="0" borderId="0" xfId="0" applyFont="1" applyBorder="1" applyAlignment="1">
      <alignment horizontal="right" vertical="center"/>
    </xf>
    <xf numFmtId="0" fontId="5" fillId="2" borderId="22" xfId="0" applyFont="1" applyFill="1" applyBorder="1" applyAlignment="1">
      <alignment horizontal="center" vertical="center"/>
    </xf>
    <xf numFmtId="0" fontId="0" fillId="2" borderId="24" xfId="0" applyFill="1" applyBorder="1" applyAlignment="1">
      <alignment horizontal="center" vertical="center"/>
    </xf>
    <xf numFmtId="0" fontId="0" fillId="2" borderId="23" xfId="0" applyFill="1" applyBorder="1" applyAlignment="1">
      <alignment horizontal="center" vertical="center"/>
    </xf>
    <xf numFmtId="0" fontId="5" fillId="2" borderId="6" xfId="0" applyFont="1" applyFill="1" applyBorder="1" applyAlignment="1">
      <alignment horizontal="center" vertical="center" readingOrder="2"/>
    </xf>
    <xf numFmtId="0" fontId="0" fillId="2" borderId="6" xfId="0" applyFill="1" applyBorder="1" applyAlignment="1">
      <alignment horizontal="center" vertical="center" readingOrder="2"/>
    </xf>
    <xf numFmtId="0" fontId="0" fillId="2" borderId="1" xfId="0" applyFill="1" applyBorder="1" applyAlignment="1">
      <alignment horizontal="center" vertical="center" readingOrder="2"/>
    </xf>
    <xf numFmtId="0" fontId="0" fillId="2" borderId="7" xfId="0" applyFill="1" applyBorder="1" applyAlignment="1">
      <alignment horizontal="center" vertical="center" readingOrder="2"/>
    </xf>
    <xf numFmtId="0" fontId="0" fillId="2" borderId="9" xfId="0" applyFill="1" applyBorder="1" applyAlignment="1">
      <alignment horizontal="center" vertical="center" readingOrder="2"/>
    </xf>
    <xf numFmtId="0" fontId="5" fillId="0" borderId="0" xfId="0" applyFont="1" applyAlignment="1">
      <alignment horizontal="right" vertical="center"/>
    </xf>
    <xf numFmtId="0" fontId="4" fillId="5" borderId="0" xfId="0" applyFont="1" applyFill="1" applyBorder="1" applyAlignment="1">
      <alignment horizontal="right" vertical="center" readingOrder="2"/>
    </xf>
    <xf numFmtId="0" fontId="0" fillId="0" borderId="0" xfId="0" applyBorder="1" applyAlignment="1">
      <alignment horizontal="right" vertical="center"/>
    </xf>
    <xf numFmtId="0" fontId="4" fillId="0" borderId="0" xfId="0" applyFont="1" applyAlignment="1">
      <alignment horizontal="right" vertical="center"/>
    </xf>
    <xf numFmtId="0" fontId="0" fillId="0" borderId="0" xfId="0" applyAlignment="1">
      <alignment horizontal="center" vertical="center" readingOrder="2"/>
    </xf>
    <xf numFmtId="0" fontId="3" fillId="0" borderId="0" xfId="0" applyFont="1" applyAlignment="1">
      <alignment horizontal="right" vertical="center"/>
    </xf>
    <xf numFmtId="0" fontId="5" fillId="2" borderId="28" xfId="0" applyFont="1" applyFill="1" applyBorder="1" applyAlignment="1">
      <alignment horizontal="center" vertical="center" readingOrder="2"/>
    </xf>
    <xf numFmtId="0" fontId="0" fillId="2" borderId="29" xfId="0" applyFill="1" applyBorder="1" applyAlignment="1">
      <alignment horizontal="center" vertical="center" readingOrder="2"/>
    </xf>
    <xf numFmtId="0" fontId="0" fillId="2" borderId="26" xfId="0" applyFill="1" applyBorder="1" applyAlignment="1">
      <alignment horizontal="center" vertical="center" readingOrder="2"/>
    </xf>
    <xf numFmtId="0" fontId="0" fillId="2" borderId="27" xfId="0" applyFill="1" applyBorder="1" applyAlignment="1">
      <alignment horizontal="center" vertical="center" readingOrder="2"/>
    </xf>
    <xf numFmtId="0" fontId="5" fillId="0" borderId="0" xfId="0" applyFont="1" applyBorder="1" applyAlignment="1">
      <alignment horizontal="right" vertical="center"/>
    </xf>
    <xf numFmtId="0" fontId="3" fillId="0" borderId="0" xfId="0" applyFont="1" applyFill="1" applyBorder="1" applyAlignment="1">
      <alignment horizontal="right" vertical="center"/>
    </xf>
    <xf numFmtId="0" fontId="9" fillId="0" borderId="0" xfId="0" applyFont="1" applyBorder="1" applyAlignment="1">
      <alignment horizontal="right" vertical="center"/>
    </xf>
    <xf numFmtId="0" fontId="3" fillId="0" borderId="0" xfId="0" applyFont="1" applyAlignment="1">
      <alignment horizontal="center" vertical="center" readingOrder="2"/>
    </xf>
    <xf numFmtId="0" fontId="3" fillId="2" borderId="32" xfId="0" applyFont="1" applyFill="1" applyBorder="1" applyAlignment="1">
      <alignment horizontal="center" vertical="center" readingOrder="2"/>
    </xf>
    <xf numFmtId="0" fontId="3" fillId="2" borderId="34" xfId="0" applyFont="1" applyFill="1" applyBorder="1" applyAlignment="1">
      <alignment horizontal="center" vertical="center" readingOrder="2"/>
    </xf>
    <xf numFmtId="0" fontId="7" fillId="2" borderId="32" xfId="0" applyFont="1" applyFill="1" applyBorder="1" applyAlignment="1">
      <alignment horizontal="center" vertical="center" readingOrder="2"/>
    </xf>
    <xf numFmtId="0" fontId="7" fillId="2" borderId="34" xfId="0" applyFont="1" applyFill="1" applyBorder="1" applyAlignment="1">
      <alignment horizontal="center" vertical="center" readingOrder="2"/>
    </xf>
    <xf numFmtId="0" fontId="0" fillId="2" borderId="33" xfId="0" applyFill="1" applyBorder="1" applyAlignment="1">
      <alignment readingOrder="2"/>
    </xf>
    <xf numFmtId="0" fontId="3" fillId="2" borderId="30" xfId="0" applyFont="1" applyFill="1" applyBorder="1" applyAlignment="1">
      <alignment horizontal="center" vertical="center"/>
    </xf>
    <xf numFmtId="0" fontId="0" fillId="2" borderId="31" xfId="0" applyFill="1" applyBorder="1"/>
    <xf numFmtId="0" fontId="3" fillId="0" borderId="25" xfId="0" applyFont="1" applyBorder="1" applyAlignment="1">
      <alignment horizontal="right" vertical="center" wrapText="1"/>
    </xf>
    <xf numFmtId="0" fontId="0" fillId="0" borderId="25" xfId="0" applyBorder="1" applyAlignment="1">
      <alignment wrapText="1"/>
    </xf>
    <xf numFmtId="0" fontId="17" fillId="0" borderId="0" xfId="0" applyFont="1" applyAlignment="1">
      <alignment horizontal="right" vertical="center"/>
    </xf>
    <xf numFmtId="0" fontId="17" fillId="0" borderId="0" xfId="0" applyFont="1" applyAlignment="1">
      <alignment horizontal="center"/>
    </xf>
    <xf numFmtId="0" fontId="17" fillId="0" borderId="0" xfId="0" applyFont="1" applyAlignment="1">
      <alignment horizontal="center" vertical="center" readingOrder="2"/>
    </xf>
    <xf numFmtId="0" fontId="0" fillId="0" borderId="0" xfId="0" applyFont="1" applyAlignment="1">
      <alignment vertical="center" readingOrder="2"/>
    </xf>
    <xf numFmtId="0" fontId="14" fillId="0" borderId="0" xfId="0" applyFont="1" applyAlignment="1">
      <alignment horizontal="center"/>
    </xf>
    <xf numFmtId="0" fontId="3" fillId="0" borderId="25" xfId="0" applyFont="1" applyBorder="1" applyAlignment="1">
      <alignment horizontal="center" vertical="center" readingOrder="2"/>
    </xf>
    <xf numFmtId="0" fontId="3" fillId="7" borderId="42" xfId="0" applyFont="1" applyFill="1" applyBorder="1" applyAlignment="1">
      <alignment horizontal="center" vertical="center"/>
    </xf>
    <xf numFmtId="0" fontId="3" fillId="7" borderId="52" xfId="0" applyFont="1" applyFill="1" applyBorder="1" applyAlignment="1">
      <alignment horizontal="center" vertical="center"/>
    </xf>
    <xf numFmtId="0" fontId="3" fillId="7" borderId="56" xfId="0" applyFont="1" applyFill="1" applyBorder="1" applyAlignment="1">
      <alignment horizontal="center" vertical="center"/>
    </xf>
    <xf numFmtId="0" fontId="17" fillId="0" borderId="37" xfId="0" applyFont="1" applyBorder="1" applyAlignment="1">
      <alignment horizontal="right" vertical="center"/>
    </xf>
    <xf numFmtId="0" fontId="28" fillId="0" borderId="0" xfId="0" applyFont="1" applyBorder="1" applyAlignment="1">
      <alignment horizontal="center"/>
    </xf>
    <xf numFmtId="0" fontId="26" fillId="17" borderId="1" xfId="6" applyFont="1" applyFill="1" applyBorder="1" applyAlignment="1">
      <alignment horizontal="center" vertical="center"/>
    </xf>
    <xf numFmtId="0" fontId="26" fillId="17" borderId="2" xfId="6" applyFont="1" applyFill="1" applyBorder="1" applyAlignment="1">
      <alignment horizontal="center" vertical="center"/>
    </xf>
    <xf numFmtId="0" fontId="28" fillId="2" borderId="48" xfId="8" applyFont="1" applyFill="1" applyBorder="1" applyAlignment="1">
      <alignment horizontal="center" vertical="center" textRotation="90"/>
    </xf>
    <xf numFmtId="0" fontId="28" fillId="2" borderId="49" xfId="8" applyFont="1" applyFill="1" applyBorder="1" applyAlignment="1">
      <alignment horizontal="center" vertical="center" textRotation="90"/>
    </xf>
    <xf numFmtId="0" fontId="28" fillId="2" borderId="34" xfId="4" applyFont="1" applyFill="1" applyBorder="1" applyAlignment="1">
      <alignment horizontal="center" vertical="center"/>
    </xf>
    <xf numFmtId="0" fontId="28" fillId="2" borderId="13" xfId="4" applyFont="1" applyFill="1" applyBorder="1" applyAlignment="1">
      <alignment horizontal="center" vertical="center"/>
    </xf>
    <xf numFmtId="0" fontId="29" fillId="2" borderId="6" xfId="0" applyFont="1" applyFill="1" applyBorder="1" applyAlignment="1">
      <alignment horizontal="center" vertical="center"/>
    </xf>
    <xf numFmtId="0" fontId="29" fillId="2" borderId="14" xfId="0" applyFont="1" applyFill="1" applyBorder="1" applyAlignment="1">
      <alignment horizontal="center" vertical="center"/>
    </xf>
    <xf numFmtId="0" fontId="27" fillId="2" borderId="45" xfId="2" applyFont="1" applyFill="1" applyBorder="1" applyAlignment="1">
      <alignment horizontal="center" vertical="center" wrapText="1"/>
    </xf>
    <xf numFmtId="0" fontId="27" fillId="2" borderId="19" xfId="2" applyFont="1" applyFill="1" applyBorder="1" applyAlignment="1">
      <alignment horizontal="center" vertical="center" wrapText="1"/>
    </xf>
    <xf numFmtId="0" fontId="28" fillId="0" borderId="38" xfId="0" applyFont="1" applyBorder="1" applyAlignment="1">
      <alignment horizontal="right" vertical="center"/>
    </xf>
    <xf numFmtId="0" fontId="28" fillId="0" borderId="39" xfId="0" applyFont="1" applyBorder="1" applyAlignment="1">
      <alignment horizontal="right" vertical="center"/>
    </xf>
    <xf numFmtId="0" fontId="27" fillId="0" borderId="38" xfId="0" applyFont="1" applyBorder="1" applyAlignment="1">
      <alignment horizontal="right" vertical="center"/>
    </xf>
    <xf numFmtId="0" fontId="27" fillId="0" borderId="39" xfId="0" applyFont="1" applyBorder="1" applyAlignment="1">
      <alignment horizontal="right" vertical="center"/>
    </xf>
    <xf numFmtId="169" fontId="4" fillId="3" borderId="1" xfId="0" applyNumberFormat="1" applyFont="1" applyFill="1" applyBorder="1" applyAlignment="1">
      <alignment horizontal="center" vertical="center" wrapText="1" readingOrder="2"/>
    </xf>
  </cellXfs>
  <cellStyles count="9">
    <cellStyle name="20% - Accent2" xfId="4" builtinId="34"/>
    <cellStyle name="20% - Accent3" xfId="5" builtinId="38"/>
    <cellStyle name="20% - Accent5" xfId="7" builtinId="46"/>
    <cellStyle name="20% - Accent6" xfId="8" builtinId="50"/>
    <cellStyle name="40% - Accent3" xfId="6" builtinId="39"/>
    <cellStyle name="Good" xfId="2" builtinId="26"/>
    <cellStyle name="Hyperlink" xfId="1" builtinId="8"/>
    <cellStyle name="Normal" xfId="0" builtinId="0"/>
    <cellStyle name="Note" xfId="3" builtinId="10"/>
  </cellStyles>
  <dxfs count="0"/>
  <tableStyles count="0" defaultTableStyle="TableStyleMedium9" defaultPivotStyle="PivotStyleLight16"/>
  <colors>
    <mruColors>
      <color rgb="FFFFCCFF"/>
      <color rgb="FFFF8F8F"/>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sheetPr>
    <tabColor rgb="FFFFFF00"/>
  </sheetPr>
  <dimension ref="A1:T118"/>
  <sheetViews>
    <sheetView rightToLeft="1" zoomScaleNormal="100" workbookViewId="0">
      <selection activeCell="E74" sqref="E74"/>
    </sheetView>
  </sheetViews>
  <sheetFormatPr defaultRowHeight="15"/>
  <cols>
    <col min="1" max="1" width="4.85546875" customWidth="1"/>
    <col min="2" max="2" width="12" customWidth="1"/>
    <col min="3" max="3" width="14.140625" customWidth="1"/>
    <col min="4" max="6" width="16.42578125" style="5" customWidth="1"/>
    <col min="7" max="7" width="18.5703125" customWidth="1"/>
    <col min="8" max="8" width="1.85546875" customWidth="1"/>
    <col min="9" max="9" width="4.85546875" style="5" customWidth="1"/>
    <col min="10" max="11" width="14.7109375" style="5" customWidth="1"/>
    <col min="12" max="14" width="14.7109375" style="18" customWidth="1"/>
    <col min="15" max="15" width="14.7109375" customWidth="1"/>
    <col min="16" max="16" width="32.7109375" customWidth="1"/>
    <col min="17" max="18" width="15.7109375" style="21" customWidth="1"/>
    <col min="19" max="20" width="16.28515625" style="21" customWidth="1"/>
  </cols>
  <sheetData>
    <row r="1" spans="1:15" ht="19.5" customHeight="1">
      <c r="A1" s="378" t="s">
        <v>358</v>
      </c>
      <c r="B1" s="378"/>
      <c r="C1" s="378"/>
      <c r="D1" s="378"/>
      <c r="E1" s="378"/>
      <c r="F1" s="378"/>
      <c r="G1" s="9"/>
      <c r="H1" s="9"/>
      <c r="I1" s="378" t="s">
        <v>358</v>
      </c>
      <c r="J1" s="378"/>
      <c r="K1" s="378"/>
      <c r="L1" s="378"/>
      <c r="M1" s="378"/>
      <c r="N1" s="378"/>
    </row>
    <row r="2" spans="1:15" ht="19.5" customHeight="1">
      <c r="A2" s="379" t="s">
        <v>496</v>
      </c>
      <c r="B2" s="379"/>
      <c r="C2" s="379"/>
      <c r="D2" s="379"/>
      <c r="E2" s="379"/>
      <c r="F2" s="379"/>
      <c r="G2" s="9"/>
      <c r="H2" s="9"/>
      <c r="I2" s="379" t="s">
        <v>497</v>
      </c>
      <c r="J2" s="379"/>
      <c r="K2" s="379"/>
      <c r="L2" s="379"/>
      <c r="M2" s="379"/>
      <c r="N2" s="379"/>
    </row>
    <row r="3" spans="1:15" ht="19.5" customHeight="1" thickBot="1">
      <c r="A3" s="22"/>
      <c r="B3" s="22"/>
      <c r="C3" s="22"/>
      <c r="D3" s="22"/>
      <c r="E3" s="22"/>
      <c r="F3" s="22"/>
      <c r="G3" s="9"/>
      <c r="H3" s="9"/>
    </row>
    <row r="4" spans="1:15" ht="28.5" customHeight="1" thickBot="1">
      <c r="A4" s="10" t="s">
        <v>0</v>
      </c>
      <c r="B4" s="11" t="s">
        <v>6</v>
      </c>
      <c r="C4" s="11" t="s">
        <v>5</v>
      </c>
      <c r="D4" s="12" t="s">
        <v>1</v>
      </c>
      <c r="E4" s="12" t="s">
        <v>2</v>
      </c>
      <c r="F4" s="12" t="s">
        <v>386</v>
      </c>
      <c r="G4" s="13" t="s">
        <v>3</v>
      </c>
      <c r="I4" s="283" t="s">
        <v>108</v>
      </c>
      <c r="J4" s="284" t="s">
        <v>464</v>
      </c>
      <c r="K4" s="284" t="s">
        <v>465</v>
      </c>
      <c r="L4" s="284" t="s">
        <v>467</v>
      </c>
      <c r="M4" s="284" t="s">
        <v>466</v>
      </c>
      <c r="N4" s="284" t="s">
        <v>468</v>
      </c>
      <c r="O4" s="285" t="s">
        <v>469</v>
      </c>
    </row>
    <row r="5" spans="1:15" ht="21" customHeight="1">
      <c r="A5" s="81">
        <v>1</v>
      </c>
      <c r="B5" s="1"/>
      <c r="C5" s="1"/>
      <c r="D5" s="129"/>
      <c r="E5" s="140" t="e">
        <f t="shared" ref="E5:E34" si="0">F5/D5</f>
        <v>#DIV/0!</v>
      </c>
      <c r="F5" s="129"/>
      <c r="G5" s="14"/>
      <c r="H5" s="8"/>
      <c r="I5" s="286">
        <v>1</v>
      </c>
      <c r="J5" s="282"/>
      <c r="K5" s="347">
        <v>2606.9699999999998</v>
      </c>
      <c r="L5" s="346">
        <f t="shared" ref="L5:L34" si="1">M5/K5</f>
        <v>1.290003337207563</v>
      </c>
      <c r="M5" s="288">
        <v>3363</v>
      </c>
      <c r="N5" s="290">
        <f t="shared" ref="N5:N34" si="2">O5/M5</f>
        <v>2.86</v>
      </c>
      <c r="O5" s="314">
        <v>9618.18</v>
      </c>
    </row>
    <row r="6" spans="1:15" ht="21" customHeight="1">
      <c r="A6" s="81">
        <v>2</v>
      </c>
      <c r="B6" s="335" t="s">
        <v>484</v>
      </c>
      <c r="C6" s="335" t="s">
        <v>485</v>
      </c>
      <c r="D6" s="127">
        <v>2031.44</v>
      </c>
      <c r="E6" s="344">
        <f t="shared" si="0"/>
        <v>3.6889890914819046</v>
      </c>
      <c r="F6" s="129">
        <v>7493.96</v>
      </c>
      <c r="G6" s="336" t="s">
        <v>486</v>
      </c>
      <c r="I6" s="287">
        <v>2</v>
      </c>
      <c r="J6" s="29"/>
      <c r="K6" s="124"/>
      <c r="L6" s="289"/>
      <c r="M6" s="124"/>
      <c r="N6" s="291"/>
      <c r="O6" s="292"/>
    </row>
    <row r="7" spans="1:15" ht="21" customHeight="1">
      <c r="A7" s="81">
        <v>3</v>
      </c>
      <c r="B7" s="335" t="s">
        <v>484</v>
      </c>
      <c r="C7" s="335" t="s">
        <v>485</v>
      </c>
      <c r="D7" s="127">
        <v>2031.44</v>
      </c>
      <c r="E7" s="344">
        <f t="shared" si="0"/>
        <v>3.6889890914819046</v>
      </c>
      <c r="F7" s="129">
        <v>7493.96</v>
      </c>
      <c r="G7" s="336" t="s">
        <v>486</v>
      </c>
      <c r="I7" s="286">
        <v>3</v>
      </c>
      <c r="J7" s="29"/>
      <c r="K7" s="124"/>
      <c r="L7" s="289"/>
      <c r="M7" s="124"/>
      <c r="N7" s="291"/>
      <c r="O7" s="292"/>
    </row>
    <row r="8" spans="1:15" ht="21" customHeight="1">
      <c r="A8" s="81">
        <v>4</v>
      </c>
      <c r="B8" s="335" t="s">
        <v>484</v>
      </c>
      <c r="C8" s="335" t="s">
        <v>485</v>
      </c>
      <c r="D8" s="127">
        <v>2031.44</v>
      </c>
      <c r="E8" s="344">
        <f t="shared" si="0"/>
        <v>3.6889890914819046</v>
      </c>
      <c r="F8" s="129">
        <v>7493.96</v>
      </c>
      <c r="G8" s="336" t="s">
        <v>486</v>
      </c>
      <c r="I8" s="287">
        <v>4</v>
      </c>
      <c r="J8" s="29"/>
      <c r="K8" s="124"/>
      <c r="L8" s="289"/>
      <c r="M8" s="124"/>
      <c r="N8" s="291"/>
      <c r="O8" s="292"/>
    </row>
    <row r="9" spans="1:15" ht="21" customHeight="1">
      <c r="A9" s="81">
        <v>5</v>
      </c>
      <c r="B9" s="335" t="s">
        <v>484</v>
      </c>
      <c r="C9" s="335" t="s">
        <v>485</v>
      </c>
      <c r="D9" s="127">
        <v>2031.44</v>
      </c>
      <c r="E9" s="344">
        <f t="shared" si="0"/>
        <v>3.6889890914819046</v>
      </c>
      <c r="F9" s="129">
        <v>7493.96</v>
      </c>
      <c r="G9" s="336" t="s">
        <v>486</v>
      </c>
      <c r="I9" s="286">
        <v>5</v>
      </c>
      <c r="J9" s="29"/>
      <c r="K9" s="124"/>
      <c r="L9" s="289"/>
      <c r="M9" s="124"/>
      <c r="N9" s="291"/>
      <c r="O9" s="292"/>
    </row>
    <row r="10" spans="1:15" ht="21" customHeight="1">
      <c r="A10" s="81">
        <v>6</v>
      </c>
      <c r="B10" s="335" t="s">
        <v>484</v>
      </c>
      <c r="C10" s="335" t="s">
        <v>485</v>
      </c>
      <c r="D10" s="127">
        <v>2031.44</v>
      </c>
      <c r="E10" s="344">
        <f t="shared" si="0"/>
        <v>3.6889890914819046</v>
      </c>
      <c r="F10" s="129">
        <v>7493.96</v>
      </c>
      <c r="G10" s="336" t="s">
        <v>486</v>
      </c>
      <c r="I10" s="287">
        <v>6</v>
      </c>
      <c r="J10" s="29"/>
      <c r="K10" s="124"/>
      <c r="L10" s="289"/>
      <c r="M10" s="124"/>
      <c r="N10" s="291"/>
      <c r="O10" s="292"/>
    </row>
    <row r="11" spans="1:15" ht="21" customHeight="1">
      <c r="A11" s="81">
        <v>7</v>
      </c>
      <c r="B11" s="335" t="s">
        <v>484</v>
      </c>
      <c r="C11" s="335" t="s">
        <v>485</v>
      </c>
      <c r="D11" s="127">
        <v>2031.44</v>
      </c>
      <c r="E11" s="344">
        <f t="shared" si="0"/>
        <v>3.6889890914819046</v>
      </c>
      <c r="F11" s="129">
        <v>7493.96</v>
      </c>
      <c r="G11" s="336" t="s">
        <v>486</v>
      </c>
      <c r="I11" s="286">
        <v>7</v>
      </c>
      <c r="J11" s="29"/>
      <c r="K11" s="124"/>
      <c r="L11" s="289"/>
      <c r="M11" s="124"/>
      <c r="N11" s="291"/>
      <c r="O11" s="292"/>
    </row>
    <row r="12" spans="1:15" ht="21" customHeight="1">
      <c r="A12" s="81">
        <v>8</v>
      </c>
      <c r="B12" s="335" t="s">
        <v>484</v>
      </c>
      <c r="C12" s="335" t="s">
        <v>485</v>
      </c>
      <c r="D12" s="127">
        <v>2031.44</v>
      </c>
      <c r="E12" s="344">
        <f t="shared" si="0"/>
        <v>3.6889890914819046</v>
      </c>
      <c r="F12" s="129">
        <v>7493.96</v>
      </c>
      <c r="G12" s="336" t="s">
        <v>486</v>
      </c>
      <c r="I12" s="287">
        <v>8</v>
      </c>
      <c r="J12" s="29"/>
      <c r="K12" s="124"/>
      <c r="L12" s="289"/>
      <c r="M12" s="124"/>
      <c r="N12" s="291"/>
      <c r="O12" s="292"/>
    </row>
    <row r="13" spans="1:15" ht="21" customHeight="1">
      <c r="A13" s="81">
        <v>9</v>
      </c>
      <c r="B13" s="335" t="s">
        <v>484</v>
      </c>
      <c r="C13" s="335" t="s">
        <v>485</v>
      </c>
      <c r="D13" s="127">
        <v>2031.44</v>
      </c>
      <c r="E13" s="344">
        <f t="shared" si="0"/>
        <v>3.6889890914819046</v>
      </c>
      <c r="F13" s="129">
        <v>7493.96</v>
      </c>
      <c r="G13" s="336" t="s">
        <v>486</v>
      </c>
      <c r="I13" s="286">
        <v>9</v>
      </c>
      <c r="J13" s="29"/>
      <c r="K13" s="124"/>
      <c r="L13" s="289"/>
      <c r="M13" s="124"/>
      <c r="N13" s="291"/>
      <c r="O13" s="292"/>
    </row>
    <row r="14" spans="1:15" ht="21" customHeight="1">
      <c r="A14" s="81">
        <v>10</v>
      </c>
      <c r="B14" s="335" t="s">
        <v>484</v>
      </c>
      <c r="C14" s="335" t="s">
        <v>485</v>
      </c>
      <c r="D14" s="127">
        <v>2031.44</v>
      </c>
      <c r="E14" s="344">
        <f t="shared" si="0"/>
        <v>3.6889890914819046</v>
      </c>
      <c r="F14" s="129">
        <v>7493.96</v>
      </c>
      <c r="G14" s="336" t="s">
        <v>486</v>
      </c>
      <c r="I14" s="287">
        <v>10</v>
      </c>
      <c r="J14" s="29"/>
      <c r="K14" s="124"/>
      <c r="L14" s="289"/>
      <c r="M14" s="124"/>
      <c r="N14" s="291"/>
      <c r="O14" s="292"/>
    </row>
    <row r="15" spans="1:15" ht="21" customHeight="1">
      <c r="A15" s="81">
        <v>11</v>
      </c>
      <c r="B15" s="335" t="s">
        <v>484</v>
      </c>
      <c r="C15" s="335" t="s">
        <v>485</v>
      </c>
      <c r="D15" s="129">
        <v>2059.5</v>
      </c>
      <c r="E15" s="344">
        <f t="shared" si="0"/>
        <v>3.6890021849963581</v>
      </c>
      <c r="F15" s="129">
        <v>7597.5</v>
      </c>
      <c r="G15" s="336" t="s">
        <v>486</v>
      </c>
      <c r="I15" s="286">
        <v>11</v>
      </c>
      <c r="J15" s="29"/>
      <c r="K15" s="124"/>
      <c r="L15" s="289"/>
      <c r="M15" s="124"/>
      <c r="N15" s="291"/>
      <c r="O15" s="292"/>
    </row>
    <row r="16" spans="1:15" ht="21" customHeight="1">
      <c r="A16" s="81">
        <v>12</v>
      </c>
      <c r="B16" s="1"/>
      <c r="C16" s="1"/>
      <c r="D16" s="127"/>
      <c r="E16" s="128"/>
      <c r="F16" s="129"/>
      <c r="G16" s="14"/>
      <c r="I16" s="287">
        <v>12</v>
      </c>
      <c r="J16" s="29"/>
      <c r="K16" s="124"/>
      <c r="L16" s="289"/>
      <c r="M16" s="124"/>
      <c r="N16" s="291"/>
      <c r="O16" s="292"/>
    </row>
    <row r="17" spans="1:15" ht="23.25" customHeight="1">
      <c r="A17" s="81">
        <v>13</v>
      </c>
      <c r="B17" s="1"/>
      <c r="C17" s="1"/>
      <c r="D17" s="127"/>
      <c r="E17" s="128"/>
      <c r="F17" s="129"/>
      <c r="G17" s="14"/>
      <c r="I17" s="286">
        <v>13</v>
      </c>
      <c r="J17" s="29"/>
      <c r="K17" s="124"/>
      <c r="L17" s="289"/>
      <c r="M17" s="124"/>
      <c r="N17" s="291"/>
      <c r="O17" s="292"/>
    </row>
    <row r="18" spans="1:15" ht="21" customHeight="1">
      <c r="A18" s="81">
        <v>14</v>
      </c>
      <c r="B18" s="1"/>
      <c r="C18" s="1"/>
      <c r="D18" s="127"/>
      <c r="E18" s="128"/>
      <c r="F18" s="129"/>
      <c r="G18" s="14"/>
      <c r="I18" s="287">
        <v>14</v>
      </c>
      <c r="J18" s="29"/>
      <c r="K18" s="124"/>
      <c r="L18" s="289"/>
      <c r="M18" s="124"/>
      <c r="N18" s="291"/>
      <c r="O18" s="292"/>
    </row>
    <row r="19" spans="1:15" ht="21" customHeight="1">
      <c r="A19" s="81">
        <v>15</v>
      </c>
      <c r="B19" s="1"/>
      <c r="C19" s="1"/>
      <c r="D19" s="127"/>
      <c r="E19" s="128"/>
      <c r="F19" s="129"/>
      <c r="G19" s="14"/>
      <c r="I19" s="286">
        <v>15</v>
      </c>
      <c r="J19" s="29"/>
      <c r="K19" s="124"/>
      <c r="L19" s="289"/>
      <c r="M19" s="124"/>
      <c r="N19" s="291"/>
      <c r="O19" s="292"/>
    </row>
    <row r="20" spans="1:15" ht="21" customHeight="1">
      <c r="A20" s="81">
        <v>16</v>
      </c>
      <c r="B20" s="1"/>
      <c r="C20" s="1"/>
      <c r="D20" s="127"/>
      <c r="E20" s="128"/>
      <c r="F20" s="129"/>
      <c r="G20" s="14"/>
      <c r="I20" s="287">
        <v>16</v>
      </c>
      <c r="J20" s="29"/>
      <c r="K20" s="124"/>
      <c r="L20" s="289"/>
      <c r="M20" s="124"/>
      <c r="N20" s="291"/>
      <c r="O20" s="292"/>
    </row>
    <row r="21" spans="1:15" ht="21" customHeight="1">
      <c r="A21" s="81">
        <v>17</v>
      </c>
      <c r="B21" s="1"/>
      <c r="C21" s="1"/>
      <c r="D21" s="127"/>
      <c r="E21" s="128"/>
      <c r="F21" s="129"/>
      <c r="G21" s="14"/>
      <c r="I21" s="286">
        <v>17</v>
      </c>
      <c r="J21" s="29"/>
      <c r="K21" s="124"/>
      <c r="L21" s="289"/>
      <c r="M21" s="124"/>
      <c r="N21" s="291"/>
      <c r="O21" s="292"/>
    </row>
    <row r="22" spans="1:15" ht="21" customHeight="1">
      <c r="A22" s="81">
        <v>18</v>
      </c>
      <c r="B22" s="1"/>
      <c r="C22" s="1"/>
      <c r="D22" s="127"/>
      <c r="E22" s="128"/>
      <c r="F22" s="129"/>
      <c r="G22" s="14"/>
      <c r="I22" s="287">
        <v>18</v>
      </c>
      <c r="J22" s="29"/>
      <c r="K22" s="124"/>
      <c r="L22" s="289"/>
      <c r="M22" s="124"/>
      <c r="N22" s="291"/>
      <c r="O22" s="292"/>
    </row>
    <row r="23" spans="1:15" ht="21" customHeight="1">
      <c r="A23" s="81">
        <v>19</v>
      </c>
      <c r="B23" s="1"/>
      <c r="C23" s="1"/>
      <c r="D23" s="127"/>
      <c r="E23" s="128"/>
      <c r="F23" s="129"/>
      <c r="G23" s="14"/>
      <c r="I23" s="286">
        <v>19</v>
      </c>
      <c r="J23" s="29"/>
      <c r="K23" s="124"/>
      <c r="L23" s="289"/>
      <c r="M23" s="124"/>
      <c r="N23" s="291"/>
      <c r="O23" s="292"/>
    </row>
    <row r="24" spans="1:15" ht="21" customHeight="1">
      <c r="A24" s="81">
        <v>20</v>
      </c>
      <c r="B24" s="1"/>
      <c r="C24" s="1"/>
      <c r="D24" s="127"/>
      <c r="E24" s="128"/>
      <c r="F24" s="129"/>
      <c r="G24" s="14"/>
      <c r="I24" s="287">
        <v>20</v>
      </c>
      <c r="J24" s="29"/>
      <c r="K24" s="124"/>
      <c r="L24" s="289"/>
      <c r="M24" s="124"/>
      <c r="N24" s="291"/>
      <c r="O24" s="292"/>
    </row>
    <row r="25" spans="1:15" ht="21" customHeight="1">
      <c r="A25" s="81">
        <v>21</v>
      </c>
      <c r="B25" s="1"/>
      <c r="C25" s="1"/>
      <c r="D25" s="127"/>
      <c r="E25" s="128"/>
      <c r="F25" s="129"/>
      <c r="G25" s="14"/>
      <c r="I25" s="286">
        <v>21</v>
      </c>
      <c r="J25" s="29"/>
      <c r="K25" s="124"/>
      <c r="L25" s="289"/>
      <c r="M25" s="124"/>
      <c r="N25" s="291"/>
      <c r="O25" s="292"/>
    </row>
    <row r="26" spans="1:15" ht="21" customHeight="1">
      <c r="A26" s="81">
        <v>22</v>
      </c>
      <c r="B26" s="1"/>
      <c r="C26" s="1"/>
      <c r="D26" s="127"/>
      <c r="E26" s="128"/>
      <c r="F26" s="129"/>
      <c r="G26" s="14"/>
      <c r="I26" s="287">
        <v>22</v>
      </c>
      <c r="J26" s="29"/>
      <c r="K26" s="124"/>
      <c r="L26" s="289"/>
      <c r="M26" s="124"/>
      <c r="N26" s="291"/>
      <c r="O26" s="292"/>
    </row>
    <row r="27" spans="1:15" ht="21" customHeight="1">
      <c r="A27" s="81">
        <v>23</v>
      </c>
      <c r="B27" s="2"/>
      <c r="C27" s="2"/>
      <c r="D27" s="127"/>
      <c r="E27" s="128"/>
      <c r="F27" s="129"/>
      <c r="G27" s="15"/>
      <c r="I27" s="286">
        <v>23</v>
      </c>
      <c r="J27" s="29"/>
      <c r="K27" s="124"/>
      <c r="L27" s="289"/>
      <c r="M27" s="124"/>
      <c r="N27" s="291"/>
      <c r="O27" s="292"/>
    </row>
    <row r="28" spans="1:15" ht="21" customHeight="1">
      <c r="A28" s="81">
        <v>24</v>
      </c>
      <c r="B28" s="2"/>
      <c r="C28" s="2"/>
      <c r="D28" s="127"/>
      <c r="E28" s="128"/>
      <c r="F28" s="129"/>
      <c r="G28" s="15"/>
      <c r="I28" s="287">
        <v>24</v>
      </c>
      <c r="J28" s="29"/>
      <c r="K28" s="124"/>
      <c r="L28" s="289"/>
      <c r="M28" s="124"/>
      <c r="N28" s="291"/>
      <c r="O28" s="292"/>
    </row>
    <row r="29" spans="1:15" ht="21" customHeight="1">
      <c r="A29" s="81">
        <v>25</v>
      </c>
      <c r="B29" s="2"/>
      <c r="C29" s="2"/>
      <c r="D29" s="127"/>
      <c r="E29" s="128"/>
      <c r="F29" s="129"/>
      <c r="G29" s="15"/>
      <c r="I29" s="286">
        <v>25</v>
      </c>
      <c r="J29" s="29"/>
      <c r="K29" s="124"/>
      <c r="L29" s="289"/>
      <c r="M29" s="124"/>
      <c r="N29" s="291"/>
      <c r="O29" s="292"/>
    </row>
    <row r="30" spans="1:15" ht="21" customHeight="1">
      <c r="A30" s="81">
        <v>26</v>
      </c>
      <c r="B30" s="2"/>
      <c r="C30" s="2"/>
      <c r="D30" s="127"/>
      <c r="E30" s="128"/>
      <c r="F30" s="129"/>
      <c r="G30" s="15"/>
      <c r="I30" s="287">
        <v>26</v>
      </c>
      <c r="J30" s="29"/>
      <c r="K30" s="124"/>
      <c r="L30" s="289"/>
      <c r="M30" s="124"/>
      <c r="N30" s="291"/>
      <c r="O30" s="292"/>
    </row>
    <row r="31" spans="1:15" ht="21" customHeight="1">
      <c r="A31" s="81">
        <v>27</v>
      </c>
      <c r="B31" s="2"/>
      <c r="C31" s="2"/>
      <c r="D31" s="127"/>
      <c r="E31" s="128"/>
      <c r="F31" s="129"/>
      <c r="G31" s="15"/>
      <c r="I31" s="286">
        <v>27</v>
      </c>
      <c r="J31" s="29"/>
      <c r="K31" s="124"/>
      <c r="L31" s="289"/>
      <c r="M31" s="124"/>
      <c r="N31" s="291"/>
      <c r="O31" s="292"/>
    </row>
    <row r="32" spans="1:15" ht="21" customHeight="1">
      <c r="A32" s="81">
        <v>28</v>
      </c>
      <c r="B32" s="2"/>
      <c r="C32" s="2"/>
      <c r="D32" s="127"/>
      <c r="E32" s="128"/>
      <c r="F32" s="129"/>
      <c r="G32" s="15"/>
      <c r="I32" s="287">
        <v>28</v>
      </c>
      <c r="J32" s="29"/>
      <c r="K32" s="124"/>
      <c r="L32" s="289"/>
      <c r="M32" s="124"/>
      <c r="N32" s="291"/>
      <c r="O32" s="292"/>
    </row>
    <row r="33" spans="1:15" ht="21" customHeight="1" thickBot="1">
      <c r="A33" s="81">
        <v>29</v>
      </c>
      <c r="B33" s="2"/>
      <c r="C33" s="2"/>
      <c r="D33" s="130"/>
      <c r="E33" s="131"/>
      <c r="F33" s="132"/>
      <c r="G33" s="15"/>
      <c r="I33" s="315">
        <v>29</v>
      </c>
      <c r="J33" s="316"/>
      <c r="K33" s="317"/>
      <c r="L33" s="318"/>
      <c r="M33" s="317"/>
      <c r="N33" s="319"/>
      <c r="O33" s="320"/>
    </row>
    <row r="34" spans="1:15" ht="21" customHeight="1">
      <c r="A34" s="388" t="s">
        <v>4</v>
      </c>
      <c r="B34" s="389"/>
      <c r="C34" s="390"/>
      <c r="D34" s="345">
        <f>SUM(D5:D33)</f>
        <v>20342.460000000003</v>
      </c>
      <c r="E34" s="491">
        <f t="shared" si="0"/>
        <v>3.6889904170881982</v>
      </c>
      <c r="F34" s="114">
        <f>SUM(F5:F33)</f>
        <v>75043.14</v>
      </c>
      <c r="G34" s="28"/>
      <c r="I34" s="380" t="s">
        <v>458</v>
      </c>
      <c r="J34" s="381"/>
      <c r="K34" s="321">
        <f>SUM(K5:K33)</f>
        <v>2606.9699999999998</v>
      </c>
      <c r="L34" s="322">
        <f t="shared" si="1"/>
        <v>1.290003337207563</v>
      </c>
      <c r="M34" s="323">
        <f>SUM(M5:M33)</f>
        <v>3363</v>
      </c>
      <c r="N34" s="324">
        <f t="shared" si="2"/>
        <v>2.86</v>
      </c>
      <c r="O34" s="325">
        <f>SUM(O5:O33)</f>
        <v>9618.18</v>
      </c>
    </row>
    <row r="35" spans="1:15" ht="21" customHeight="1">
      <c r="A35" s="391" t="s">
        <v>9</v>
      </c>
      <c r="B35" s="392"/>
      <c r="C35" s="392"/>
      <c r="D35" s="392"/>
      <c r="E35" s="393"/>
      <c r="F35" s="114">
        <f>'روكش جاري و فرهنگي'!D81+'روكش جاري و فرهنگي'!D35</f>
        <v>75043.14</v>
      </c>
      <c r="G35" s="28"/>
      <c r="I35" s="279"/>
      <c r="J35" s="29"/>
      <c r="K35" s="384" t="s">
        <v>518</v>
      </c>
      <c r="L35" s="385"/>
      <c r="M35" s="386"/>
      <c r="N35" s="387"/>
      <c r="O35" s="326"/>
    </row>
    <row r="36" spans="1:15" ht="21" customHeight="1" thickBot="1">
      <c r="A36" s="394" t="s">
        <v>10</v>
      </c>
      <c r="B36" s="395"/>
      <c r="C36" s="396"/>
      <c r="D36" s="139">
        <f>F36/E36</f>
        <v>0</v>
      </c>
      <c r="E36" s="348">
        <f>F34/D34</f>
        <v>3.6889904170881982</v>
      </c>
      <c r="F36" s="139">
        <f>F34-F35</f>
        <v>0</v>
      </c>
      <c r="G36" s="27"/>
      <c r="I36" s="280"/>
      <c r="J36" s="281"/>
      <c r="K36" s="281"/>
      <c r="L36" s="165"/>
      <c r="M36" s="165"/>
      <c r="N36" s="165"/>
      <c r="O36" s="272"/>
    </row>
    <row r="38" spans="1:15">
      <c r="A38" s="382" t="s">
        <v>7</v>
      </c>
      <c r="B38" s="382"/>
      <c r="C38" s="3"/>
      <c r="D38" s="6" t="s">
        <v>8</v>
      </c>
      <c r="E38" s="7" t="s">
        <v>384</v>
      </c>
      <c r="F38" s="383" t="s">
        <v>385</v>
      </c>
      <c r="G38" s="383"/>
      <c r="I38" s="382" t="s">
        <v>7</v>
      </c>
      <c r="J38" s="382"/>
      <c r="K38" s="3"/>
      <c r="L38" s="6" t="s">
        <v>8</v>
      </c>
      <c r="M38" s="7" t="s">
        <v>384</v>
      </c>
      <c r="N38" s="383" t="s">
        <v>470</v>
      </c>
      <c r="O38" s="383"/>
    </row>
    <row r="41" spans="1:15" ht="17.25">
      <c r="A41" s="378" t="s">
        <v>358</v>
      </c>
      <c r="B41" s="378"/>
      <c r="C41" s="378"/>
      <c r="D41" s="378"/>
      <c r="E41" s="378"/>
      <c r="F41" s="378"/>
      <c r="G41" s="9"/>
    </row>
    <row r="42" spans="1:15" ht="17.25">
      <c r="A42" s="379" t="s">
        <v>497</v>
      </c>
      <c r="B42" s="379"/>
      <c r="C42" s="379"/>
      <c r="D42" s="379"/>
      <c r="E42" s="379"/>
      <c r="F42" s="379"/>
      <c r="G42" s="9"/>
    </row>
    <row r="43" spans="1:15" ht="18" thickBot="1">
      <c r="A43" s="22"/>
      <c r="B43" s="22"/>
      <c r="C43" s="22"/>
      <c r="D43" s="22"/>
      <c r="E43" s="22"/>
      <c r="F43" s="22"/>
      <c r="G43" s="9"/>
    </row>
    <row r="44" spans="1:15" ht="31.5">
      <c r="A44" s="10" t="s">
        <v>0</v>
      </c>
      <c r="B44" s="11" t="s">
        <v>6</v>
      </c>
      <c r="C44" s="11" t="s">
        <v>5</v>
      </c>
      <c r="D44" s="12" t="s">
        <v>1</v>
      </c>
      <c r="E44" s="12" t="s">
        <v>2</v>
      </c>
      <c r="F44" s="12" t="s">
        <v>387</v>
      </c>
      <c r="G44" s="13" t="s">
        <v>3</v>
      </c>
    </row>
    <row r="45" spans="1:15" ht="21" customHeight="1">
      <c r="A45" s="81">
        <v>1</v>
      </c>
      <c r="B45" s="1"/>
      <c r="C45" s="1"/>
      <c r="D45" s="134">
        <v>2606.9699999999998</v>
      </c>
      <c r="E45" s="128">
        <f t="shared" ref="E45:E74" si="3">F45/D45</f>
        <v>1.290003337207563</v>
      </c>
      <c r="F45" s="127">
        <v>3363</v>
      </c>
      <c r="G45" s="14"/>
    </row>
    <row r="46" spans="1:15" ht="21" customHeight="1">
      <c r="A46" s="81">
        <v>2</v>
      </c>
      <c r="B46" s="1"/>
      <c r="C46" s="1"/>
      <c r="D46" s="127"/>
      <c r="E46" s="128"/>
      <c r="F46" s="129"/>
      <c r="G46" s="14"/>
    </row>
    <row r="47" spans="1:15" ht="21" customHeight="1">
      <c r="A47" s="81">
        <v>3</v>
      </c>
      <c r="B47" s="1"/>
      <c r="C47" s="1"/>
      <c r="D47" s="127"/>
      <c r="E47" s="128"/>
      <c r="F47" s="129"/>
      <c r="G47" s="14"/>
    </row>
    <row r="48" spans="1:15" ht="21" customHeight="1">
      <c r="A48" s="81">
        <v>4</v>
      </c>
      <c r="B48" s="1"/>
      <c r="C48" s="1"/>
      <c r="D48" s="127"/>
      <c r="E48" s="128"/>
      <c r="F48" s="129"/>
      <c r="G48" s="14"/>
    </row>
    <row r="49" spans="1:7" ht="21" customHeight="1">
      <c r="A49" s="81">
        <v>5</v>
      </c>
      <c r="B49" s="1"/>
      <c r="C49" s="1"/>
      <c r="D49" s="127"/>
      <c r="E49" s="128"/>
      <c r="F49" s="129"/>
      <c r="G49" s="14"/>
    </row>
    <row r="50" spans="1:7" ht="21" customHeight="1">
      <c r="A50" s="81">
        <v>6</v>
      </c>
      <c r="B50" s="1"/>
      <c r="C50" s="1"/>
      <c r="D50" s="127"/>
      <c r="E50" s="128"/>
      <c r="F50" s="129"/>
      <c r="G50" s="14"/>
    </row>
    <row r="51" spans="1:7" ht="21" customHeight="1">
      <c r="A51" s="81">
        <v>7</v>
      </c>
      <c r="B51" s="1"/>
      <c r="C51" s="1"/>
      <c r="D51" s="127"/>
      <c r="E51" s="128"/>
      <c r="F51" s="129"/>
      <c r="G51" s="14"/>
    </row>
    <row r="52" spans="1:7" ht="21" customHeight="1">
      <c r="A52" s="81">
        <v>8</v>
      </c>
      <c r="B52" s="1"/>
      <c r="C52" s="1"/>
      <c r="D52" s="127"/>
      <c r="E52" s="128"/>
      <c r="F52" s="129"/>
      <c r="G52" s="14"/>
    </row>
    <row r="53" spans="1:7" ht="21" customHeight="1">
      <c r="A53" s="81">
        <v>9</v>
      </c>
      <c r="B53" s="1"/>
      <c r="C53" s="1"/>
      <c r="D53" s="127"/>
      <c r="E53" s="128"/>
      <c r="F53" s="129"/>
      <c r="G53" s="14"/>
    </row>
    <row r="54" spans="1:7" ht="21" customHeight="1">
      <c r="A54" s="81">
        <v>10</v>
      </c>
      <c r="B54" s="1"/>
      <c r="C54" s="1"/>
      <c r="D54" s="127"/>
      <c r="E54" s="128"/>
      <c r="F54" s="129"/>
      <c r="G54" s="14"/>
    </row>
    <row r="55" spans="1:7" ht="21" customHeight="1">
      <c r="A55" s="81">
        <v>11</v>
      </c>
      <c r="B55" s="1"/>
      <c r="C55" s="1"/>
      <c r="D55" s="127"/>
      <c r="E55" s="128"/>
      <c r="F55" s="129"/>
      <c r="G55" s="14"/>
    </row>
    <row r="56" spans="1:7" ht="21" customHeight="1">
      <c r="A56" s="81">
        <v>12</v>
      </c>
      <c r="B56" s="1"/>
      <c r="C56" s="1"/>
      <c r="D56" s="127"/>
      <c r="E56" s="128"/>
      <c r="F56" s="129"/>
      <c r="G56" s="14"/>
    </row>
    <row r="57" spans="1:7" ht="21" customHeight="1">
      <c r="A57" s="81">
        <v>13</v>
      </c>
      <c r="B57" s="1"/>
      <c r="C57" s="1"/>
      <c r="D57" s="127"/>
      <c r="E57" s="128"/>
      <c r="F57" s="129"/>
      <c r="G57" s="14"/>
    </row>
    <row r="58" spans="1:7" ht="21" customHeight="1">
      <c r="A58" s="81">
        <v>14</v>
      </c>
      <c r="B58" s="1"/>
      <c r="C58" s="1"/>
      <c r="D58" s="127"/>
      <c r="E58" s="128"/>
      <c r="F58" s="129"/>
      <c r="G58" s="14"/>
    </row>
    <row r="59" spans="1:7" ht="21" customHeight="1">
      <c r="A59" s="81">
        <v>15</v>
      </c>
      <c r="B59" s="1"/>
      <c r="C59" s="1"/>
      <c r="D59" s="127"/>
      <c r="E59" s="128"/>
      <c r="F59" s="129"/>
      <c r="G59" s="14"/>
    </row>
    <row r="60" spans="1:7" ht="21" customHeight="1">
      <c r="A60" s="81">
        <v>16</v>
      </c>
      <c r="B60" s="1"/>
      <c r="C60" s="1"/>
      <c r="D60" s="127"/>
      <c r="E60" s="128"/>
      <c r="F60" s="129"/>
      <c r="G60" s="14"/>
    </row>
    <row r="61" spans="1:7" ht="21" customHeight="1">
      <c r="A61" s="81">
        <v>17</v>
      </c>
      <c r="B61" s="1"/>
      <c r="C61" s="1"/>
      <c r="D61" s="127"/>
      <c r="E61" s="128"/>
      <c r="F61" s="129"/>
      <c r="G61" s="14"/>
    </row>
    <row r="62" spans="1:7" ht="21" customHeight="1">
      <c r="A62" s="81">
        <v>18</v>
      </c>
      <c r="B62" s="1"/>
      <c r="C62" s="1"/>
      <c r="D62" s="127"/>
      <c r="E62" s="128"/>
      <c r="F62" s="129"/>
      <c r="G62" s="14"/>
    </row>
    <row r="63" spans="1:7" ht="21" customHeight="1">
      <c r="A63" s="81">
        <v>19</v>
      </c>
      <c r="B63" s="1"/>
      <c r="C63" s="1"/>
      <c r="D63" s="127"/>
      <c r="E63" s="128"/>
      <c r="F63" s="129"/>
      <c r="G63" s="14"/>
    </row>
    <row r="64" spans="1:7" ht="21" customHeight="1">
      <c r="A64" s="81">
        <v>20</v>
      </c>
      <c r="B64" s="1"/>
      <c r="C64" s="1"/>
      <c r="D64" s="127"/>
      <c r="E64" s="128"/>
      <c r="F64" s="129"/>
      <c r="G64" s="14"/>
    </row>
    <row r="65" spans="1:7" ht="21" customHeight="1">
      <c r="A65" s="81">
        <v>21</v>
      </c>
      <c r="B65" s="1"/>
      <c r="C65" s="1"/>
      <c r="D65" s="127"/>
      <c r="E65" s="128"/>
      <c r="F65" s="129"/>
      <c r="G65" s="14"/>
    </row>
    <row r="66" spans="1:7" ht="21" customHeight="1">
      <c r="A66" s="81">
        <v>22</v>
      </c>
      <c r="B66" s="1"/>
      <c r="C66" s="1"/>
      <c r="D66" s="127"/>
      <c r="E66" s="128"/>
      <c r="F66" s="129"/>
      <c r="G66" s="14"/>
    </row>
    <row r="67" spans="1:7" ht="21" customHeight="1">
      <c r="A67" s="81">
        <v>23</v>
      </c>
      <c r="B67" s="2"/>
      <c r="C67" s="2"/>
      <c r="D67" s="127"/>
      <c r="E67" s="128"/>
      <c r="F67" s="129"/>
      <c r="G67" s="15"/>
    </row>
    <row r="68" spans="1:7" ht="21" customHeight="1">
      <c r="A68" s="81">
        <v>24</v>
      </c>
      <c r="B68" s="2"/>
      <c r="C68" s="2"/>
      <c r="D68" s="127"/>
      <c r="E68" s="128"/>
      <c r="F68" s="129"/>
      <c r="G68" s="15"/>
    </row>
    <row r="69" spans="1:7" ht="21" customHeight="1">
      <c r="A69" s="81">
        <v>25</v>
      </c>
      <c r="B69" s="2"/>
      <c r="C69" s="2"/>
      <c r="D69" s="127"/>
      <c r="E69" s="128"/>
      <c r="F69" s="129"/>
      <c r="G69" s="15"/>
    </row>
    <row r="70" spans="1:7" ht="21" customHeight="1">
      <c r="A70" s="81">
        <v>26</v>
      </c>
      <c r="B70" s="2"/>
      <c r="C70" s="2"/>
      <c r="D70" s="127"/>
      <c r="E70" s="128"/>
      <c r="F70" s="129"/>
      <c r="G70" s="15"/>
    </row>
    <row r="71" spans="1:7" ht="21" customHeight="1">
      <c r="A71" s="81">
        <v>27</v>
      </c>
      <c r="B71" s="2"/>
      <c r="C71" s="2"/>
      <c r="D71" s="127"/>
      <c r="E71" s="128"/>
      <c r="F71" s="129"/>
      <c r="G71" s="15"/>
    </row>
    <row r="72" spans="1:7" ht="21" customHeight="1">
      <c r="A72" s="81">
        <v>28</v>
      </c>
      <c r="B72" s="2"/>
      <c r="C72" s="2"/>
      <c r="D72" s="127"/>
      <c r="E72" s="128"/>
      <c r="F72" s="129"/>
      <c r="G72" s="15"/>
    </row>
    <row r="73" spans="1:7" ht="21" customHeight="1">
      <c r="A73" s="81">
        <v>29</v>
      </c>
      <c r="B73" s="2"/>
      <c r="C73" s="2"/>
      <c r="D73" s="130"/>
      <c r="E73" s="131"/>
      <c r="F73" s="132"/>
      <c r="G73" s="15"/>
    </row>
    <row r="74" spans="1:7" ht="21" customHeight="1">
      <c r="A74" s="388" t="s">
        <v>4</v>
      </c>
      <c r="B74" s="389"/>
      <c r="C74" s="390"/>
      <c r="D74" s="133">
        <f>SUM(D45:D73)</f>
        <v>2606.9699999999998</v>
      </c>
      <c r="E74" s="136">
        <f t="shared" si="3"/>
        <v>1.290003337207563</v>
      </c>
      <c r="F74" s="114">
        <f>SUM(F45:F73)</f>
        <v>3363</v>
      </c>
      <c r="G74" s="28"/>
    </row>
    <row r="75" spans="1:7" ht="21" customHeight="1">
      <c r="A75" s="391" t="s">
        <v>9</v>
      </c>
      <c r="B75" s="392"/>
      <c r="C75" s="392"/>
      <c r="D75" s="392"/>
      <c r="E75" s="393"/>
      <c r="F75" s="100">
        <f>'روكش جاري و فرهنگي'!D121+'روكش جاري و فرهنگي'!D75</f>
        <v>0</v>
      </c>
      <c r="G75" s="28"/>
    </row>
    <row r="76" spans="1:7" ht="21" customHeight="1" thickBot="1">
      <c r="A76" s="394" t="s">
        <v>10</v>
      </c>
      <c r="B76" s="395"/>
      <c r="C76" s="396"/>
      <c r="D76" s="137">
        <f>F76/E76</f>
        <v>2606.9699999999998</v>
      </c>
      <c r="E76" s="138">
        <f>F74/D74</f>
        <v>1.290003337207563</v>
      </c>
      <c r="F76" s="139">
        <f>F74-F75</f>
        <v>3363</v>
      </c>
      <c r="G76" s="27"/>
    </row>
    <row r="78" spans="1:7">
      <c r="A78" s="382" t="s">
        <v>7</v>
      </c>
      <c r="B78" s="382"/>
      <c r="C78" s="3"/>
      <c r="D78" s="6" t="s">
        <v>8</v>
      </c>
      <c r="E78" s="7" t="s">
        <v>384</v>
      </c>
      <c r="F78" s="383" t="s">
        <v>385</v>
      </c>
      <c r="G78" s="383"/>
    </row>
    <row r="81" spans="1:7" ht="17.25">
      <c r="A81" s="378" t="s">
        <v>358</v>
      </c>
      <c r="B81" s="378"/>
      <c r="C81" s="378"/>
      <c r="D81" s="378"/>
      <c r="E81" s="378"/>
      <c r="F81" s="378"/>
      <c r="G81" s="9"/>
    </row>
    <row r="82" spans="1:7" ht="17.25">
      <c r="A82" s="379" t="s">
        <v>496</v>
      </c>
      <c r="B82" s="379"/>
      <c r="C82" s="379"/>
      <c r="D82" s="379"/>
      <c r="E82" s="379"/>
      <c r="F82" s="379"/>
      <c r="G82" s="9"/>
    </row>
    <row r="83" spans="1:7" ht="18" thickBot="1">
      <c r="A83" s="22"/>
      <c r="B83" s="22"/>
      <c r="C83" s="22"/>
      <c r="D83" s="22"/>
      <c r="E83" s="22"/>
      <c r="F83" s="22"/>
      <c r="G83" s="9"/>
    </row>
    <row r="84" spans="1:7" ht="31.5">
      <c r="A84" s="10" t="s">
        <v>0</v>
      </c>
      <c r="B84" s="11" t="s">
        <v>6</v>
      </c>
      <c r="C84" s="11" t="s">
        <v>5</v>
      </c>
      <c r="D84" s="12" t="s">
        <v>383</v>
      </c>
      <c r="E84" s="12" t="s">
        <v>2</v>
      </c>
      <c r="F84" s="12" t="s">
        <v>386</v>
      </c>
      <c r="G84" s="13" t="s">
        <v>3</v>
      </c>
    </row>
    <row r="85" spans="1:7" ht="21" customHeight="1">
      <c r="A85" s="81">
        <v>1</v>
      </c>
      <c r="B85" s="1"/>
      <c r="C85" s="1"/>
      <c r="D85" s="127">
        <v>3363</v>
      </c>
      <c r="E85" s="128">
        <f t="shared" ref="E85:E114" si="4">F85/D85</f>
        <v>2.86</v>
      </c>
      <c r="F85" s="134">
        <v>9618.18</v>
      </c>
      <c r="G85" s="14"/>
    </row>
    <row r="86" spans="1:7" ht="21" customHeight="1">
      <c r="A86" s="81">
        <v>2</v>
      </c>
      <c r="B86" s="1"/>
      <c r="C86" s="1"/>
      <c r="D86" s="127"/>
      <c r="E86" s="128"/>
      <c r="F86" s="129"/>
      <c r="G86" s="14"/>
    </row>
    <row r="87" spans="1:7" ht="21" customHeight="1">
      <c r="A87" s="81">
        <v>3</v>
      </c>
      <c r="B87" s="1"/>
      <c r="C87" s="1"/>
      <c r="D87" s="127"/>
      <c r="E87" s="128"/>
      <c r="F87" s="129"/>
      <c r="G87" s="14"/>
    </row>
    <row r="88" spans="1:7" ht="21" customHeight="1">
      <c r="A88" s="81">
        <v>4</v>
      </c>
      <c r="B88" s="1"/>
      <c r="C88" s="1"/>
      <c r="D88" s="127"/>
      <c r="E88" s="128"/>
      <c r="F88" s="129"/>
      <c r="G88" s="14"/>
    </row>
    <row r="89" spans="1:7" ht="21" customHeight="1">
      <c r="A89" s="81">
        <v>5</v>
      </c>
      <c r="B89" s="1"/>
      <c r="C89" s="1"/>
      <c r="D89" s="127"/>
      <c r="E89" s="128"/>
      <c r="F89" s="129"/>
      <c r="G89" s="14"/>
    </row>
    <row r="90" spans="1:7" ht="21" customHeight="1">
      <c r="A90" s="81">
        <v>6</v>
      </c>
      <c r="B90" s="1"/>
      <c r="C90" s="1"/>
      <c r="D90" s="127"/>
      <c r="E90" s="128"/>
      <c r="F90" s="129"/>
      <c r="G90" s="14"/>
    </row>
    <row r="91" spans="1:7" ht="21" customHeight="1">
      <c r="A91" s="81">
        <v>7</v>
      </c>
      <c r="B91" s="1"/>
      <c r="C91" s="1"/>
      <c r="D91" s="127"/>
      <c r="E91" s="128"/>
      <c r="F91" s="129"/>
      <c r="G91" s="14"/>
    </row>
    <row r="92" spans="1:7" ht="21" customHeight="1">
      <c r="A92" s="81">
        <v>8</v>
      </c>
      <c r="B92" s="1"/>
      <c r="C92" s="1"/>
      <c r="D92" s="127"/>
      <c r="E92" s="128"/>
      <c r="F92" s="129"/>
      <c r="G92" s="14"/>
    </row>
    <row r="93" spans="1:7" ht="21" customHeight="1">
      <c r="A93" s="81">
        <v>9</v>
      </c>
      <c r="B93" s="1"/>
      <c r="C93" s="1"/>
      <c r="D93" s="127"/>
      <c r="E93" s="128"/>
      <c r="F93" s="129"/>
      <c r="G93" s="14"/>
    </row>
    <row r="94" spans="1:7" ht="21" customHeight="1">
      <c r="A94" s="81">
        <v>10</v>
      </c>
      <c r="B94" s="1"/>
      <c r="C94" s="1"/>
      <c r="D94" s="127"/>
      <c r="E94" s="128"/>
      <c r="F94" s="129"/>
      <c r="G94" s="14"/>
    </row>
    <row r="95" spans="1:7" ht="21" customHeight="1">
      <c r="A95" s="81">
        <v>11</v>
      </c>
      <c r="B95" s="1"/>
      <c r="C95" s="1"/>
      <c r="D95" s="127"/>
      <c r="E95" s="128"/>
      <c r="F95" s="129"/>
      <c r="G95" s="14"/>
    </row>
    <row r="96" spans="1:7" ht="21" customHeight="1">
      <c r="A96" s="81">
        <v>12</v>
      </c>
      <c r="B96" s="1"/>
      <c r="C96" s="1"/>
      <c r="D96" s="127"/>
      <c r="E96" s="128"/>
      <c r="F96" s="129"/>
      <c r="G96" s="14"/>
    </row>
    <row r="97" spans="1:7" ht="21" customHeight="1">
      <c r="A97" s="81">
        <v>13</v>
      </c>
      <c r="B97" s="1"/>
      <c r="C97" s="1"/>
      <c r="D97" s="127"/>
      <c r="E97" s="128"/>
      <c r="F97" s="129"/>
      <c r="G97" s="14"/>
    </row>
    <row r="98" spans="1:7" ht="21" customHeight="1">
      <c r="A98" s="81">
        <v>14</v>
      </c>
      <c r="B98" s="1"/>
      <c r="C98" s="1"/>
      <c r="D98" s="127"/>
      <c r="E98" s="128"/>
      <c r="F98" s="129"/>
      <c r="G98" s="14"/>
    </row>
    <row r="99" spans="1:7" ht="21" customHeight="1">
      <c r="A99" s="81">
        <v>15</v>
      </c>
      <c r="B99" s="1"/>
      <c r="C99" s="1"/>
      <c r="D99" s="127"/>
      <c r="E99" s="128"/>
      <c r="F99" s="129"/>
      <c r="G99" s="14"/>
    </row>
    <row r="100" spans="1:7" ht="21" customHeight="1">
      <c r="A100" s="81">
        <v>16</v>
      </c>
      <c r="B100" s="1"/>
      <c r="C100" s="1"/>
      <c r="D100" s="127"/>
      <c r="E100" s="128"/>
      <c r="F100" s="129"/>
      <c r="G100" s="14"/>
    </row>
    <row r="101" spans="1:7" ht="21" customHeight="1">
      <c r="A101" s="81">
        <v>17</v>
      </c>
      <c r="B101" s="1"/>
      <c r="C101" s="1"/>
      <c r="D101" s="127"/>
      <c r="E101" s="128"/>
      <c r="F101" s="129"/>
      <c r="G101" s="14"/>
    </row>
    <row r="102" spans="1:7" ht="21" customHeight="1">
      <c r="A102" s="81">
        <v>18</v>
      </c>
      <c r="B102" s="1"/>
      <c r="C102" s="1"/>
      <c r="D102" s="127"/>
      <c r="E102" s="128"/>
      <c r="F102" s="129"/>
      <c r="G102" s="14"/>
    </row>
    <row r="103" spans="1:7" ht="21" customHeight="1">
      <c r="A103" s="81">
        <v>19</v>
      </c>
      <c r="B103" s="1"/>
      <c r="C103" s="1"/>
      <c r="D103" s="127"/>
      <c r="E103" s="128"/>
      <c r="F103" s="129"/>
      <c r="G103" s="14"/>
    </row>
    <row r="104" spans="1:7" ht="21" customHeight="1">
      <c r="A104" s="81">
        <v>20</v>
      </c>
      <c r="B104" s="1"/>
      <c r="C104" s="1"/>
      <c r="D104" s="127"/>
      <c r="E104" s="128"/>
      <c r="F104" s="129"/>
      <c r="G104" s="14"/>
    </row>
    <row r="105" spans="1:7" ht="21" customHeight="1">
      <c r="A105" s="81">
        <v>21</v>
      </c>
      <c r="B105" s="1"/>
      <c r="C105" s="1"/>
      <c r="D105" s="127"/>
      <c r="E105" s="128"/>
      <c r="F105" s="129"/>
      <c r="G105" s="14"/>
    </row>
    <row r="106" spans="1:7" ht="21" customHeight="1">
      <c r="A106" s="81">
        <v>22</v>
      </c>
      <c r="B106" s="1"/>
      <c r="C106" s="1"/>
      <c r="D106" s="127"/>
      <c r="E106" s="128"/>
      <c r="F106" s="129"/>
      <c r="G106" s="14"/>
    </row>
    <row r="107" spans="1:7" ht="21" customHeight="1">
      <c r="A107" s="81">
        <v>23</v>
      </c>
      <c r="B107" s="2"/>
      <c r="C107" s="2"/>
      <c r="D107" s="127"/>
      <c r="E107" s="128"/>
      <c r="F107" s="129"/>
      <c r="G107" s="15"/>
    </row>
    <row r="108" spans="1:7" ht="21" customHeight="1">
      <c r="A108" s="81">
        <v>24</v>
      </c>
      <c r="B108" s="2"/>
      <c r="C108" s="2"/>
      <c r="D108" s="127"/>
      <c r="E108" s="128"/>
      <c r="F108" s="129"/>
      <c r="G108" s="15"/>
    </row>
    <row r="109" spans="1:7" ht="21" customHeight="1">
      <c r="A109" s="81">
        <v>25</v>
      </c>
      <c r="B109" s="2"/>
      <c r="C109" s="2"/>
      <c r="D109" s="127"/>
      <c r="E109" s="128"/>
      <c r="F109" s="129"/>
      <c r="G109" s="15"/>
    </row>
    <row r="110" spans="1:7" ht="21" customHeight="1">
      <c r="A110" s="81">
        <v>26</v>
      </c>
      <c r="B110" s="2"/>
      <c r="C110" s="2"/>
      <c r="D110" s="127"/>
      <c r="E110" s="128"/>
      <c r="F110" s="129"/>
      <c r="G110" s="15"/>
    </row>
    <row r="111" spans="1:7" ht="21" customHeight="1">
      <c r="A111" s="81">
        <v>27</v>
      </c>
      <c r="B111" s="2"/>
      <c r="C111" s="2"/>
      <c r="D111" s="127"/>
      <c r="E111" s="128"/>
      <c r="F111" s="129"/>
      <c r="G111" s="15"/>
    </row>
    <row r="112" spans="1:7" ht="21" customHeight="1">
      <c r="A112" s="81">
        <v>28</v>
      </c>
      <c r="B112" s="2"/>
      <c r="C112" s="2"/>
      <c r="D112" s="127"/>
      <c r="E112" s="128"/>
      <c r="F112" s="129"/>
      <c r="G112" s="15"/>
    </row>
    <row r="113" spans="1:7" ht="21" customHeight="1">
      <c r="A113" s="81">
        <v>29</v>
      </c>
      <c r="B113" s="2"/>
      <c r="C113" s="2"/>
      <c r="D113" s="130"/>
      <c r="E113" s="131"/>
      <c r="F113" s="132"/>
      <c r="G113" s="15"/>
    </row>
    <row r="114" spans="1:7" ht="21" customHeight="1">
      <c r="A114" s="388" t="s">
        <v>4</v>
      </c>
      <c r="B114" s="389"/>
      <c r="C114" s="390"/>
      <c r="D114" s="133">
        <f>SUM(D85:D113)</f>
        <v>3363</v>
      </c>
      <c r="E114" s="136">
        <f t="shared" si="4"/>
        <v>2.86</v>
      </c>
      <c r="F114" s="107">
        <f>SUM(F85:F113)</f>
        <v>9618.18</v>
      </c>
      <c r="G114" s="28"/>
    </row>
    <row r="115" spans="1:7" ht="21" customHeight="1">
      <c r="A115" s="391" t="s">
        <v>9</v>
      </c>
      <c r="B115" s="392"/>
      <c r="C115" s="392"/>
      <c r="D115" s="392"/>
      <c r="E115" s="393"/>
      <c r="F115" s="135">
        <f>'روكش جاري و فرهنگي'!D161+'روكش جاري و فرهنگي'!D115</f>
        <v>0</v>
      </c>
      <c r="G115" s="28"/>
    </row>
    <row r="116" spans="1:7" ht="21" customHeight="1" thickBot="1">
      <c r="A116" s="394" t="s">
        <v>10</v>
      </c>
      <c r="B116" s="395"/>
      <c r="C116" s="396"/>
      <c r="D116" s="141">
        <f>F116/E116</f>
        <v>3363.0000000000005</v>
      </c>
      <c r="E116" s="142">
        <f>F114/D114</f>
        <v>2.86</v>
      </c>
      <c r="F116" s="137">
        <f>F114-F115</f>
        <v>9618.18</v>
      </c>
      <c r="G116" s="27"/>
    </row>
    <row r="118" spans="1:7">
      <c r="A118" s="382" t="s">
        <v>7</v>
      </c>
      <c r="B118" s="382"/>
      <c r="C118" s="3"/>
      <c r="D118" s="6" t="s">
        <v>8</v>
      </c>
      <c r="E118" s="7" t="s">
        <v>384</v>
      </c>
      <c r="F118" s="383" t="s">
        <v>385</v>
      </c>
      <c r="G118" s="383"/>
    </row>
  </sheetData>
  <mergeCells count="27">
    <mergeCell ref="F38:G38"/>
    <mergeCell ref="A38:B38"/>
    <mergeCell ref="A1:F1"/>
    <mergeCell ref="A2:F2"/>
    <mergeCell ref="A36:C36"/>
    <mergeCell ref="A34:C34"/>
    <mergeCell ref="A35:E35"/>
    <mergeCell ref="A41:F41"/>
    <mergeCell ref="A42:F42"/>
    <mergeCell ref="A74:C74"/>
    <mergeCell ref="A75:E75"/>
    <mergeCell ref="A76:C76"/>
    <mergeCell ref="A78:B78"/>
    <mergeCell ref="F78:G78"/>
    <mergeCell ref="A118:B118"/>
    <mergeCell ref="F118:G118"/>
    <mergeCell ref="A81:F81"/>
    <mergeCell ref="A82:F82"/>
    <mergeCell ref="A114:C114"/>
    <mergeCell ref="A115:E115"/>
    <mergeCell ref="A116:C116"/>
    <mergeCell ref="I1:N1"/>
    <mergeCell ref="I2:N2"/>
    <mergeCell ref="I34:J34"/>
    <mergeCell ref="I38:J38"/>
    <mergeCell ref="N38:O38"/>
    <mergeCell ref="K35:N35"/>
  </mergeCells>
  <pageMargins left="0.27559055118110237" right="0.23622047244094491" top="0.35433070866141736" bottom="0.19685039370078741" header="0.31496062992125984" footer="0.31496062992125984"/>
  <pageSetup paperSize="9" orientation="portrait" r:id="rId1"/>
  <legacyDrawing r:id="rId2"/>
</worksheet>
</file>

<file path=xl/worksheets/sheet2.xml><?xml version="1.0" encoding="utf-8"?>
<worksheet xmlns="http://schemas.openxmlformats.org/spreadsheetml/2006/main" xmlns:r="http://schemas.openxmlformats.org/officeDocument/2006/relationships">
  <sheetPr>
    <tabColor rgb="FF92D050"/>
  </sheetPr>
  <dimension ref="A1:L494"/>
  <sheetViews>
    <sheetView rightToLeft="1" topLeftCell="A339" zoomScaleNormal="100" workbookViewId="0">
      <selection activeCell="G381" sqref="G381"/>
    </sheetView>
  </sheetViews>
  <sheetFormatPr defaultRowHeight="15"/>
  <cols>
    <col min="1" max="1" width="4.7109375" style="5" customWidth="1"/>
    <col min="2" max="2" width="9.7109375" style="5" customWidth="1"/>
    <col min="3" max="3" width="30.7109375" style="5" customWidth="1"/>
    <col min="4" max="4" width="4.7109375" style="5" customWidth="1"/>
    <col min="5" max="5" width="10.7109375" style="5" customWidth="1"/>
    <col min="6" max="6" width="10.7109375" style="52" customWidth="1"/>
    <col min="7" max="7" width="10.7109375" style="66" customWidth="1"/>
    <col min="8" max="8" width="10.7109375" style="52" customWidth="1"/>
    <col min="9" max="9" width="1.5703125" customWidth="1"/>
  </cols>
  <sheetData>
    <row r="1" spans="1:12" ht="17.25" customHeight="1">
      <c r="A1" s="383" t="s">
        <v>329</v>
      </c>
      <c r="B1" s="403"/>
      <c r="C1" s="403"/>
      <c r="D1" s="403"/>
      <c r="E1" s="403"/>
      <c r="J1" s="406" t="s">
        <v>82</v>
      </c>
      <c r="K1" s="406"/>
      <c r="L1" s="406"/>
    </row>
    <row r="2" spans="1:12" ht="17.25" customHeight="1">
      <c r="A2" s="383" t="s">
        <v>498</v>
      </c>
      <c r="B2" s="403"/>
      <c r="C2" s="403"/>
      <c r="D2" s="403"/>
      <c r="E2" s="403"/>
      <c r="J2" s="406" t="s">
        <v>92</v>
      </c>
      <c r="K2" s="406"/>
      <c r="L2" s="406"/>
    </row>
    <row r="3" spans="1:12" ht="17.25" customHeight="1" thickBot="1">
      <c r="A3" s="397" t="s">
        <v>96</v>
      </c>
      <c r="B3" s="397"/>
      <c r="C3" s="397"/>
      <c r="D3" s="397"/>
      <c r="E3" s="397"/>
      <c r="F3" s="53" t="s">
        <v>91</v>
      </c>
      <c r="G3" s="376">
        <f>تسعير!E34</f>
        <v>3.6889904170881982</v>
      </c>
      <c r="J3" s="406" t="s">
        <v>170</v>
      </c>
      <c r="K3" s="406"/>
      <c r="L3" s="406"/>
    </row>
    <row r="4" spans="1:12" ht="21" customHeight="1">
      <c r="A4" s="61" t="s">
        <v>0</v>
      </c>
      <c r="B4" s="51" t="s">
        <v>77</v>
      </c>
      <c r="C4" s="51" t="s">
        <v>76</v>
      </c>
      <c r="D4" s="51" t="s">
        <v>79</v>
      </c>
      <c r="E4" s="51" t="s">
        <v>13</v>
      </c>
      <c r="F4" s="54" t="s">
        <v>83</v>
      </c>
      <c r="G4" s="71" t="s">
        <v>14</v>
      </c>
      <c r="H4" s="55" t="s">
        <v>78</v>
      </c>
      <c r="J4" s="406" t="s">
        <v>84</v>
      </c>
      <c r="K4" s="406"/>
      <c r="L4" s="406"/>
    </row>
    <row r="5" spans="1:12" ht="21" customHeight="1">
      <c r="A5" s="82">
        <v>1</v>
      </c>
      <c r="B5" s="19"/>
      <c r="C5" s="4"/>
      <c r="D5" s="19"/>
      <c r="E5" s="116"/>
      <c r="F5" s="114">
        <f>E5/G3</f>
        <v>0</v>
      </c>
      <c r="G5" s="116"/>
      <c r="H5" s="115">
        <f>G5+F5</f>
        <v>0</v>
      </c>
      <c r="J5" s="406" t="s">
        <v>85</v>
      </c>
      <c r="K5" s="406"/>
      <c r="L5" s="406"/>
    </row>
    <row r="6" spans="1:12" ht="21" customHeight="1">
      <c r="A6" s="82">
        <v>2</v>
      </c>
      <c r="B6" s="19"/>
      <c r="C6" s="19"/>
      <c r="D6" s="19"/>
      <c r="E6" s="116"/>
      <c r="F6" s="114">
        <f>E6/G3</f>
        <v>0</v>
      </c>
      <c r="G6" s="116"/>
      <c r="H6" s="115">
        <f t="shared" ref="H6:H29" si="0">G6+F6</f>
        <v>0</v>
      </c>
      <c r="J6" s="406" t="s">
        <v>86</v>
      </c>
      <c r="K6" s="406"/>
      <c r="L6" s="406"/>
    </row>
    <row r="7" spans="1:12" ht="21" customHeight="1">
      <c r="A7" s="82">
        <v>3</v>
      </c>
      <c r="B7" s="19"/>
      <c r="C7" s="19"/>
      <c r="D7" s="19"/>
      <c r="E7" s="116"/>
      <c r="F7" s="114">
        <f>E7/G3</f>
        <v>0</v>
      </c>
      <c r="G7" s="116"/>
      <c r="H7" s="115">
        <f t="shared" si="0"/>
        <v>0</v>
      </c>
      <c r="J7" s="406" t="s">
        <v>87</v>
      </c>
      <c r="K7" s="406"/>
      <c r="L7" s="406"/>
    </row>
    <row r="8" spans="1:12" ht="21" customHeight="1">
      <c r="A8" s="82">
        <v>4</v>
      </c>
      <c r="B8" s="19"/>
      <c r="C8" s="19"/>
      <c r="D8" s="19"/>
      <c r="E8" s="116"/>
      <c r="F8" s="114">
        <f>E8/G3</f>
        <v>0</v>
      </c>
      <c r="G8" s="116"/>
      <c r="H8" s="115">
        <f t="shared" si="0"/>
        <v>0</v>
      </c>
      <c r="J8" s="406" t="s">
        <v>88</v>
      </c>
      <c r="K8" s="406"/>
      <c r="L8" s="406"/>
    </row>
    <row r="9" spans="1:12" ht="21" customHeight="1">
      <c r="A9" s="82">
        <v>5</v>
      </c>
      <c r="B9" s="19"/>
      <c r="C9" s="19"/>
      <c r="D9" s="19"/>
      <c r="E9" s="116"/>
      <c r="F9" s="114">
        <f>E9/G3</f>
        <v>0</v>
      </c>
      <c r="G9" s="116"/>
      <c r="H9" s="115">
        <f t="shared" si="0"/>
        <v>0</v>
      </c>
      <c r="J9" s="406" t="s">
        <v>278</v>
      </c>
      <c r="K9" s="406"/>
      <c r="L9" s="406"/>
    </row>
    <row r="10" spans="1:12" ht="21" customHeight="1">
      <c r="A10" s="82">
        <v>6</v>
      </c>
      <c r="B10" s="19"/>
      <c r="C10" s="19"/>
      <c r="D10" s="19"/>
      <c r="E10" s="116"/>
      <c r="F10" s="114">
        <f>E10/G3</f>
        <v>0</v>
      </c>
      <c r="G10" s="116"/>
      <c r="H10" s="115">
        <f t="shared" si="0"/>
        <v>0</v>
      </c>
      <c r="J10" s="406" t="s">
        <v>89</v>
      </c>
      <c r="K10" s="406"/>
      <c r="L10" s="406"/>
    </row>
    <row r="11" spans="1:12" ht="21" customHeight="1">
      <c r="A11" s="82">
        <v>7</v>
      </c>
      <c r="B11" s="19"/>
      <c r="C11" s="19"/>
      <c r="D11" s="19"/>
      <c r="E11" s="116"/>
      <c r="F11" s="114">
        <f>E11/G3</f>
        <v>0</v>
      </c>
      <c r="G11" s="116"/>
      <c r="H11" s="115">
        <f t="shared" si="0"/>
        <v>0</v>
      </c>
      <c r="J11" s="406" t="s">
        <v>16</v>
      </c>
      <c r="K11" s="406"/>
      <c r="L11" s="406"/>
    </row>
    <row r="12" spans="1:12" ht="21" customHeight="1">
      <c r="A12" s="82">
        <v>8</v>
      </c>
      <c r="B12" s="19"/>
      <c r="C12" s="19"/>
      <c r="D12" s="19"/>
      <c r="E12" s="116"/>
      <c r="F12" s="114">
        <f>E12/G3</f>
        <v>0</v>
      </c>
      <c r="G12" s="116"/>
      <c r="H12" s="115">
        <f t="shared" si="0"/>
        <v>0</v>
      </c>
      <c r="J12" s="406" t="s">
        <v>90</v>
      </c>
      <c r="K12" s="406"/>
      <c r="L12" s="406"/>
    </row>
    <row r="13" spans="1:12" ht="21" customHeight="1">
      <c r="A13" s="82">
        <v>9</v>
      </c>
      <c r="B13" s="19"/>
      <c r="C13" s="19"/>
      <c r="D13" s="19"/>
      <c r="E13" s="116"/>
      <c r="F13" s="114">
        <f>E13/G3</f>
        <v>0</v>
      </c>
      <c r="G13" s="116"/>
      <c r="H13" s="115">
        <f t="shared" si="0"/>
        <v>0</v>
      </c>
    </row>
    <row r="14" spans="1:12" ht="21" customHeight="1">
      <c r="A14" s="82">
        <v>10</v>
      </c>
      <c r="B14" s="19"/>
      <c r="C14" s="19"/>
      <c r="D14" s="19"/>
      <c r="E14" s="116"/>
      <c r="F14" s="114">
        <f>E14/G3</f>
        <v>0</v>
      </c>
      <c r="G14" s="116"/>
      <c r="H14" s="115">
        <f t="shared" si="0"/>
        <v>0</v>
      </c>
    </row>
    <row r="15" spans="1:12" ht="21" customHeight="1">
      <c r="A15" s="82">
        <v>11</v>
      </c>
      <c r="B15" s="19"/>
      <c r="C15" s="19"/>
      <c r="D15" s="19"/>
      <c r="E15" s="116"/>
      <c r="F15" s="114">
        <f>E15/G3</f>
        <v>0</v>
      </c>
      <c r="G15" s="116"/>
      <c r="H15" s="115">
        <f t="shared" si="0"/>
        <v>0</v>
      </c>
    </row>
    <row r="16" spans="1:12" ht="21" customHeight="1">
      <c r="A16" s="82">
        <v>12</v>
      </c>
      <c r="B16" s="19"/>
      <c r="C16" s="19"/>
      <c r="D16" s="19"/>
      <c r="E16" s="116"/>
      <c r="F16" s="114">
        <f>E16/G3</f>
        <v>0</v>
      </c>
      <c r="G16" s="116"/>
      <c r="H16" s="115">
        <f t="shared" si="0"/>
        <v>0</v>
      </c>
    </row>
    <row r="17" spans="1:8" ht="21" customHeight="1">
      <c r="A17" s="82">
        <v>13</v>
      </c>
      <c r="B17" s="19"/>
      <c r="C17" s="19"/>
      <c r="D17" s="19"/>
      <c r="E17" s="116"/>
      <c r="F17" s="114">
        <f>E17/G3</f>
        <v>0</v>
      </c>
      <c r="G17" s="116"/>
      <c r="H17" s="115">
        <f t="shared" si="0"/>
        <v>0</v>
      </c>
    </row>
    <row r="18" spans="1:8" ht="21" customHeight="1">
      <c r="A18" s="82">
        <v>14</v>
      </c>
      <c r="B18" s="19"/>
      <c r="C18" s="19"/>
      <c r="D18" s="19"/>
      <c r="E18" s="116"/>
      <c r="F18" s="114">
        <f>E18/G3</f>
        <v>0</v>
      </c>
      <c r="G18" s="116"/>
      <c r="H18" s="115">
        <f t="shared" si="0"/>
        <v>0</v>
      </c>
    </row>
    <row r="19" spans="1:8" ht="21" customHeight="1">
      <c r="A19" s="82">
        <v>15</v>
      </c>
      <c r="B19" s="19"/>
      <c r="C19" s="19"/>
      <c r="D19" s="19"/>
      <c r="E19" s="116"/>
      <c r="F19" s="114">
        <f>E19/G3</f>
        <v>0</v>
      </c>
      <c r="G19" s="116"/>
      <c r="H19" s="115">
        <f t="shared" si="0"/>
        <v>0</v>
      </c>
    </row>
    <row r="20" spans="1:8" ht="21" customHeight="1">
      <c r="A20" s="82">
        <v>16</v>
      </c>
      <c r="B20" s="19"/>
      <c r="C20" s="19"/>
      <c r="D20" s="19"/>
      <c r="E20" s="116"/>
      <c r="F20" s="114">
        <f>E20/G3</f>
        <v>0</v>
      </c>
      <c r="G20" s="116"/>
      <c r="H20" s="115">
        <f t="shared" si="0"/>
        <v>0</v>
      </c>
    </row>
    <row r="21" spans="1:8" ht="21" customHeight="1">
      <c r="A21" s="82">
        <v>17</v>
      </c>
      <c r="B21" s="19"/>
      <c r="C21" s="19"/>
      <c r="D21" s="19"/>
      <c r="E21" s="116"/>
      <c r="F21" s="114">
        <f>E21/G3</f>
        <v>0</v>
      </c>
      <c r="G21" s="116"/>
      <c r="H21" s="115">
        <f t="shared" si="0"/>
        <v>0</v>
      </c>
    </row>
    <row r="22" spans="1:8" ht="21" customHeight="1">
      <c r="A22" s="82">
        <v>18</v>
      </c>
      <c r="B22" s="19"/>
      <c r="C22" s="19"/>
      <c r="D22" s="19"/>
      <c r="E22" s="116"/>
      <c r="F22" s="114">
        <f>E22/G3</f>
        <v>0</v>
      </c>
      <c r="G22" s="116"/>
      <c r="H22" s="115">
        <f t="shared" si="0"/>
        <v>0</v>
      </c>
    </row>
    <row r="23" spans="1:8" ht="21" customHeight="1">
      <c r="A23" s="82">
        <v>19</v>
      </c>
      <c r="B23" s="19"/>
      <c r="C23" s="19"/>
      <c r="D23" s="19"/>
      <c r="E23" s="116"/>
      <c r="F23" s="114">
        <f>E23/G3</f>
        <v>0</v>
      </c>
      <c r="G23" s="116"/>
      <c r="H23" s="115">
        <f t="shared" si="0"/>
        <v>0</v>
      </c>
    </row>
    <row r="24" spans="1:8" ht="21" customHeight="1">
      <c r="A24" s="82">
        <v>20</v>
      </c>
      <c r="B24" s="19"/>
      <c r="C24" s="19"/>
      <c r="D24" s="19"/>
      <c r="E24" s="116"/>
      <c r="F24" s="114">
        <f>E24/G3</f>
        <v>0</v>
      </c>
      <c r="G24" s="116"/>
      <c r="H24" s="115">
        <f t="shared" si="0"/>
        <v>0</v>
      </c>
    </row>
    <row r="25" spans="1:8" ht="21" customHeight="1">
      <c r="A25" s="82">
        <v>21</v>
      </c>
      <c r="B25" s="19"/>
      <c r="C25" s="19"/>
      <c r="D25" s="19"/>
      <c r="E25" s="116"/>
      <c r="F25" s="114">
        <f>E25/G3</f>
        <v>0</v>
      </c>
      <c r="G25" s="116"/>
      <c r="H25" s="115">
        <f t="shared" si="0"/>
        <v>0</v>
      </c>
    </row>
    <row r="26" spans="1:8" ht="21" customHeight="1">
      <c r="A26" s="82">
        <v>22</v>
      </c>
      <c r="B26" s="19"/>
      <c r="C26" s="19"/>
      <c r="D26" s="19"/>
      <c r="E26" s="116"/>
      <c r="F26" s="114">
        <f>E26/G3</f>
        <v>0</v>
      </c>
      <c r="G26" s="116"/>
      <c r="H26" s="115">
        <f t="shared" si="0"/>
        <v>0</v>
      </c>
    </row>
    <row r="27" spans="1:8" ht="21" customHeight="1">
      <c r="A27" s="82">
        <v>23</v>
      </c>
      <c r="B27" s="19"/>
      <c r="C27" s="19"/>
      <c r="D27" s="19"/>
      <c r="E27" s="116"/>
      <c r="F27" s="114">
        <f>E27/G3</f>
        <v>0</v>
      </c>
      <c r="G27" s="116"/>
      <c r="H27" s="115">
        <f t="shared" si="0"/>
        <v>0</v>
      </c>
    </row>
    <row r="28" spans="1:8" ht="21" customHeight="1">
      <c r="A28" s="82">
        <v>24</v>
      </c>
      <c r="B28" s="19"/>
      <c r="C28" s="19"/>
      <c r="D28" s="19"/>
      <c r="E28" s="116"/>
      <c r="F28" s="114">
        <f>E28/G3</f>
        <v>0</v>
      </c>
      <c r="G28" s="116"/>
      <c r="H28" s="115">
        <f t="shared" si="0"/>
        <v>0</v>
      </c>
    </row>
    <row r="29" spans="1:8" ht="21" customHeight="1">
      <c r="A29" s="82">
        <v>25</v>
      </c>
      <c r="B29" s="19"/>
      <c r="C29" s="19"/>
      <c r="D29" s="19"/>
      <c r="E29" s="116"/>
      <c r="F29" s="114">
        <f>E29/G3</f>
        <v>0</v>
      </c>
      <c r="G29" s="116"/>
      <c r="H29" s="115">
        <f t="shared" si="0"/>
        <v>0</v>
      </c>
    </row>
    <row r="30" spans="1:8" ht="21" customHeight="1" thickBot="1">
      <c r="A30" s="398" t="s">
        <v>4</v>
      </c>
      <c r="B30" s="399"/>
      <c r="C30" s="399"/>
      <c r="D30" s="400"/>
      <c r="E30" s="118">
        <f>SUM(E5:E29)</f>
        <v>0</v>
      </c>
      <c r="F30" s="118">
        <f>E30/G3</f>
        <v>0</v>
      </c>
      <c r="G30" s="118">
        <f>SUM(G5:G29)</f>
        <v>0</v>
      </c>
      <c r="H30" s="119">
        <f>SUM(H5:H29)</f>
        <v>0</v>
      </c>
    </row>
    <row r="32" spans="1:8">
      <c r="A32" s="382" t="s">
        <v>7</v>
      </c>
      <c r="B32" s="382"/>
      <c r="C32" s="401" t="s">
        <v>375</v>
      </c>
      <c r="D32" s="401"/>
      <c r="E32" s="401" t="s">
        <v>376</v>
      </c>
      <c r="F32" s="401"/>
      <c r="G32" s="401"/>
    </row>
    <row r="43" spans="1:8" ht="17.25" customHeight="1">
      <c r="A43" s="383" t="s">
        <v>357</v>
      </c>
      <c r="B43" s="383"/>
      <c r="C43" s="383"/>
      <c r="D43" s="383"/>
      <c r="E43" s="383"/>
      <c r="F43" s="404" t="s">
        <v>231</v>
      </c>
      <c r="G43" s="404"/>
    </row>
    <row r="44" spans="1:8" ht="17.25" customHeight="1">
      <c r="A44" s="383" t="s">
        <v>498</v>
      </c>
      <c r="B44" s="383"/>
      <c r="C44" s="383"/>
      <c r="D44" s="383"/>
      <c r="E44" s="383"/>
      <c r="F44" s="404" t="s">
        <v>233</v>
      </c>
      <c r="G44" s="404"/>
    </row>
    <row r="45" spans="1:8" ht="17.25" customHeight="1" thickBot="1">
      <c r="A45" s="397" t="s">
        <v>97</v>
      </c>
      <c r="B45" s="397"/>
      <c r="C45" s="397"/>
      <c r="D45" s="397"/>
      <c r="E45" s="397"/>
      <c r="F45" s="70" t="s">
        <v>91</v>
      </c>
      <c r="G45" s="376">
        <f>تسعير!E34</f>
        <v>3.6889904170881982</v>
      </c>
    </row>
    <row r="46" spans="1:8" ht="21" customHeight="1">
      <c r="A46" s="61" t="s">
        <v>0</v>
      </c>
      <c r="B46" s="51" t="s">
        <v>77</v>
      </c>
      <c r="C46" s="90" t="s">
        <v>76</v>
      </c>
      <c r="D46" s="51" t="s">
        <v>79</v>
      </c>
      <c r="E46" s="51" t="s">
        <v>13</v>
      </c>
      <c r="F46" s="54" t="s">
        <v>83</v>
      </c>
      <c r="G46" s="71" t="s">
        <v>14</v>
      </c>
      <c r="H46" s="55" t="s">
        <v>78</v>
      </c>
    </row>
    <row r="47" spans="1:8" ht="30" customHeight="1">
      <c r="A47" s="26">
        <v>1</v>
      </c>
      <c r="B47" s="91" t="s">
        <v>221</v>
      </c>
      <c r="C47" s="89" t="s">
        <v>208</v>
      </c>
      <c r="D47" s="88">
        <v>1</v>
      </c>
      <c r="E47" s="116"/>
      <c r="F47" s="293">
        <f>E47/G3</f>
        <v>0</v>
      </c>
      <c r="G47" s="124">
        <v>2917</v>
      </c>
      <c r="H47" s="312">
        <f>G47+F47</f>
        <v>2917</v>
      </c>
    </row>
    <row r="48" spans="1:8" ht="30" customHeight="1">
      <c r="A48" s="26">
        <v>2</v>
      </c>
      <c r="B48" s="91" t="s">
        <v>222</v>
      </c>
      <c r="C48" s="89" t="s">
        <v>209</v>
      </c>
      <c r="D48" s="88">
        <v>1</v>
      </c>
      <c r="E48" s="116"/>
      <c r="F48" s="293">
        <f>E48/G3</f>
        <v>0</v>
      </c>
      <c r="G48" s="124">
        <v>2917</v>
      </c>
      <c r="H48" s="312">
        <f t="shared" ref="H48:H71" si="1">G48+F48</f>
        <v>2917</v>
      </c>
    </row>
    <row r="49" spans="1:8" ht="30" customHeight="1">
      <c r="A49" s="26">
        <v>3</v>
      </c>
      <c r="B49" s="91" t="s">
        <v>190</v>
      </c>
      <c r="C49" s="89" t="s">
        <v>210</v>
      </c>
      <c r="D49" s="88">
        <v>1</v>
      </c>
      <c r="E49" s="116"/>
      <c r="F49" s="293">
        <f>E49/G3</f>
        <v>0</v>
      </c>
      <c r="G49" s="124">
        <v>2617</v>
      </c>
      <c r="H49" s="312">
        <f t="shared" si="1"/>
        <v>2617</v>
      </c>
    </row>
    <row r="50" spans="1:8" ht="30" customHeight="1">
      <c r="A50" s="26">
        <v>4</v>
      </c>
      <c r="B50" s="91" t="s">
        <v>223</v>
      </c>
      <c r="C50" s="89" t="s">
        <v>211</v>
      </c>
      <c r="D50" s="88">
        <v>1</v>
      </c>
      <c r="E50" s="116"/>
      <c r="F50" s="293">
        <f>E50/G3</f>
        <v>0</v>
      </c>
      <c r="G50" s="124">
        <v>2617</v>
      </c>
      <c r="H50" s="312">
        <f t="shared" si="1"/>
        <v>2617</v>
      </c>
    </row>
    <row r="51" spans="1:8" ht="30" customHeight="1">
      <c r="A51" s="26">
        <v>5</v>
      </c>
      <c r="B51" s="91" t="s">
        <v>224</v>
      </c>
      <c r="C51" s="89" t="s">
        <v>212</v>
      </c>
      <c r="D51" s="88">
        <v>1</v>
      </c>
      <c r="E51" s="116"/>
      <c r="F51" s="293">
        <f>E51/G3</f>
        <v>0</v>
      </c>
      <c r="G51" s="124">
        <v>2617</v>
      </c>
      <c r="H51" s="312">
        <f t="shared" si="1"/>
        <v>2617</v>
      </c>
    </row>
    <row r="52" spans="1:8" ht="30" customHeight="1">
      <c r="A52" s="26">
        <v>6</v>
      </c>
      <c r="B52" s="91" t="s">
        <v>225</v>
      </c>
      <c r="C52" s="89" t="s">
        <v>213</v>
      </c>
      <c r="D52" s="88">
        <v>1</v>
      </c>
      <c r="E52" s="116"/>
      <c r="F52" s="293">
        <f>E52/G3</f>
        <v>0</v>
      </c>
      <c r="G52" s="124">
        <v>2617</v>
      </c>
      <c r="H52" s="312">
        <f t="shared" si="1"/>
        <v>2617</v>
      </c>
    </row>
    <row r="53" spans="1:8" ht="30" customHeight="1">
      <c r="A53" s="26">
        <v>7</v>
      </c>
      <c r="B53" s="91" t="s">
        <v>225</v>
      </c>
      <c r="C53" s="89" t="s">
        <v>214</v>
      </c>
      <c r="D53" s="88">
        <v>1</v>
      </c>
      <c r="E53" s="116"/>
      <c r="F53" s="293">
        <f>E53/G3</f>
        <v>0</v>
      </c>
      <c r="G53" s="124">
        <v>1621</v>
      </c>
      <c r="H53" s="312">
        <f t="shared" si="1"/>
        <v>1621</v>
      </c>
    </row>
    <row r="54" spans="1:8" ht="30" customHeight="1">
      <c r="A54" s="26">
        <v>8</v>
      </c>
      <c r="B54" s="91" t="s">
        <v>226</v>
      </c>
      <c r="C54" s="89" t="s">
        <v>215</v>
      </c>
      <c r="D54" s="88">
        <v>1</v>
      </c>
      <c r="E54" s="116"/>
      <c r="F54" s="293">
        <f>E54/G3</f>
        <v>0</v>
      </c>
      <c r="G54" s="124">
        <v>270</v>
      </c>
      <c r="H54" s="312">
        <f t="shared" si="1"/>
        <v>270</v>
      </c>
    </row>
    <row r="55" spans="1:8" ht="30" customHeight="1">
      <c r="A55" s="26">
        <v>9</v>
      </c>
      <c r="B55" s="91" t="s">
        <v>190</v>
      </c>
      <c r="C55" s="89" t="s">
        <v>216</v>
      </c>
      <c r="D55" s="88">
        <v>1</v>
      </c>
      <c r="E55" s="116"/>
      <c r="F55" s="293">
        <f>E55/G3</f>
        <v>0</v>
      </c>
      <c r="G55" s="124">
        <v>294</v>
      </c>
      <c r="H55" s="312">
        <f t="shared" si="1"/>
        <v>294</v>
      </c>
    </row>
    <row r="56" spans="1:8" ht="30" customHeight="1">
      <c r="A56" s="26">
        <v>10</v>
      </c>
      <c r="B56" s="91" t="s">
        <v>225</v>
      </c>
      <c r="C56" s="89" t="s">
        <v>217</v>
      </c>
      <c r="D56" s="88">
        <v>1</v>
      </c>
      <c r="E56" s="116"/>
      <c r="F56" s="293">
        <f>E56/G3</f>
        <v>0</v>
      </c>
      <c r="G56" s="124">
        <v>240</v>
      </c>
      <c r="H56" s="312">
        <f t="shared" si="1"/>
        <v>240</v>
      </c>
    </row>
    <row r="57" spans="1:8" ht="30" customHeight="1">
      <c r="A57" s="26">
        <v>11</v>
      </c>
      <c r="B57" s="91" t="s">
        <v>230</v>
      </c>
      <c r="C57" s="89" t="s">
        <v>218</v>
      </c>
      <c r="D57" s="88">
        <v>2</v>
      </c>
      <c r="E57" s="116"/>
      <c r="F57" s="293">
        <f>E57/G3</f>
        <v>0</v>
      </c>
      <c r="G57" s="124">
        <v>20</v>
      </c>
      <c r="H57" s="312">
        <f t="shared" si="1"/>
        <v>20</v>
      </c>
    </row>
    <row r="58" spans="1:8" ht="30" customHeight="1">
      <c r="A58" s="26">
        <v>12</v>
      </c>
      <c r="B58" s="91" t="s">
        <v>228</v>
      </c>
      <c r="C58" s="89" t="s">
        <v>220</v>
      </c>
      <c r="D58" s="88">
        <v>4</v>
      </c>
      <c r="E58" s="116"/>
      <c r="F58" s="293">
        <f>E58/G3</f>
        <v>0</v>
      </c>
      <c r="G58" s="124">
        <v>53</v>
      </c>
      <c r="H58" s="312">
        <f t="shared" si="1"/>
        <v>53</v>
      </c>
    </row>
    <row r="59" spans="1:8" ht="30" customHeight="1">
      <c r="A59" s="26">
        <v>13</v>
      </c>
      <c r="B59" s="91" t="s">
        <v>229</v>
      </c>
      <c r="C59" s="89" t="s">
        <v>219</v>
      </c>
      <c r="D59" s="88">
        <v>4</v>
      </c>
      <c r="E59" s="116"/>
      <c r="F59" s="293">
        <f>E59/G3</f>
        <v>0</v>
      </c>
      <c r="G59" s="124">
        <v>50</v>
      </c>
      <c r="H59" s="312">
        <f t="shared" si="1"/>
        <v>50</v>
      </c>
    </row>
    <row r="60" spans="1:8" ht="30" customHeight="1">
      <c r="A60" s="26">
        <v>14</v>
      </c>
      <c r="B60" s="87"/>
      <c r="C60" s="92" t="s">
        <v>232</v>
      </c>
      <c r="D60" s="88">
        <v>24</v>
      </c>
      <c r="E60" s="116"/>
      <c r="F60" s="293">
        <f>E60/G3</f>
        <v>0</v>
      </c>
      <c r="G60" s="124">
        <v>9720</v>
      </c>
      <c r="H60" s="312">
        <f t="shared" si="1"/>
        <v>9720</v>
      </c>
    </row>
    <row r="61" spans="1:8" ht="15" customHeight="1">
      <c r="A61" s="26">
        <v>15</v>
      </c>
      <c r="B61" s="87"/>
      <c r="C61" s="19"/>
      <c r="D61" s="88"/>
      <c r="E61" s="116"/>
      <c r="F61" s="293">
        <f>E61/G3</f>
        <v>0</v>
      </c>
      <c r="G61" s="124"/>
      <c r="H61" s="312">
        <f t="shared" si="1"/>
        <v>0</v>
      </c>
    </row>
    <row r="62" spans="1:8" ht="15" customHeight="1">
      <c r="A62" s="26">
        <v>16</v>
      </c>
      <c r="B62" s="87"/>
      <c r="C62" s="19"/>
      <c r="D62" s="88"/>
      <c r="E62" s="116"/>
      <c r="F62" s="293">
        <f>E62/G3</f>
        <v>0</v>
      </c>
      <c r="G62" s="124"/>
      <c r="H62" s="312">
        <f t="shared" si="1"/>
        <v>0</v>
      </c>
    </row>
    <row r="63" spans="1:8" ht="15" customHeight="1">
      <c r="A63" s="26">
        <v>17</v>
      </c>
      <c r="B63" s="87"/>
      <c r="C63" s="19"/>
      <c r="D63" s="88"/>
      <c r="E63" s="116"/>
      <c r="F63" s="293">
        <f>E63/G3</f>
        <v>0</v>
      </c>
      <c r="G63" s="124"/>
      <c r="H63" s="312">
        <f t="shared" si="1"/>
        <v>0</v>
      </c>
    </row>
    <row r="64" spans="1:8" ht="15" customHeight="1">
      <c r="A64" s="26">
        <v>18</v>
      </c>
      <c r="B64" s="87"/>
      <c r="C64" s="19"/>
      <c r="D64" s="88"/>
      <c r="E64" s="116"/>
      <c r="F64" s="293">
        <f>E64/G3</f>
        <v>0</v>
      </c>
      <c r="G64" s="124"/>
      <c r="H64" s="312">
        <f t="shared" si="1"/>
        <v>0</v>
      </c>
    </row>
    <row r="65" spans="1:8" ht="15" customHeight="1">
      <c r="A65" s="26">
        <v>19</v>
      </c>
      <c r="B65" s="87"/>
      <c r="C65" s="19"/>
      <c r="D65" s="88"/>
      <c r="E65" s="116"/>
      <c r="F65" s="293">
        <f>E65/G3</f>
        <v>0</v>
      </c>
      <c r="G65" s="124"/>
      <c r="H65" s="312">
        <f t="shared" si="1"/>
        <v>0</v>
      </c>
    </row>
    <row r="66" spans="1:8" ht="15" customHeight="1">
      <c r="A66" s="26">
        <v>20</v>
      </c>
      <c r="B66" s="19"/>
      <c r="C66" s="19"/>
      <c r="D66" s="19"/>
      <c r="E66" s="116"/>
      <c r="F66" s="293">
        <f>E66/G3</f>
        <v>0</v>
      </c>
      <c r="G66" s="124"/>
      <c r="H66" s="312">
        <f t="shared" si="1"/>
        <v>0</v>
      </c>
    </row>
    <row r="67" spans="1:8" ht="15" customHeight="1">
      <c r="A67" s="26">
        <v>21</v>
      </c>
      <c r="B67" s="19"/>
      <c r="C67" s="19"/>
      <c r="D67" s="19"/>
      <c r="E67" s="116"/>
      <c r="F67" s="293">
        <f>E67/G3</f>
        <v>0</v>
      </c>
      <c r="G67" s="124"/>
      <c r="H67" s="312">
        <f t="shared" si="1"/>
        <v>0</v>
      </c>
    </row>
    <row r="68" spans="1:8" ht="15" customHeight="1">
      <c r="A68" s="26">
        <v>22</v>
      </c>
      <c r="B68" s="19"/>
      <c r="C68" s="19"/>
      <c r="D68" s="19"/>
      <c r="E68" s="116"/>
      <c r="F68" s="293">
        <f>E68/G3</f>
        <v>0</v>
      </c>
      <c r="G68" s="124"/>
      <c r="H68" s="312">
        <f t="shared" si="1"/>
        <v>0</v>
      </c>
    </row>
    <row r="69" spans="1:8" ht="15" customHeight="1">
      <c r="A69" s="26">
        <v>23</v>
      </c>
      <c r="B69" s="19"/>
      <c r="C69" s="19"/>
      <c r="D69" s="19"/>
      <c r="E69" s="116"/>
      <c r="F69" s="293">
        <f>E69/G3</f>
        <v>0</v>
      </c>
      <c r="G69" s="124"/>
      <c r="H69" s="312">
        <f t="shared" si="1"/>
        <v>0</v>
      </c>
    </row>
    <row r="70" spans="1:8" ht="15" customHeight="1">
      <c r="A70" s="26">
        <v>24</v>
      </c>
      <c r="B70" s="19"/>
      <c r="C70" s="19"/>
      <c r="D70" s="19"/>
      <c r="E70" s="116"/>
      <c r="F70" s="293">
        <f>E70/G3</f>
        <v>0</v>
      </c>
      <c r="G70" s="124"/>
      <c r="H70" s="312">
        <f t="shared" si="1"/>
        <v>0</v>
      </c>
    </row>
    <row r="71" spans="1:8" ht="21" customHeight="1">
      <c r="A71" s="26">
        <v>25</v>
      </c>
      <c r="B71" s="19"/>
      <c r="C71" s="19"/>
      <c r="D71" s="19">
        <f>SUM(D47:D70)</f>
        <v>44</v>
      </c>
      <c r="E71" s="116"/>
      <c r="F71" s="293">
        <f>E71/G3</f>
        <v>0</v>
      </c>
      <c r="G71" s="124"/>
      <c r="H71" s="312">
        <f t="shared" si="1"/>
        <v>0</v>
      </c>
    </row>
    <row r="72" spans="1:8" ht="21" customHeight="1" thickBot="1">
      <c r="A72" s="398" t="s">
        <v>4</v>
      </c>
      <c r="B72" s="399"/>
      <c r="C72" s="399"/>
      <c r="D72" s="400"/>
      <c r="E72" s="118">
        <f>SUM(E47:E71)</f>
        <v>0</v>
      </c>
      <c r="F72" s="118">
        <f>E72/G3</f>
        <v>0</v>
      </c>
      <c r="G72" s="118">
        <f>SUM(G47:G71)</f>
        <v>28570</v>
      </c>
      <c r="H72" s="119">
        <f>SUM(H47:H71)</f>
        <v>28570</v>
      </c>
    </row>
    <row r="74" spans="1:8">
      <c r="A74" s="382" t="s">
        <v>7</v>
      </c>
      <c r="B74" s="382"/>
      <c r="C74" s="401" t="s">
        <v>375</v>
      </c>
      <c r="D74" s="401"/>
      <c r="E74" s="401" t="s">
        <v>376</v>
      </c>
      <c r="F74" s="401"/>
      <c r="G74" s="401"/>
    </row>
    <row r="85" spans="1:8" ht="17.25" customHeight="1">
      <c r="A85" s="383" t="s">
        <v>357</v>
      </c>
      <c r="B85" s="403"/>
      <c r="C85" s="403"/>
      <c r="D85" s="403"/>
      <c r="E85" s="403"/>
    </row>
    <row r="86" spans="1:8" ht="17.25" customHeight="1">
      <c r="A86" s="383" t="s">
        <v>498</v>
      </c>
      <c r="B86" s="403"/>
      <c r="C86" s="403"/>
      <c r="D86" s="403"/>
      <c r="E86" s="403"/>
      <c r="F86" s="404" t="s">
        <v>206</v>
      </c>
      <c r="G86" s="404"/>
    </row>
    <row r="87" spans="1:8" ht="17.25" customHeight="1" thickBot="1">
      <c r="A87" s="397" t="s">
        <v>169</v>
      </c>
      <c r="B87" s="397"/>
      <c r="C87" s="397"/>
      <c r="D87" s="397"/>
      <c r="E87" s="397"/>
      <c r="F87" s="53" t="s">
        <v>91</v>
      </c>
      <c r="G87" s="376">
        <f>تسعير!E34</f>
        <v>3.6889904170881982</v>
      </c>
    </row>
    <row r="88" spans="1:8" ht="21" customHeight="1">
      <c r="A88" s="61" t="s">
        <v>0</v>
      </c>
      <c r="B88" s="51" t="s">
        <v>77</v>
      </c>
      <c r="C88" s="51" t="s">
        <v>76</v>
      </c>
      <c r="D88" s="51" t="s">
        <v>79</v>
      </c>
      <c r="E88" s="51" t="s">
        <v>13</v>
      </c>
      <c r="F88" s="54" t="s">
        <v>83</v>
      </c>
      <c r="G88" s="71" t="s">
        <v>14</v>
      </c>
      <c r="H88" s="55" t="s">
        <v>78</v>
      </c>
    </row>
    <row r="89" spans="1:8" ht="21" customHeight="1">
      <c r="A89" s="26">
        <v>1</v>
      </c>
      <c r="B89" s="87" t="s">
        <v>171</v>
      </c>
      <c r="C89" s="104" t="s">
        <v>477</v>
      </c>
      <c r="D89" s="88">
        <v>2</v>
      </c>
      <c r="E89" s="124">
        <v>183</v>
      </c>
      <c r="F89" s="107">
        <f>E89/G3</f>
        <v>49.607068414248133</v>
      </c>
      <c r="G89" s="93"/>
      <c r="H89" s="108">
        <f>G89+F89</f>
        <v>49.607068414248133</v>
      </c>
    </row>
    <row r="90" spans="1:8" ht="21" customHeight="1">
      <c r="A90" s="26">
        <v>2</v>
      </c>
      <c r="B90" s="87" t="s">
        <v>172</v>
      </c>
      <c r="C90" s="104" t="s">
        <v>174</v>
      </c>
      <c r="D90" s="88">
        <v>8</v>
      </c>
      <c r="E90" s="124">
        <v>540</v>
      </c>
      <c r="F90" s="107">
        <f>E90/G3</f>
        <v>146.38151335351907</v>
      </c>
      <c r="G90" s="93"/>
      <c r="H90" s="108">
        <f t="shared" ref="H90:H113" si="2">G90+F90</f>
        <v>146.38151335351907</v>
      </c>
    </row>
    <row r="91" spans="1:8" ht="21" customHeight="1">
      <c r="A91" s="26">
        <v>3</v>
      </c>
      <c r="B91" s="87" t="s">
        <v>173</v>
      </c>
      <c r="C91" s="104" t="s">
        <v>475</v>
      </c>
      <c r="D91" s="88">
        <v>1</v>
      </c>
      <c r="E91" s="124">
        <v>300</v>
      </c>
      <c r="F91" s="107">
        <f>E91/G3</f>
        <v>81.323062974177262</v>
      </c>
      <c r="G91" s="93"/>
      <c r="H91" s="108">
        <f t="shared" si="2"/>
        <v>81.323062974177262</v>
      </c>
    </row>
    <row r="92" spans="1:8" ht="21" customHeight="1">
      <c r="A92" s="26">
        <v>4</v>
      </c>
      <c r="B92" s="87" t="s">
        <v>176</v>
      </c>
      <c r="C92" s="104" t="s">
        <v>175</v>
      </c>
      <c r="D92" s="88">
        <v>3</v>
      </c>
      <c r="E92" s="124">
        <v>527</v>
      </c>
      <c r="F92" s="107">
        <f>E92/G3</f>
        <v>142.85751395797141</v>
      </c>
      <c r="G92" s="93"/>
      <c r="H92" s="108">
        <f t="shared" si="2"/>
        <v>142.85751395797141</v>
      </c>
    </row>
    <row r="93" spans="1:8" ht="21" customHeight="1">
      <c r="A93" s="26">
        <v>5</v>
      </c>
      <c r="B93" s="87" t="s">
        <v>178</v>
      </c>
      <c r="C93" s="104" t="s">
        <v>177</v>
      </c>
      <c r="D93" s="88">
        <v>1</v>
      </c>
      <c r="E93" s="124">
        <v>162</v>
      </c>
      <c r="F93" s="107">
        <f>E93/G3</f>
        <v>43.91445400605572</v>
      </c>
      <c r="G93" s="93"/>
      <c r="H93" s="108">
        <f t="shared" si="2"/>
        <v>43.91445400605572</v>
      </c>
    </row>
    <row r="94" spans="1:8" ht="21" customHeight="1">
      <c r="A94" s="26">
        <v>6</v>
      </c>
      <c r="B94" s="87" t="s">
        <v>182</v>
      </c>
      <c r="C94" s="89" t="s">
        <v>179</v>
      </c>
      <c r="D94" s="88">
        <v>1</v>
      </c>
      <c r="E94" s="124">
        <v>198</v>
      </c>
      <c r="F94" s="107">
        <f>E94/G3</f>
        <v>53.673221562956996</v>
      </c>
      <c r="G94" s="93"/>
      <c r="H94" s="108">
        <f t="shared" si="2"/>
        <v>53.673221562956996</v>
      </c>
    </row>
    <row r="95" spans="1:8" ht="21" customHeight="1">
      <c r="A95" s="26">
        <v>7</v>
      </c>
      <c r="B95" s="87" t="s">
        <v>183</v>
      </c>
      <c r="C95" s="89" t="s">
        <v>180</v>
      </c>
      <c r="D95" s="88">
        <v>1</v>
      </c>
      <c r="E95" s="124">
        <v>25</v>
      </c>
      <c r="F95" s="107">
        <f>E95/G3</f>
        <v>6.7769219145147721</v>
      </c>
      <c r="G95" s="93"/>
      <c r="H95" s="108">
        <f t="shared" si="2"/>
        <v>6.7769219145147721</v>
      </c>
    </row>
    <row r="96" spans="1:8" ht="21" customHeight="1">
      <c r="A96" s="26">
        <v>8</v>
      </c>
      <c r="B96" s="87" t="s">
        <v>184</v>
      </c>
      <c r="C96" s="89" t="s">
        <v>181</v>
      </c>
      <c r="D96" s="88">
        <v>1</v>
      </c>
      <c r="E96" s="124">
        <v>185</v>
      </c>
      <c r="F96" s="107">
        <f>E96/G3</f>
        <v>50.149222167409313</v>
      </c>
      <c r="G96" s="93"/>
      <c r="H96" s="108">
        <f t="shared" si="2"/>
        <v>50.149222167409313</v>
      </c>
    </row>
    <row r="97" spans="1:8" ht="21" customHeight="1">
      <c r="A97" s="26">
        <v>9</v>
      </c>
      <c r="B97" s="87" t="s">
        <v>186</v>
      </c>
      <c r="C97" s="104" t="s">
        <v>185</v>
      </c>
      <c r="D97" s="88">
        <v>1</v>
      </c>
      <c r="E97" s="124">
        <v>69</v>
      </c>
      <c r="F97" s="107">
        <f>E97/G3</f>
        <v>18.704304484060771</v>
      </c>
      <c r="G97" s="93"/>
      <c r="H97" s="108">
        <f t="shared" si="2"/>
        <v>18.704304484060771</v>
      </c>
    </row>
    <row r="98" spans="1:8" ht="21" customHeight="1">
      <c r="A98" s="26">
        <v>10</v>
      </c>
      <c r="B98" s="87" t="s">
        <v>176</v>
      </c>
      <c r="C98" s="104" t="s">
        <v>187</v>
      </c>
      <c r="D98" s="88">
        <v>6</v>
      </c>
      <c r="E98" s="124">
        <v>173</v>
      </c>
      <c r="F98" s="107">
        <f>E98/G3</f>
        <v>46.896299648442223</v>
      </c>
      <c r="G98" s="93"/>
      <c r="H98" s="108">
        <f t="shared" si="2"/>
        <v>46.896299648442223</v>
      </c>
    </row>
    <row r="99" spans="1:8" ht="21" customHeight="1">
      <c r="A99" s="26">
        <v>11</v>
      </c>
      <c r="B99" s="87" t="s">
        <v>189</v>
      </c>
      <c r="C99" s="104" t="s">
        <v>188</v>
      </c>
      <c r="D99" s="88">
        <v>1</v>
      </c>
      <c r="E99" s="124">
        <v>16</v>
      </c>
      <c r="F99" s="107">
        <f>E99/G3</f>
        <v>4.337230025289454</v>
      </c>
      <c r="G99" s="93"/>
      <c r="H99" s="108">
        <f t="shared" si="2"/>
        <v>4.337230025289454</v>
      </c>
    </row>
    <row r="100" spans="1:8" ht="21" customHeight="1">
      <c r="A100" s="26">
        <v>12</v>
      </c>
      <c r="B100" s="87" t="s">
        <v>192</v>
      </c>
      <c r="C100" s="104" t="s">
        <v>191</v>
      </c>
      <c r="D100" s="88">
        <v>4</v>
      </c>
      <c r="E100" s="124">
        <v>645</v>
      </c>
      <c r="F100" s="107">
        <f>E100/G3</f>
        <v>174.84458539448113</v>
      </c>
      <c r="G100" s="93"/>
      <c r="H100" s="108">
        <f t="shared" si="2"/>
        <v>174.84458539448113</v>
      </c>
    </row>
    <row r="101" spans="1:8" ht="21" customHeight="1">
      <c r="A101" s="26">
        <v>13</v>
      </c>
      <c r="B101" s="87" t="s">
        <v>200</v>
      </c>
      <c r="C101" s="89" t="s">
        <v>193</v>
      </c>
      <c r="D101" s="88">
        <v>1</v>
      </c>
      <c r="E101" s="124">
        <v>185</v>
      </c>
      <c r="F101" s="107">
        <f>E101/G3</f>
        <v>50.149222167409313</v>
      </c>
      <c r="G101" s="93"/>
      <c r="H101" s="108">
        <f t="shared" si="2"/>
        <v>50.149222167409313</v>
      </c>
    </row>
    <row r="102" spans="1:8" ht="21" customHeight="1">
      <c r="A102" s="26">
        <v>14</v>
      </c>
      <c r="B102" s="87" t="s">
        <v>201</v>
      </c>
      <c r="C102" s="89" t="s">
        <v>199</v>
      </c>
      <c r="D102" s="88">
        <v>1</v>
      </c>
      <c r="E102" s="124">
        <v>35</v>
      </c>
      <c r="F102" s="107">
        <f>E102/G3</f>
        <v>9.4876906803206804</v>
      </c>
      <c r="G102" s="93"/>
      <c r="H102" s="108">
        <f t="shared" si="2"/>
        <v>9.4876906803206804</v>
      </c>
    </row>
    <row r="103" spans="1:8" ht="21" customHeight="1">
      <c r="A103" s="26">
        <v>15</v>
      </c>
      <c r="B103" s="87" t="s">
        <v>202</v>
      </c>
      <c r="C103" s="89" t="s">
        <v>194</v>
      </c>
      <c r="D103" s="88">
        <v>1</v>
      </c>
      <c r="E103" s="124">
        <v>150</v>
      </c>
      <c r="F103" s="107">
        <f>E103/G3</f>
        <v>40.661531487088631</v>
      </c>
      <c r="G103" s="93"/>
      <c r="H103" s="108">
        <f t="shared" si="2"/>
        <v>40.661531487088631</v>
      </c>
    </row>
    <row r="104" spans="1:8" ht="21" customHeight="1">
      <c r="A104" s="26">
        <v>16</v>
      </c>
      <c r="B104" s="87" t="s">
        <v>202</v>
      </c>
      <c r="C104" s="89" t="s">
        <v>195</v>
      </c>
      <c r="D104" s="88">
        <v>1</v>
      </c>
      <c r="E104" s="124">
        <v>22</v>
      </c>
      <c r="F104" s="107">
        <f>E104/G3</f>
        <v>5.9636912847729997</v>
      </c>
      <c r="G104" s="93"/>
      <c r="H104" s="108">
        <f t="shared" si="2"/>
        <v>5.9636912847729997</v>
      </c>
    </row>
    <row r="105" spans="1:8" ht="21" customHeight="1">
      <c r="A105" s="26">
        <v>17</v>
      </c>
      <c r="B105" s="87" t="s">
        <v>203</v>
      </c>
      <c r="C105" s="89" t="s">
        <v>196</v>
      </c>
      <c r="D105" s="88">
        <v>1</v>
      </c>
      <c r="E105" s="124">
        <v>77</v>
      </c>
      <c r="F105" s="107">
        <f>E105/G3</f>
        <v>20.872919496705499</v>
      </c>
      <c r="G105" s="93"/>
      <c r="H105" s="108">
        <f t="shared" si="2"/>
        <v>20.872919496705499</v>
      </c>
    </row>
    <row r="106" spans="1:8" ht="21" customHeight="1">
      <c r="A106" s="26">
        <v>18</v>
      </c>
      <c r="B106" s="87" t="s">
        <v>204</v>
      </c>
      <c r="C106" s="89" t="s">
        <v>197</v>
      </c>
      <c r="D106" s="88">
        <v>1</v>
      </c>
      <c r="E106" s="124">
        <v>100</v>
      </c>
      <c r="F106" s="107">
        <f>E106/G3</f>
        <v>27.107687658059088</v>
      </c>
      <c r="G106" s="93"/>
      <c r="H106" s="108">
        <f t="shared" si="2"/>
        <v>27.107687658059088</v>
      </c>
    </row>
    <row r="107" spans="1:8" ht="21" customHeight="1">
      <c r="A107" s="26">
        <v>19</v>
      </c>
      <c r="B107" s="87" t="s">
        <v>205</v>
      </c>
      <c r="C107" s="89" t="s">
        <v>476</v>
      </c>
      <c r="D107" s="88">
        <v>1</v>
      </c>
      <c r="E107" s="124">
        <v>516</v>
      </c>
      <c r="F107" s="107">
        <f>E107/G3</f>
        <v>139.8756683155849</v>
      </c>
      <c r="G107" s="93"/>
      <c r="H107" s="108">
        <f t="shared" si="2"/>
        <v>139.8756683155849</v>
      </c>
    </row>
    <row r="108" spans="1:8" ht="21" customHeight="1">
      <c r="A108" s="26">
        <v>20</v>
      </c>
      <c r="B108" s="87" t="s">
        <v>182</v>
      </c>
      <c r="C108" s="89" t="s">
        <v>198</v>
      </c>
      <c r="D108" s="88">
        <v>2</v>
      </c>
      <c r="E108" s="124">
        <v>140</v>
      </c>
      <c r="F108" s="107">
        <f>E108/G3</f>
        <v>37.950762721282722</v>
      </c>
      <c r="G108" s="93"/>
      <c r="H108" s="108">
        <f t="shared" si="2"/>
        <v>37.950762721282722</v>
      </c>
    </row>
    <row r="109" spans="1:8" ht="21" customHeight="1">
      <c r="A109" s="26">
        <v>21</v>
      </c>
      <c r="B109" s="87"/>
      <c r="C109" s="19"/>
      <c r="D109" s="88"/>
      <c r="E109" s="124"/>
      <c r="F109" s="107">
        <f>E109/G3</f>
        <v>0</v>
      </c>
      <c r="G109" s="93"/>
      <c r="H109" s="108">
        <f t="shared" si="2"/>
        <v>0</v>
      </c>
    </row>
    <row r="110" spans="1:8" ht="21" customHeight="1">
      <c r="A110" s="26">
        <v>22</v>
      </c>
      <c r="B110" s="19"/>
      <c r="C110" s="19"/>
      <c r="D110" s="19"/>
      <c r="E110" s="124"/>
      <c r="F110" s="107">
        <f>E110/G3</f>
        <v>0</v>
      </c>
      <c r="G110" s="93"/>
      <c r="H110" s="108">
        <f t="shared" si="2"/>
        <v>0</v>
      </c>
    </row>
    <row r="111" spans="1:8" ht="21" customHeight="1">
      <c r="A111" s="26">
        <v>23</v>
      </c>
      <c r="B111" s="19"/>
      <c r="C111" s="19"/>
      <c r="D111" s="19"/>
      <c r="E111" s="124"/>
      <c r="F111" s="107">
        <f>E111/G3</f>
        <v>0</v>
      </c>
      <c r="G111" s="93"/>
      <c r="H111" s="108">
        <f t="shared" si="2"/>
        <v>0</v>
      </c>
    </row>
    <row r="112" spans="1:8" ht="21" customHeight="1">
      <c r="A112" s="26">
        <v>24</v>
      </c>
      <c r="B112" s="19"/>
      <c r="C112" s="19"/>
      <c r="D112" s="19"/>
      <c r="E112" s="124"/>
      <c r="F112" s="107">
        <f>E112/G3</f>
        <v>0</v>
      </c>
      <c r="G112" s="93"/>
      <c r="H112" s="108">
        <f t="shared" si="2"/>
        <v>0</v>
      </c>
    </row>
    <row r="113" spans="1:8" ht="21" customHeight="1">
      <c r="A113" s="26">
        <v>25</v>
      </c>
      <c r="B113" s="19"/>
      <c r="C113" s="19"/>
      <c r="D113" s="19">
        <f>SUM(D89:D112)</f>
        <v>39</v>
      </c>
      <c r="E113" s="124"/>
      <c r="F113" s="107">
        <f>E113/G3</f>
        <v>0</v>
      </c>
      <c r="G113" s="93"/>
      <c r="H113" s="108">
        <f t="shared" si="2"/>
        <v>0</v>
      </c>
    </row>
    <row r="114" spans="1:8" ht="21" customHeight="1" thickBot="1">
      <c r="A114" s="398" t="s">
        <v>4</v>
      </c>
      <c r="B114" s="399"/>
      <c r="C114" s="399"/>
      <c r="D114" s="400"/>
      <c r="E114" s="125">
        <f>SUM(E89:E113)</f>
        <v>4248</v>
      </c>
      <c r="F114" s="118">
        <f>E114/G3</f>
        <v>1151.53457171435</v>
      </c>
      <c r="G114" s="112">
        <f>SUM(G89:G113)</f>
        <v>0</v>
      </c>
      <c r="H114" s="119">
        <f>SUM(H89:H113)</f>
        <v>1151.5345717143502</v>
      </c>
    </row>
    <row r="116" spans="1:8">
      <c r="A116" s="382" t="s">
        <v>7</v>
      </c>
      <c r="B116" s="382"/>
      <c r="C116" s="401" t="s">
        <v>375</v>
      </c>
      <c r="D116" s="401"/>
      <c r="E116" s="401" t="s">
        <v>376</v>
      </c>
      <c r="F116" s="401"/>
      <c r="G116" s="401"/>
    </row>
    <row r="127" spans="1:8" ht="17.25" customHeight="1">
      <c r="A127" s="383" t="s">
        <v>357</v>
      </c>
      <c r="B127" s="403"/>
      <c r="C127" s="403"/>
      <c r="D127" s="403"/>
      <c r="E127" s="403"/>
    </row>
    <row r="128" spans="1:8" ht="17.25" customHeight="1">
      <c r="A128" s="383" t="s">
        <v>498</v>
      </c>
      <c r="B128" s="403"/>
      <c r="C128" s="403"/>
      <c r="D128" s="403"/>
      <c r="E128" s="403"/>
      <c r="F128" s="404" t="s">
        <v>207</v>
      </c>
      <c r="G128" s="404"/>
    </row>
    <row r="129" spans="1:8" ht="17.25" customHeight="1" thickBot="1">
      <c r="A129" s="397" t="s">
        <v>98</v>
      </c>
      <c r="B129" s="397"/>
      <c r="C129" s="397"/>
      <c r="D129" s="397"/>
      <c r="E129" s="397"/>
      <c r="F129" s="53" t="s">
        <v>91</v>
      </c>
      <c r="G129" s="376">
        <f>تسعير!E34</f>
        <v>3.6889904170881982</v>
      </c>
    </row>
    <row r="130" spans="1:8" ht="21" customHeight="1">
      <c r="A130" s="61" t="s">
        <v>0</v>
      </c>
      <c r="B130" s="51" t="s">
        <v>77</v>
      </c>
      <c r="C130" s="51" t="s">
        <v>76</v>
      </c>
      <c r="D130" s="51" t="s">
        <v>79</v>
      </c>
      <c r="E130" s="51" t="s">
        <v>13</v>
      </c>
      <c r="F130" s="54" t="s">
        <v>83</v>
      </c>
      <c r="G130" s="71" t="s">
        <v>14</v>
      </c>
      <c r="H130" s="55" t="s">
        <v>78</v>
      </c>
    </row>
    <row r="131" spans="1:8" ht="21" customHeight="1">
      <c r="A131" s="26">
        <v>1</v>
      </c>
      <c r="B131" s="84" t="s">
        <v>167</v>
      </c>
      <c r="C131" s="86" t="s">
        <v>166</v>
      </c>
      <c r="D131" s="19">
        <v>5</v>
      </c>
      <c r="E131" s="93">
        <v>175</v>
      </c>
      <c r="F131" s="107">
        <f>E131/G3</f>
        <v>47.438453401603404</v>
      </c>
      <c r="G131" s="93"/>
      <c r="H131" s="108">
        <f>G131+F131</f>
        <v>47.438453401603404</v>
      </c>
    </row>
    <row r="132" spans="1:8" ht="21" customHeight="1">
      <c r="A132" s="26">
        <v>2</v>
      </c>
      <c r="B132" s="84" t="s">
        <v>167</v>
      </c>
      <c r="C132" s="86" t="s">
        <v>166</v>
      </c>
      <c r="D132" s="19">
        <v>5</v>
      </c>
      <c r="E132" s="93">
        <v>177</v>
      </c>
      <c r="F132" s="107">
        <f>E132/G3</f>
        <v>47.980607154764584</v>
      </c>
      <c r="G132" s="93"/>
      <c r="H132" s="108">
        <f t="shared" ref="H132:H155" si="3">G132+F132</f>
        <v>47.980607154764584</v>
      </c>
    </row>
    <row r="133" spans="1:8" ht="21" customHeight="1">
      <c r="A133" s="26">
        <v>3</v>
      </c>
      <c r="B133" s="84" t="s">
        <v>167</v>
      </c>
      <c r="C133" s="86" t="s">
        <v>166</v>
      </c>
      <c r="D133" s="19">
        <v>5</v>
      </c>
      <c r="E133" s="93">
        <v>150</v>
      </c>
      <c r="F133" s="107">
        <f>E133/G3</f>
        <v>40.661531487088631</v>
      </c>
      <c r="G133" s="93"/>
      <c r="H133" s="108">
        <f t="shared" si="3"/>
        <v>40.661531487088631</v>
      </c>
    </row>
    <row r="134" spans="1:8" ht="21" customHeight="1">
      <c r="A134" s="26">
        <v>4</v>
      </c>
      <c r="B134" s="84" t="s">
        <v>167</v>
      </c>
      <c r="C134" s="86" t="s">
        <v>166</v>
      </c>
      <c r="D134" s="19">
        <v>5</v>
      </c>
      <c r="E134" s="93">
        <v>110</v>
      </c>
      <c r="F134" s="107">
        <f>E134/G3</f>
        <v>29.818456423864998</v>
      </c>
      <c r="G134" s="93"/>
      <c r="H134" s="108">
        <f t="shared" si="3"/>
        <v>29.818456423864998</v>
      </c>
    </row>
    <row r="135" spans="1:8" ht="21" customHeight="1">
      <c r="A135" s="26">
        <v>5</v>
      </c>
      <c r="B135" s="84" t="s">
        <v>168</v>
      </c>
      <c r="C135" s="86" t="s">
        <v>166</v>
      </c>
      <c r="D135" s="19">
        <v>6</v>
      </c>
      <c r="E135" s="93">
        <v>186</v>
      </c>
      <c r="F135" s="107">
        <f>E135/G3</f>
        <v>50.420299043989907</v>
      </c>
      <c r="G135" s="93"/>
      <c r="H135" s="108">
        <f t="shared" si="3"/>
        <v>50.420299043989907</v>
      </c>
    </row>
    <row r="136" spans="1:8" ht="21" customHeight="1">
      <c r="A136" s="26">
        <v>6</v>
      </c>
      <c r="B136" s="19"/>
      <c r="C136" s="19"/>
      <c r="D136" s="19"/>
      <c r="E136" s="93"/>
      <c r="F136" s="107">
        <f>E136/G3</f>
        <v>0</v>
      </c>
      <c r="G136" s="93"/>
      <c r="H136" s="108">
        <f t="shared" si="3"/>
        <v>0</v>
      </c>
    </row>
    <row r="137" spans="1:8" ht="21" customHeight="1">
      <c r="A137" s="26">
        <v>7</v>
      </c>
      <c r="B137" s="19"/>
      <c r="C137" s="19"/>
      <c r="D137" s="19"/>
      <c r="E137" s="93"/>
      <c r="F137" s="107">
        <f>E137/G3</f>
        <v>0</v>
      </c>
      <c r="G137" s="93"/>
      <c r="H137" s="108">
        <f t="shared" si="3"/>
        <v>0</v>
      </c>
    </row>
    <row r="138" spans="1:8" ht="21" customHeight="1">
      <c r="A138" s="26">
        <v>8</v>
      </c>
      <c r="B138" s="19"/>
      <c r="C138" s="19"/>
      <c r="D138" s="19"/>
      <c r="E138" s="93"/>
      <c r="F138" s="107">
        <f>E138/G3</f>
        <v>0</v>
      </c>
      <c r="G138" s="93"/>
      <c r="H138" s="108">
        <f t="shared" si="3"/>
        <v>0</v>
      </c>
    </row>
    <row r="139" spans="1:8" ht="21" customHeight="1">
      <c r="A139" s="26">
        <v>9</v>
      </c>
      <c r="B139" s="19"/>
      <c r="C139" s="19"/>
      <c r="D139" s="19"/>
      <c r="E139" s="93"/>
      <c r="F139" s="107">
        <f>E139/G3</f>
        <v>0</v>
      </c>
      <c r="G139" s="93"/>
      <c r="H139" s="108">
        <f t="shared" si="3"/>
        <v>0</v>
      </c>
    </row>
    <row r="140" spans="1:8" ht="21" customHeight="1">
      <c r="A140" s="26">
        <v>10</v>
      </c>
      <c r="B140" s="19"/>
      <c r="C140" s="19"/>
      <c r="D140" s="19"/>
      <c r="E140" s="93"/>
      <c r="F140" s="107">
        <f>E140/G3</f>
        <v>0</v>
      </c>
      <c r="G140" s="93"/>
      <c r="H140" s="108">
        <f t="shared" si="3"/>
        <v>0</v>
      </c>
    </row>
    <row r="141" spans="1:8" ht="21" customHeight="1">
      <c r="A141" s="26">
        <v>11</v>
      </c>
      <c r="B141" s="19"/>
      <c r="C141" s="19"/>
      <c r="D141" s="19"/>
      <c r="E141" s="93"/>
      <c r="F141" s="107">
        <f>E141/G3</f>
        <v>0</v>
      </c>
      <c r="G141" s="93"/>
      <c r="H141" s="108">
        <f t="shared" si="3"/>
        <v>0</v>
      </c>
    </row>
    <row r="142" spans="1:8" ht="21" customHeight="1">
      <c r="A142" s="26">
        <v>12</v>
      </c>
      <c r="B142" s="19"/>
      <c r="C142" s="19"/>
      <c r="D142" s="19"/>
      <c r="E142" s="93"/>
      <c r="F142" s="107">
        <f>E142/G3</f>
        <v>0</v>
      </c>
      <c r="G142" s="93"/>
      <c r="H142" s="108">
        <f t="shared" si="3"/>
        <v>0</v>
      </c>
    </row>
    <row r="143" spans="1:8" ht="21" customHeight="1">
      <c r="A143" s="26">
        <v>13</v>
      </c>
      <c r="B143" s="19"/>
      <c r="C143" s="19"/>
      <c r="D143" s="19"/>
      <c r="E143" s="93"/>
      <c r="F143" s="107">
        <f>E143/G3</f>
        <v>0</v>
      </c>
      <c r="G143" s="93"/>
      <c r="H143" s="108">
        <f t="shared" si="3"/>
        <v>0</v>
      </c>
    </row>
    <row r="144" spans="1:8" ht="21" customHeight="1">
      <c r="A144" s="26">
        <v>14</v>
      </c>
      <c r="B144" s="19"/>
      <c r="C144" s="19"/>
      <c r="D144" s="19"/>
      <c r="E144" s="93"/>
      <c r="F144" s="107">
        <f>E144/G3</f>
        <v>0</v>
      </c>
      <c r="G144" s="93"/>
      <c r="H144" s="108">
        <f t="shared" si="3"/>
        <v>0</v>
      </c>
    </row>
    <row r="145" spans="1:8" ht="21" customHeight="1">
      <c r="A145" s="26">
        <v>15</v>
      </c>
      <c r="B145" s="19"/>
      <c r="C145" s="19"/>
      <c r="D145" s="19"/>
      <c r="E145" s="93"/>
      <c r="F145" s="107">
        <f>E145/G3</f>
        <v>0</v>
      </c>
      <c r="G145" s="93"/>
      <c r="H145" s="108">
        <f t="shared" si="3"/>
        <v>0</v>
      </c>
    </row>
    <row r="146" spans="1:8" ht="21" customHeight="1">
      <c r="A146" s="26">
        <v>16</v>
      </c>
      <c r="B146" s="19"/>
      <c r="C146" s="19"/>
      <c r="D146" s="19"/>
      <c r="E146" s="93"/>
      <c r="F146" s="107">
        <f>E146/G3</f>
        <v>0</v>
      </c>
      <c r="G146" s="93"/>
      <c r="H146" s="108">
        <f t="shared" si="3"/>
        <v>0</v>
      </c>
    </row>
    <row r="147" spans="1:8" ht="21" customHeight="1">
      <c r="A147" s="26">
        <v>17</v>
      </c>
      <c r="B147" s="19"/>
      <c r="C147" s="19"/>
      <c r="D147" s="19"/>
      <c r="E147" s="93"/>
      <c r="F147" s="107">
        <f>E147/G3</f>
        <v>0</v>
      </c>
      <c r="G147" s="93"/>
      <c r="H147" s="108">
        <f t="shared" si="3"/>
        <v>0</v>
      </c>
    </row>
    <row r="148" spans="1:8" ht="21" customHeight="1">
      <c r="A148" s="26">
        <v>18</v>
      </c>
      <c r="B148" s="19"/>
      <c r="C148" s="19"/>
      <c r="D148" s="19"/>
      <c r="E148" s="93"/>
      <c r="F148" s="107">
        <f>E148/G3</f>
        <v>0</v>
      </c>
      <c r="G148" s="93"/>
      <c r="H148" s="108">
        <f t="shared" si="3"/>
        <v>0</v>
      </c>
    </row>
    <row r="149" spans="1:8" ht="21" customHeight="1">
      <c r="A149" s="26">
        <v>19</v>
      </c>
      <c r="B149" s="19"/>
      <c r="C149" s="19"/>
      <c r="D149" s="19"/>
      <c r="E149" s="93"/>
      <c r="F149" s="107">
        <f>E149/G3</f>
        <v>0</v>
      </c>
      <c r="G149" s="93"/>
      <c r="H149" s="108">
        <f t="shared" si="3"/>
        <v>0</v>
      </c>
    </row>
    <row r="150" spans="1:8" ht="21" customHeight="1">
      <c r="A150" s="26">
        <v>20</v>
      </c>
      <c r="B150" s="19"/>
      <c r="C150" s="19"/>
      <c r="D150" s="19"/>
      <c r="E150" s="93"/>
      <c r="F150" s="107">
        <f>E150/G3</f>
        <v>0</v>
      </c>
      <c r="G150" s="93"/>
      <c r="H150" s="108">
        <f t="shared" si="3"/>
        <v>0</v>
      </c>
    </row>
    <row r="151" spans="1:8" ht="21" customHeight="1">
      <c r="A151" s="26">
        <v>21</v>
      </c>
      <c r="B151" s="19"/>
      <c r="C151" s="19"/>
      <c r="D151" s="19"/>
      <c r="E151" s="93"/>
      <c r="F151" s="107">
        <f>E151/G3</f>
        <v>0</v>
      </c>
      <c r="G151" s="93"/>
      <c r="H151" s="108">
        <f t="shared" si="3"/>
        <v>0</v>
      </c>
    </row>
    <row r="152" spans="1:8" ht="21" customHeight="1">
      <c r="A152" s="26">
        <v>22</v>
      </c>
      <c r="B152" s="19"/>
      <c r="C152" s="19"/>
      <c r="D152" s="19"/>
      <c r="E152" s="93"/>
      <c r="F152" s="107">
        <f>E152/G3</f>
        <v>0</v>
      </c>
      <c r="G152" s="93"/>
      <c r="H152" s="108">
        <f t="shared" si="3"/>
        <v>0</v>
      </c>
    </row>
    <row r="153" spans="1:8" ht="21" customHeight="1">
      <c r="A153" s="26">
        <v>23</v>
      </c>
      <c r="B153" s="19"/>
      <c r="C153" s="19"/>
      <c r="D153" s="19"/>
      <c r="E153" s="93"/>
      <c r="F153" s="107">
        <f>E153/G3</f>
        <v>0</v>
      </c>
      <c r="G153" s="93"/>
      <c r="H153" s="108">
        <f t="shared" si="3"/>
        <v>0</v>
      </c>
    </row>
    <row r="154" spans="1:8" ht="21" customHeight="1">
      <c r="A154" s="26">
        <v>24</v>
      </c>
      <c r="B154" s="19"/>
      <c r="C154" s="19"/>
      <c r="D154" s="19"/>
      <c r="E154" s="93"/>
      <c r="F154" s="107">
        <f>E154/G3</f>
        <v>0</v>
      </c>
      <c r="G154" s="93"/>
      <c r="H154" s="108">
        <f t="shared" si="3"/>
        <v>0</v>
      </c>
    </row>
    <row r="155" spans="1:8" ht="21" customHeight="1">
      <c r="A155" s="26">
        <v>25</v>
      </c>
      <c r="B155" s="19"/>
      <c r="C155" s="19"/>
      <c r="D155" s="19">
        <f>SUM(D131:D154)</f>
        <v>26</v>
      </c>
      <c r="E155" s="93"/>
      <c r="F155" s="107">
        <f>E155/G3</f>
        <v>0</v>
      </c>
      <c r="G155" s="93"/>
      <c r="H155" s="108">
        <f t="shared" si="3"/>
        <v>0</v>
      </c>
    </row>
    <row r="156" spans="1:8" ht="21" customHeight="1" thickBot="1">
      <c r="A156" s="398" t="s">
        <v>4</v>
      </c>
      <c r="B156" s="399"/>
      <c r="C156" s="399"/>
      <c r="D156" s="400"/>
      <c r="E156" s="112">
        <f>SUM(E131:E155)</f>
        <v>798</v>
      </c>
      <c r="F156" s="118">
        <f>E156/G3</f>
        <v>216.31934751131152</v>
      </c>
      <c r="G156" s="112">
        <f>SUM(G131:G155)</f>
        <v>0</v>
      </c>
      <c r="H156" s="119">
        <f>SUM(H131:H155)</f>
        <v>216.31934751131152</v>
      </c>
    </row>
    <row r="158" spans="1:8">
      <c r="A158" s="382" t="s">
        <v>7</v>
      </c>
      <c r="B158" s="382"/>
      <c r="C158" s="401" t="s">
        <v>375</v>
      </c>
      <c r="D158" s="401"/>
      <c r="E158" s="401" t="s">
        <v>376</v>
      </c>
      <c r="F158" s="401"/>
      <c r="G158" s="401"/>
    </row>
    <row r="169" spans="1:8" ht="17.25" customHeight="1">
      <c r="A169" s="383" t="s">
        <v>357</v>
      </c>
      <c r="B169" s="403"/>
      <c r="C169" s="403"/>
      <c r="D169" s="403"/>
      <c r="E169" s="403"/>
    </row>
    <row r="170" spans="1:8" ht="17.25" customHeight="1">
      <c r="A170" s="383" t="s">
        <v>498</v>
      </c>
      <c r="B170" s="403"/>
      <c r="C170" s="403"/>
      <c r="D170" s="403"/>
      <c r="E170" s="403"/>
      <c r="F170" s="405" t="s">
        <v>236</v>
      </c>
      <c r="G170" s="405"/>
    </row>
    <row r="171" spans="1:8" ht="17.25" customHeight="1" thickBot="1">
      <c r="A171" s="397" t="s">
        <v>99</v>
      </c>
      <c r="B171" s="397"/>
      <c r="C171" s="397"/>
      <c r="D171" s="397"/>
      <c r="E171" s="397"/>
      <c r="F171" s="53" t="s">
        <v>91</v>
      </c>
      <c r="G171" s="376">
        <f>تسعير!E34</f>
        <v>3.6889904170881982</v>
      </c>
    </row>
    <row r="172" spans="1:8" ht="21" customHeight="1">
      <c r="A172" s="61" t="s">
        <v>0</v>
      </c>
      <c r="B172" s="51" t="s">
        <v>77</v>
      </c>
      <c r="C172" s="90" t="s">
        <v>76</v>
      </c>
      <c r="D172" s="51" t="s">
        <v>79</v>
      </c>
      <c r="E172" s="51" t="s">
        <v>13</v>
      </c>
      <c r="F172" s="54" t="s">
        <v>83</v>
      </c>
      <c r="G172" s="71" t="s">
        <v>14</v>
      </c>
      <c r="H172" s="55" t="s">
        <v>78</v>
      </c>
    </row>
    <row r="173" spans="1:8" ht="21" customHeight="1">
      <c r="A173" s="26">
        <v>1</v>
      </c>
      <c r="B173" s="87" t="s">
        <v>237</v>
      </c>
      <c r="C173" s="89" t="s">
        <v>234</v>
      </c>
      <c r="D173" s="88">
        <v>1</v>
      </c>
      <c r="E173" s="93">
        <v>50</v>
      </c>
      <c r="F173" s="107">
        <f>E173/G3</f>
        <v>13.553843829029544</v>
      </c>
      <c r="G173" s="93"/>
      <c r="H173" s="108">
        <f>G173+F173</f>
        <v>13.553843829029544</v>
      </c>
    </row>
    <row r="174" spans="1:8" ht="21" customHeight="1">
      <c r="A174" s="26">
        <v>2</v>
      </c>
      <c r="B174" s="87" t="s">
        <v>238</v>
      </c>
      <c r="C174" s="89" t="s">
        <v>235</v>
      </c>
      <c r="D174" s="88">
        <v>1</v>
      </c>
      <c r="E174" s="93">
        <v>100</v>
      </c>
      <c r="F174" s="107">
        <f>E174/G3</f>
        <v>27.107687658059088</v>
      </c>
      <c r="G174" s="93"/>
      <c r="H174" s="108">
        <f t="shared" ref="H174:H197" si="4">G174+F174</f>
        <v>27.107687658059088</v>
      </c>
    </row>
    <row r="175" spans="1:8" ht="21" customHeight="1">
      <c r="A175" s="26">
        <v>3</v>
      </c>
      <c r="B175" s="87"/>
      <c r="C175" s="93"/>
      <c r="D175" s="88"/>
      <c r="E175" s="93"/>
      <c r="F175" s="107">
        <f>E175/G3</f>
        <v>0</v>
      </c>
      <c r="G175" s="93"/>
      <c r="H175" s="108">
        <f t="shared" si="4"/>
        <v>0</v>
      </c>
    </row>
    <row r="176" spans="1:8" ht="21" customHeight="1">
      <c r="A176" s="26">
        <v>4</v>
      </c>
      <c r="B176" s="87"/>
      <c r="C176" s="93"/>
      <c r="D176" s="88"/>
      <c r="E176" s="93"/>
      <c r="F176" s="107">
        <f>E176/G3</f>
        <v>0</v>
      </c>
      <c r="G176" s="93"/>
      <c r="H176" s="108">
        <f t="shared" si="4"/>
        <v>0</v>
      </c>
    </row>
    <row r="177" spans="1:8" ht="21" customHeight="1">
      <c r="A177" s="26">
        <v>5</v>
      </c>
      <c r="B177" s="87"/>
      <c r="C177" s="93"/>
      <c r="D177" s="88"/>
      <c r="E177" s="93"/>
      <c r="F177" s="107">
        <f>E177/G3</f>
        <v>0</v>
      </c>
      <c r="G177" s="93"/>
      <c r="H177" s="108">
        <f t="shared" si="4"/>
        <v>0</v>
      </c>
    </row>
    <row r="178" spans="1:8" ht="21" customHeight="1">
      <c r="A178" s="26">
        <v>6</v>
      </c>
      <c r="B178" s="19"/>
      <c r="C178" s="19"/>
      <c r="D178" s="19"/>
      <c r="E178" s="93"/>
      <c r="F178" s="107">
        <f>E178/G3</f>
        <v>0</v>
      </c>
      <c r="G178" s="93"/>
      <c r="H178" s="108">
        <f t="shared" si="4"/>
        <v>0</v>
      </c>
    </row>
    <row r="179" spans="1:8" ht="21" customHeight="1">
      <c r="A179" s="26">
        <v>7</v>
      </c>
      <c r="B179" s="19"/>
      <c r="C179" s="19"/>
      <c r="D179" s="19"/>
      <c r="E179" s="93"/>
      <c r="F179" s="107">
        <f>E179/G3</f>
        <v>0</v>
      </c>
      <c r="G179" s="93"/>
      <c r="H179" s="108">
        <f t="shared" si="4"/>
        <v>0</v>
      </c>
    </row>
    <row r="180" spans="1:8" ht="21" customHeight="1">
      <c r="A180" s="26">
        <v>8</v>
      </c>
      <c r="B180" s="19"/>
      <c r="C180" s="19"/>
      <c r="D180" s="19"/>
      <c r="E180" s="93"/>
      <c r="F180" s="107">
        <f>E180/G3</f>
        <v>0</v>
      </c>
      <c r="G180" s="93"/>
      <c r="H180" s="108">
        <f t="shared" si="4"/>
        <v>0</v>
      </c>
    </row>
    <row r="181" spans="1:8" ht="21" customHeight="1">
      <c r="A181" s="26">
        <v>9</v>
      </c>
      <c r="B181" s="19"/>
      <c r="C181" s="19"/>
      <c r="D181" s="19"/>
      <c r="E181" s="93"/>
      <c r="F181" s="107">
        <f>E181/G3</f>
        <v>0</v>
      </c>
      <c r="G181" s="93"/>
      <c r="H181" s="108">
        <f t="shared" si="4"/>
        <v>0</v>
      </c>
    </row>
    <row r="182" spans="1:8" ht="21" customHeight="1">
      <c r="A182" s="26">
        <v>10</v>
      </c>
      <c r="B182" s="19"/>
      <c r="C182" s="19"/>
      <c r="D182" s="19"/>
      <c r="E182" s="93"/>
      <c r="F182" s="107">
        <f>E182/G3</f>
        <v>0</v>
      </c>
      <c r="G182" s="93"/>
      <c r="H182" s="108">
        <f t="shared" si="4"/>
        <v>0</v>
      </c>
    </row>
    <row r="183" spans="1:8" ht="21" customHeight="1">
      <c r="A183" s="26">
        <v>11</v>
      </c>
      <c r="B183" s="19"/>
      <c r="C183" s="19"/>
      <c r="D183" s="19"/>
      <c r="E183" s="93"/>
      <c r="F183" s="107">
        <f>E183/G3</f>
        <v>0</v>
      </c>
      <c r="G183" s="93"/>
      <c r="H183" s="108">
        <f t="shared" si="4"/>
        <v>0</v>
      </c>
    </row>
    <row r="184" spans="1:8" ht="21" customHeight="1">
      <c r="A184" s="26">
        <v>12</v>
      </c>
      <c r="B184" s="19"/>
      <c r="C184" s="19"/>
      <c r="D184" s="19"/>
      <c r="E184" s="93"/>
      <c r="F184" s="107">
        <f>E184/G3</f>
        <v>0</v>
      </c>
      <c r="G184" s="93"/>
      <c r="H184" s="108">
        <f t="shared" si="4"/>
        <v>0</v>
      </c>
    </row>
    <row r="185" spans="1:8" ht="21" customHeight="1">
      <c r="A185" s="26">
        <v>13</v>
      </c>
      <c r="B185" s="19"/>
      <c r="C185" s="19"/>
      <c r="D185" s="19"/>
      <c r="E185" s="93"/>
      <c r="F185" s="107">
        <f>E185/G3</f>
        <v>0</v>
      </c>
      <c r="G185" s="93"/>
      <c r="H185" s="108">
        <f t="shared" si="4"/>
        <v>0</v>
      </c>
    </row>
    <row r="186" spans="1:8" ht="21" customHeight="1">
      <c r="A186" s="26">
        <v>14</v>
      </c>
      <c r="B186" s="19"/>
      <c r="C186" s="19"/>
      <c r="D186" s="19"/>
      <c r="E186" s="93"/>
      <c r="F186" s="107">
        <f>E186/G3</f>
        <v>0</v>
      </c>
      <c r="G186" s="93"/>
      <c r="H186" s="108">
        <f t="shared" si="4"/>
        <v>0</v>
      </c>
    </row>
    <row r="187" spans="1:8" ht="21" customHeight="1">
      <c r="A187" s="26">
        <v>15</v>
      </c>
      <c r="B187" s="19"/>
      <c r="C187" s="19"/>
      <c r="D187" s="19"/>
      <c r="E187" s="93"/>
      <c r="F187" s="107">
        <f>E187/G3</f>
        <v>0</v>
      </c>
      <c r="G187" s="93"/>
      <c r="H187" s="108">
        <f t="shared" si="4"/>
        <v>0</v>
      </c>
    </row>
    <row r="188" spans="1:8" ht="21" customHeight="1">
      <c r="A188" s="26">
        <v>16</v>
      </c>
      <c r="B188" s="19"/>
      <c r="C188" s="19"/>
      <c r="D188" s="19"/>
      <c r="E188" s="93"/>
      <c r="F188" s="107">
        <f>E188/G3</f>
        <v>0</v>
      </c>
      <c r="G188" s="93"/>
      <c r="H188" s="108">
        <f t="shared" si="4"/>
        <v>0</v>
      </c>
    </row>
    <row r="189" spans="1:8" ht="21" customHeight="1">
      <c r="A189" s="26">
        <v>17</v>
      </c>
      <c r="B189" s="19"/>
      <c r="C189" s="19"/>
      <c r="D189" s="19"/>
      <c r="E189" s="93"/>
      <c r="F189" s="107">
        <f>E189/G3</f>
        <v>0</v>
      </c>
      <c r="G189" s="93"/>
      <c r="H189" s="108">
        <f t="shared" si="4"/>
        <v>0</v>
      </c>
    </row>
    <row r="190" spans="1:8" ht="21" customHeight="1">
      <c r="A190" s="26">
        <v>18</v>
      </c>
      <c r="B190" s="19"/>
      <c r="C190" s="19"/>
      <c r="D190" s="19"/>
      <c r="E190" s="93"/>
      <c r="F190" s="107">
        <f>E190/G3</f>
        <v>0</v>
      </c>
      <c r="G190" s="93"/>
      <c r="H190" s="108">
        <f t="shared" si="4"/>
        <v>0</v>
      </c>
    </row>
    <row r="191" spans="1:8" ht="21" customHeight="1">
      <c r="A191" s="26">
        <v>19</v>
      </c>
      <c r="B191" s="19"/>
      <c r="C191" s="19"/>
      <c r="D191" s="19"/>
      <c r="E191" s="93"/>
      <c r="F191" s="107">
        <f>E191/G3</f>
        <v>0</v>
      </c>
      <c r="G191" s="93"/>
      <c r="H191" s="108">
        <f t="shared" si="4"/>
        <v>0</v>
      </c>
    </row>
    <row r="192" spans="1:8" ht="21" customHeight="1">
      <c r="A192" s="26">
        <v>20</v>
      </c>
      <c r="B192" s="19"/>
      <c r="C192" s="19"/>
      <c r="D192" s="19"/>
      <c r="E192" s="93"/>
      <c r="F192" s="107">
        <f>E192/G3</f>
        <v>0</v>
      </c>
      <c r="G192" s="93"/>
      <c r="H192" s="108">
        <f t="shared" si="4"/>
        <v>0</v>
      </c>
    </row>
    <row r="193" spans="1:8" ht="21" customHeight="1">
      <c r="A193" s="26">
        <v>21</v>
      </c>
      <c r="B193" s="19"/>
      <c r="C193" s="19"/>
      <c r="D193" s="19"/>
      <c r="E193" s="93"/>
      <c r="F193" s="107">
        <f>E193/G3</f>
        <v>0</v>
      </c>
      <c r="G193" s="93"/>
      <c r="H193" s="108">
        <f t="shared" si="4"/>
        <v>0</v>
      </c>
    </row>
    <row r="194" spans="1:8" ht="21" customHeight="1">
      <c r="A194" s="26">
        <v>22</v>
      </c>
      <c r="B194" s="19"/>
      <c r="C194" s="19"/>
      <c r="D194" s="19"/>
      <c r="E194" s="93"/>
      <c r="F194" s="107">
        <f>E194/G3</f>
        <v>0</v>
      </c>
      <c r="G194" s="93"/>
      <c r="H194" s="108">
        <f t="shared" si="4"/>
        <v>0</v>
      </c>
    </row>
    <row r="195" spans="1:8" ht="21" customHeight="1">
      <c r="A195" s="26">
        <v>23</v>
      </c>
      <c r="B195" s="19"/>
      <c r="C195" s="19"/>
      <c r="D195" s="19"/>
      <c r="E195" s="93"/>
      <c r="F195" s="107">
        <f>E195/G3</f>
        <v>0</v>
      </c>
      <c r="G195" s="93"/>
      <c r="H195" s="108">
        <f t="shared" si="4"/>
        <v>0</v>
      </c>
    </row>
    <row r="196" spans="1:8" ht="21" customHeight="1">
      <c r="A196" s="26">
        <v>24</v>
      </c>
      <c r="B196" s="19"/>
      <c r="C196" s="19"/>
      <c r="D196" s="19"/>
      <c r="E196" s="93"/>
      <c r="F196" s="107">
        <f>E196/G3</f>
        <v>0</v>
      </c>
      <c r="G196" s="93"/>
      <c r="H196" s="108">
        <f t="shared" si="4"/>
        <v>0</v>
      </c>
    </row>
    <row r="197" spans="1:8" ht="21" customHeight="1">
      <c r="A197" s="26">
        <v>25</v>
      </c>
      <c r="B197" s="19"/>
      <c r="C197" s="19"/>
      <c r="D197" s="19">
        <f>SUM(D173:D196)</f>
        <v>2</v>
      </c>
      <c r="E197" s="93"/>
      <c r="F197" s="107">
        <f>E197/G3</f>
        <v>0</v>
      </c>
      <c r="G197" s="93"/>
      <c r="H197" s="108">
        <f t="shared" si="4"/>
        <v>0</v>
      </c>
    </row>
    <row r="198" spans="1:8" ht="21" customHeight="1" thickBot="1">
      <c r="A198" s="398" t="s">
        <v>4</v>
      </c>
      <c r="B198" s="399"/>
      <c r="C198" s="399"/>
      <c r="D198" s="400"/>
      <c r="E198" s="112">
        <f>SUM(E173:E197)</f>
        <v>150</v>
      </c>
      <c r="F198" s="118">
        <f>E198/G3</f>
        <v>40.661531487088631</v>
      </c>
      <c r="G198" s="112">
        <f>SUM(G173:G197)</f>
        <v>0</v>
      </c>
      <c r="H198" s="119">
        <f>SUM(H173:H197)</f>
        <v>40.661531487088631</v>
      </c>
    </row>
    <row r="200" spans="1:8">
      <c r="A200" s="382" t="s">
        <v>7</v>
      </c>
      <c r="B200" s="382"/>
      <c r="C200" s="401" t="s">
        <v>375</v>
      </c>
      <c r="D200" s="401"/>
      <c r="E200" s="401" t="s">
        <v>376</v>
      </c>
      <c r="F200" s="401"/>
      <c r="G200" s="401"/>
    </row>
    <row r="211" spans="1:8" ht="17.25" customHeight="1">
      <c r="A211" s="383" t="s">
        <v>357</v>
      </c>
      <c r="B211" s="403"/>
      <c r="C211" s="403"/>
      <c r="D211" s="403"/>
      <c r="E211" s="403"/>
    </row>
    <row r="212" spans="1:8" ht="17.25" customHeight="1">
      <c r="A212" s="383" t="s">
        <v>498</v>
      </c>
      <c r="B212" s="403"/>
      <c r="C212" s="403"/>
      <c r="D212" s="403"/>
      <c r="E212" s="403"/>
    </row>
    <row r="213" spans="1:8" ht="17.25" customHeight="1" thickBot="1">
      <c r="A213" s="397" t="s">
        <v>100</v>
      </c>
      <c r="B213" s="397"/>
      <c r="C213" s="397"/>
      <c r="D213" s="397"/>
      <c r="E213" s="397"/>
      <c r="F213" s="53" t="s">
        <v>91</v>
      </c>
      <c r="G213" s="376">
        <f>تسعير!E34</f>
        <v>3.6889904170881982</v>
      </c>
    </row>
    <row r="214" spans="1:8" ht="21" customHeight="1">
      <c r="A214" s="61" t="s">
        <v>0</v>
      </c>
      <c r="B214" s="51" t="s">
        <v>77</v>
      </c>
      <c r="C214" s="51" t="s">
        <v>76</v>
      </c>
      <c r="D214" s="51" t="s">
        <v>79</v>
      </c>
      <c r="E214" s="51" t="s">
        <v>13</v>
      </c>
      <c r="F214" s="54" t="s">
        <v>83</v>
      </c>
      <c r="G214" s="71" t="s">
        <v>14</v>
      </c>
      <c r="H214" s="55" t="s">
        <v>78</v>
      </c>
    </row>
    <row r="215" spans="1:8" ht="21" customHeight="1">
      <c r="A215" s="26">
        <v>1</v>
      </c>
      <c r="B215" s="19"/>
      <c r="C215" s="4"/>
      <c r="D215" s="19"/>
      <c r="E215" s="116"/>
      <c r="F215" s="114">
        <f>E215/G3</f>
        <v>0</v>
      </c>
      <c r="G215" s="116"/>
      <c r="H215" s="115">
        <f>G215+F215</f>
        <v>0</v>
      </c>
    </row>
    <row r="216" spans="1:8" ht="21" customHeight="1">
      <c r="A216" s="26">
        <v>2</v>
      </c>
      <c r="B216" s="19"/>
      <c r="C216" s="19"/>
      <c r="D216" s="19"/>
      <c r="E216" s="116"/>
      <c r="F216" s="114">
        <f>E216/G3</f>
        <v>0</v>
      </c>
      <c r="G216" s="116"/>
      <c r="H216" s="115">
        <f t="shared" ref="H216:H239" si="5">G216+F216</f>
        <v>0</v>
      </c>
    </row>
    <row r="217" spans="1:8" ht="21" customHeight="1">
      <c r="A217" s="26">
        <v>3</v>
      </c>
      <c r="B217" s="19"/>
      <c r="C217" s="19"/>
      <c r="D217" s="19"/>
      <c r="E217" s="116"/>
      <c r="F217" s="114">
        <f>E217/G3</f>
        <v>0</v>
      </c>
      <c r="G217" s="116"/>
      <c r="H217" s="115">
        <f t="shared" si="5"/>
        <v>0</v>
      </c>
    </row>
    <row r="218" spans="1:8" ht="21" customHeight="1">
      <c r="A218" s="26">
        <v>4</v>
      </c>
      <c r="B218" s="19"/>
      <c r="C218" s="19"/>
      <c r="D218" s="19"/>
      <c r="E218" s="116"/>
      <c r="F218" s="114">
        <f>E218/G3</f>
        <v>0</v>
      </c>
      <c r="G218" s="116"/>
      <c r="H218" s="115">
        <f t="shared" si="5"/>
        <v>0</v>
      </c>
    </row>
    <row r="219" spans="1:8" ht="21" customHeight="1">
      <c r="A219" s="26">
        <v>5</v>
      </c>
      <c r="B219" s="19"/>
      <c r="C219" s="19"/>
      <c r="D219" s="19"/>
      <c r="E219" s="116"/>
      <c r="F219" s="114">
        <f>E219/G3</f>
        <v>0</v>
      </c>
      <c r="G219" s="116"/>
      <c r="H219" s="115">
        <f t="shared" si="5"/>
        <v>0</v>
      </c>
    </row>
    <row r="220" spans="1:8" ht="21" customHeight="1">
      <c r="A220" s="26">
        <v>6</v>
      </c>
      <c r="B220" s="19"/>
      <c r="C220" s="19"/>
      <c r="D220" s="19"/>
      <c r="E220" s="116"/>
      <c r="F220" s="114">
        <f>E220/G3</f>
        <v>0</v>
      </c>
      <c r="G220" s="116"/>
      <c r="H220" s="115">
        <f t="shared" si="5"/>
        <v>0</v>
      </c>
    </row>
    <row r="221" spans="1:8" ht="21" customHeight="1">
      <c r="A221" s="26">
        <v>7</v>
      </c>
      <c r="B221" s="19"/>
      <c r="C221" s="19"/>
      <c r="D221" s="19"/>
      <c r="E221" s="116"/>
      <c r="F221" s="114">
        <f>E221/G3</f>
        <v>0</v>
      </c>
      <c r="G221" s="116"/>
      <c r="H221" s="115">
        <f t="shared" si="5"/>
        <v>0</v>
      </c>
    </row>
    <row r="222" spans="1:8" ht="21" customHeight="1">
      <c r="A222" s="26">
        <v>8</v>
      </c>
      <c r="B222" s="19"/>
      <c r="C222" s="19"/>
      <c r="D222" s="19"/>
      <c r="E222" s="116"/>
      <c r="F222" s="114">
        <f>E222/G3</f>
        <v>0</v>
      </c>
      <c r="G222" s="116"/>
      <c r="H222" s="115">
        <f t="shared" si="5"/>
        <v>0</v>
      </c>
    </row>
    <row r="223" spans="1:8" ht="21" customHeight="1">
      <c r="A223" s="26">
        <v>9</v>
      </c>
      <c r="B223" s="19"/>
      <c r="C223" s="19"/>
      <c r="D223" s="19"/>
      <c r="E223" s="116"/>
      <c r="F223" s="114">
        <f>E223/G3</f>
        <v>0</v>
      </c>
      <c r="G223" s="116"/>
      <c r="H223" s="115">
        <f t="shared" si="5"/>
        <v>0</v>
      </c>
    </row>
    <row r="224" spans="1:8" ht="21" customHeight="1">
      <c r="A224" s="26">
        <v>10</v>
      </c>
      <c r="B224" s="19"/>
      <c r="C224" s="19"/>
      <c r="D224" s="19"/>
      <c r="E224" s="116"/>
      <c r="F224" s="114">
        <f>E224/G3</f>
        <v>0</v>
      </c>
      <c r="G224" s="116"/>
      <c r="H224" s="115">
        <f t="shared" si="5"/>
        <v>0</v>
      </c>
    </row>
    <row r="225" spans="1:8" ht="21" customHeight="1">
      <c r="A225" s="26">
        <v>11</v>
      </c>
      <c r="B225" s="19"/>
      <c r="C225" s="19"/>
      <c r="D225" s="19"/>
      <c r="E225" s="116"/>
      <c r="F225" s="114">
        <f>E225/G3</f>
        <v>0</v>
      </c>
      <c r="G225" s="116"/>
      <c r="H225" s="115">
        <f t="shared" si="5"/>
        <v>0</v>
      </c>
    </row>
    <row r="226" spans="1:8" ht="21" customHeight="1">
      <c r="A226" s="26">
        <v>12</v>
      </c>
      <c r="B226" s="19"/>
      <c r="C226" s="19"/>
      <c r="D226" s="19"/>
      <c r="E226" s="116"/>
      <c r="F226" s="114">
        <f>E226/G3</f>
        <v>0</v>
      </c>
      <c r="G226" s="116"/>
      <c r="H226" s="115">
        <f t="shared" si="5"/>
        <v>0</v>
      </c>
    </row>
    <row r="227" spans="1:8" ht="21" customHeight="1">
      <c r="A227" s="26">
        <v>13</v>
      </c>
      <c r="B227" s="19"/>
      <c r="C227" s="19"/>
      <c r="D227" s="19"/>
      <c r="E227" s="116"/>
      <c r="F227" s="114">
        <f>E227/G3</f>
        <v>0</v>
      </c>
      <c r="G227" s="116"/>
      <c r="H227" s="115">
        <f t="shared" si="5"/>
        <v>0</v>
      </c>
    </row>
    <row r="228" spans="1:8" ht="21" customHeight="1">
      <c r="A228" s="26">
        <v>14</v>
      </c>
      <c r="B228" s="19"/>
      <c r="C228" s="19"/>
      <c r="D228" s="19"/>
      <c r="E228" s="116"/>
      <c r="F228" s="114">
        <f>E228/G3</f>
        <v>0</v>
      </c>
      <c r="G228" s="116"/>
      <c r="H228" s="115">
        <f t="shared" si="5"/>
        <v>0</v>
      </c>
    </row>
    <row r="229" spans="1:8" ht="21" customHeight="1">
      <c r="A229" s="26">
        <v>15</v>
      </c>
      <c r="B229" s="19"/>
      <c r="C229" s="19"/>
      <c r="D229" s="19"/>
      <c r="E229" s="116"/>
      <c r="F229" s="114">
        <f>E229/G3</f>
        <v>0</v>
      </c>
      <c r="G229" s="116"/>
      <c r="H229" s="115">
        <f t="shared" si="5"/>
        <v>0</v>
      </c>
    </row>
    <row r="230" spans="1:8" ht="21" customHeight="1">
      <c r="A230" s="26">
        <v>16</v>
      </c>
      <c r="B230" s="19"/>
      <c r="C230" s="19"/>
      <c r="D230" s="19"/>
      <c r="E230" s="116"/>
      <c r="F230" s="114">
        <f>E230/G3</f>
        <v>0</v>
      </c>
      <c r="G230" s="116"/>
      <c r="H230" s="115">
        <f t="shared" si="5"/>
        <v>0</v>
      </c>
    </row>
    <row r="231" spans="1:8" ht="21" customHeight="1">
      <c r="A231" s="26">
        <v>17</v>
      </c>
      <c r="B231" s="19"/>
      <c r="C231" s="19"/>
      <c r="D231" s="19"/>
      <c r="E231" s="116"/>
      <c r="F231" s="114">
        <f>E231/G3</f>
        <v>0</v>
      </c>
      <c r="G231" s="116"/>
      <c r="H231" s="115">
        <f t="shared" si="5"/>
        <v>0</v>
      </c>
    </row>
    <row r="232" spans="1:8" ht="21" customHeight="1">
      <c r="A232" s="26">
        <v>18</v>
      </c>
      <c r="B232" s="19"/>
      <c r="C232" s="19"/>
      <c r="D232" s="19"/>
      <c r="E232" s="116"/>
      <c r="F232" s="114">
        <f>E232/G3</f>
        <v>0</v>
      </c>
      <c r="G232" s="116"/>
      <c r="H232" s="115">
        <f t="shared" si="5"/>
        <v>0</v>
      </c>
    </row>
    <row r="233" spans="1:8" ht="21" customHeight="1">
      <c r="A233" s="26">
        <v>19</v>
      </c>
      <c r="B233" s="19"/>
      <c r="C233" s="19"/>
      <c r="D233" s="19"/>
      <c r="E233" s="116"/>
      <c r="F233" s="114">
        <f>E233/G3</f>
        <v>0</v>
      </c>
      <c r="G233" s="116"/>
      <c r="H233" s="115">
        <f t="shared" si="5"/>
        <v>0</v>
      </c>
    </row>
    <row r="234" spans="1:8" ht="21" customHeight="1">
      <c r="A234" s="26">
        <v>20</v>
      </c>
      <c r="B234" s="19"/>
      <c r="C234" s="19"/>
      <c r="D234" s="19"/>
      <c r="E234" s="116"/>
      <c r="F234" s="114">
        <f>E234/G3</f>
        <v>0</v>
      </c>
      <c r="G234" s="116"/>
      <c r="H234" s="115">
        <f t="shared" si="5"/>
        <v>0</v>
      </c>
    </row>
    <row r="235" spans="1:8" ht="21" customHeight="1">
      <c r="A235" s="26">
        <v>21</v>
      </c>
      <c r="B235" s="19"/>
      <c r="C235" s="19"/>
      <c r="D235" s="19"/>
      <c r="E235" s="116"/>
      <c r="F235" s="114">
        <f>E235/G3</f>
        <v>0</v>
      </c>
      <c r="G235" s="116"/>
      <c r="H235" s="115">
        <f t="shared" si="5"/>
        <v>0</v>
      </c>
    </row>
    <row r="236" spans="1:8" ht="21" customHeight="1">
      <c r="A236" s="26">
        <v>22</v>
      </c>
      <c r="B236" s="19"/>
      <c r="C236" s="19"/>
      <c r="D236" s="19"/>
      <c r="E236" s="116"/>
      <c r="F236" s="114">
        <f>E236/G3</f>
        <v>0</v>
      </c>
      <c r="G236" s="116"/>
      <c r="H236" s="115">
        <f t="shared" si="5"/>
        <v>0</v>
      </c>
    </row>
    <row r="237" spans="1:8" ht="21" customHeight="1">
      <c r="A237" s="26">
        <v>23</v>
      </c>
      <c r="B237" s="19"/>
      <c r="C237" s="19"/>
      <c r="D237" s="19"/>
      <c r="E237" s="116"/>
      <c r="F237" s="114">
        <f>E237/G3</f>
        <v>0</v>
      </c>
      <c r="G237" s="116"/>
      <c r="H237" s="115">
        <f t="shared" si="5"/>
        <v>0</v>
      </c>
    </row>
    <row r="238" spans="1:8" ht="21" customHeight="1">
      <c r="A238" s="26">
        <v>24</v>
      </c>
      <c r="B238" s="19"/>
      <c r="C238" s="19"/>
      <c r="D238" s="19"/>
      <c r="E238" s="116"/>
      <c r="F238" s="114">
        <f>E238/G3</f>
        <v>0</v>
      </c>
      <c r="G238" s="116"/>
      <c r="H238" s="115">
        <f t="shared" si="5"/>
        <v>0</v>
      </c>
    </row>
    <row r="239" spans="1:8" ht="21" customHeight="1">
      <c r="A239" s="26">
        <v>25</v>
      </c>
      <c r="B239" s="19"/>
      <c r="C239" s="19"/>
      <c r="D239" s="19"/>
      <c r="E239" s="116"/>
      <c r="F239" s="114">
        <f>E239/G3</f>
        <v>0</v>
      </c>
      <c r="G239" s="116"/>
      <c r="H239" s="115">
        <f t="shared" si="5"/>
        <v>0</v>
      </c>
    </row>
    <row r="240" spans="1:8" ht="21" customHeight="1" thickBot="1">
      <c r="A240" s="398" t="s">
        <v>4</v>
      </c>
      <c r="B240" s="399"/>
      <c r="C240" s="399"/>
      <c r="D240" s="400"/>
      <c r="E240" s="118">
        <f>SUM(E215:E239)</f>
        <v>0</v>
      </c>
      <c r="F240" s="118">
        <f>E240/G3</f>
        <v>0</v>
      </c>
      <c r="G240" s="118">
        <f>SUM(G215:G239)</f>
        <v>0</v>
      </c>
      <c r="H240" s="119">
        <f>SUM(H215:H239)</f>
        <v>0</v>
      </c>
    </row>
    <row r="242" spans="1:8">
      <c r="A242" s="382" t="s">
        <v>7</v>
      </c>
      <c r="B242" s="382"/>
      <c r="C242" s="401" t="s">
        <v>375</v>
      </c>
      <c r="D242" s="401"/>
      <c r="E242" s="401" t="s">
        <v>376</v>
      </c>
      <c r="F242" s="401"/>
      <c r="G242" s="401"/>
    </row>
    <row r="253" spans="1:8" ht="17.25" customHeight="1">
      <c r="A253" s="383" t="s">
        <v>357</v>
      </c>
      <c r="B253" s="403"/>
      <c r="C253" s="403"/>
      <c r="D253" s="403"/>
      <c r="E253" s="403"/>
    </row>
    <row r="254" spans="1:8" ht="17.25" customHeight="1">
      <c r="A254" s="383" t="s">
        <v>498</v>
      </c>
      <c r="B254" s="403"/>
      <c r="C254" s="403"/>
      <c r="D254" s="403"/>
      <c r="E254" s="403"/>
    </row>
    <row r="255" spans="1:8" ht="17.25" customHeight="1" thickBot="1">
      <c r="A255" s="397" t="s">
        <v>101</v>
      </c>
      <c r="B255" s="397"/>
      <c r="C255" s="397"/>
      <c r="D255" s="397"/>
      <c r="E255" s="397"/>
      <c r="F255" s="53" t="s">
        <v>91</v>
      </c>
      <c r="G255" s="376">
        <f>تسعير!E34</f>
        <v>3.6889904170881982</v>
      </c>
    </row>
    <row r="256" spans="1:8" ht="21" customHeight="1">
      <c r="A256" s="61" t="s">
        <v>0</v>
      </c>
      <c r="B256" s="51" t="s">
        <v>77</v>
      </c>
      <c r="C256" s="51" t="s">
        <v>76</v>
      </c>
      <c r="D256" s="51" t="s">
        <v>79</v>
      </c>
      <c r="E256" s="51" t="s">
        <v>13</v>
      </c>
      <c r="F256" s="54" t="s">
        <v>83</v>
      </c>
      <c r="G256" s="71" t="s">
        <v>14</v>
      </c>
      <c r="H256" s="55" t="s">
        <v>78</v>
      </c>
    </row>
    <row r="257" spans="1:8" ht="21" customHeight="1">
      <c r="A257" s="26">
        <v>1</v>
      </c>
      <c r="B257" s="19"/>
      <c r="C257" s="4"/>
      <c r="D257" s="19"/>
      <c r="E257" s="116"/>
      <c r="F257" s="114">
        <f>E257/G3</f>
        <v>0</v>
      </c>
      <c r="G257" s="116"/>
      <c r="H257" s="115">
        <f>G257+F257</f>
        <v>0</v>
      </c>
    </row>
    <row r="258" spans="1:8" ht="21" customHeight="1">
      <c r="A258" s="26">
        <v>2</v>
      </c>
      <c r="B258" s="19"/>
      <c r="C258" s="19"/>
      <c r="D258" s="19"/>
      <c r="E258" s="116"/>
      <c r="F258" s="114">
        <f>E258/G3</f>
        <v>0</v>
      </c>
      <c r="G258" s="116"/>
      <c r="H258" s="115">
        <f t="shared" ref="H258:H281" si="6">G258+F258</f>
        <v>0</v>
      </c>
    </row>
    <row r="259" spans="1:8" ht="21" customHeight="1">
      <c r="A259" s="26">
        <v>3</v>
      </c>
      <c r="B259" s="19"/>
      <c r="C259" s="19"/>
      <c r="D259" s="19"/>
      <c r="E259" s="116"/>
      <c r="F259" s="114">
        <f>E259/G3</f>
        <v>0</v>
      </c>
      <c r="G259" s="116"/>
      <c r="H259" s="115">
        <f t="shared" si="6"/>
        <v>0</v>
      </c>
    </row>
    <row r="260" spans="1:8" ht="21" customHeight="1">
      <c r="A260" s="26">
        <v>4</v>
      </c>
      <c r="B260" s="19"/>
      <c r="C260" s="19"/>
      <c r="D260" s="19"/>
      <c r="E260" s="116"/>
      <c r="F260" s="114">
        <f>E260/G3</f>
        <v>0</v>
      </c>
      <c r="G260" s="116"/>
      <c r="H260" s="115">
        <f t="shared" si="6"/>
        <v>0</v>
      </c>
    </row>
    <row r="261" spans="1:8" ht="21" customHeight="1">
      <c r="A261" s="26">
        <v>5</v>
      </c>
      <c r="B261" s="19"/>
      <c r="C261" s="19"/>
      <c r="D261" s="19"/>
      <c r="E261" s="116"/>
      <c r="F261" s="114">
        <f>E261/G3</f>
        <v>0</v>
      </c>
      <c r="G261" s="116"/>
      <c r="H261" s="115">
        <f t="shared" si="6"/>
        <v>0</v>
      </c>
    </row>
    <row r="262" spans="1:8" ht="21" customHeight="1">
      <c r="A262" s="26">
        <v>6</v>
      </c>
      <c r="B262" s="19"/>
      <c r="C262" s="19"/>
      <c r="D262" s="19"/>
      <c r="E262" s="116"/>
      <c r="F262" s="114">
        <f>E262/G3</f>
        <v>0</v>
      </c>
      <c r="G262" s="116"/>
      <c r="H262" s="115">
        <f t="shared" si="6"/>
        <v>0</v>
      </c>
    </row>
    <row r="263" spans="1:8" ht="21" customHeight="1">
      <c r="A263" s="26">
        <v>7</v>
      </c>
      <c r="B263" s="19"/>
      <c r="C263" s="19"/>
      <c r="D263" s="19"/>
      <c r="E263" s="116"/>
      <c r="F263" s="114">
        <f>E263/G3</f>
        <v>0</v>
      </c>
      <c r="G263" s="116"/>
      <c r="H263" s="115">
        <f t="shared" si="6"/>
        <v>0</v>
      </c>
    </row>
    <row r="264" spans="1:8" ht="21" customHeight="1">
      <c r="A264" s="26">
        <v>8</v>
      </c>
      <c r="B264" s="19"/>
      <c r="C264" s="19"/>
      <c r="D264" s="19"/>
      <c r="E264" s="116"/>
      <c r="F264" s="114">
        <f>E264/G3</f>
        <v>0</v>
      </c>
      <c r="G264" s="116"/>
      <c r="H264" s="115">
        <f t="shared" si="6"/>
        <v>0</v>
      </c>
    </row>
    <row r="265" spans="1:8" ht="21" customHeight="1">
      <c r="A265" s="26">
        <v>9</v>
      </c>
      <c r="B265" s="19"/>
      <c r="C265" s="19"/>
      <c r="D265" s="19"/>
      <c r="E265" s="116"/>
      <c r="F265" s="114">
        <f>E265/G3</f>
        <v>0</v>
      </c>
      <c r="G265" s="116"/>
      <c r="H265" s="115">
        <f t="shared" si="6"/>
        <v>0</v>
      </c>
    </row>
    <row r="266" spans="1:8" ht="21" customHeight="1">
      <c r="A266" s="26">
        <v>10</v>
      </c>
      <c r="B266" s="19"/>
      <c r="C266" s="19"/>
      <c r="D266" s="19"/>
      <c r="E266" s="116"/>
      <c r="F266" s="114">
        <f>E266/G3</f>
        <v>0</v>
      </c>
      <c r="G266" s="116"/>
      <c r="H266" s="115">
        <f t="shared" si="6"/>
        <v>0</v>
      </c>
    </row>
    <row r="267" spans="1:8" ht="21" customHeight="1">
      <c r="A267" s="26">
        <v>11</v>
      </c>
      <c r="B267" s="19"/>
      <c r="C267" s="19"/>
      <c r="D267" s="19"/>
      <c r="E267" s="116"/>
      <c r="F267" s="114">
        <f>E267/G3</f>
        <v>0</v>
      </c>
      <c r="G267" s="116"/>
      <c r="H267" s="115">
        <f t="shared" si="6"/>
        <v>0</v>
      </c>
    </row>
    <row r="268" spans="1:8" ht="21" customHeight="1">
      <c r="A268" s="26">
        <v>12</v>
      </c>
      <c r="B268" s="19"/>
      <c r="C268" s="19"/>
      <c r="D268" s="19"/>
      <c r="E268" s="116"/>
      <c r="F268" s="114">
        <f>E268/G3</f>
        <v>0</v>
      </c>
      <c r="G268" s="116"/>
      <c r="H268" s="115">
        <f t="shared" si="6"/>
        <v>0</v>
      </c>
    </row>
    <row r="269" spans="1:8" ht="21" customHeight="1">
      <c r="A269" s="26">
        <v>13</v>
      </c>
      <c r="B269" s="19"/>
      <c r="C269" s="19"/>
      <c r="D269" s="19"/>
      <c r="E269" s="116"/>
      <c r="F269" s="114">
        <f>E269/G3</f>
        <v>0</v>
      </c>
      <c r="G269" s="116"/>
      <c r="H269" s="115">
        <f t="shared" si="6"/>
        <v>0</v>
      </c>
    </row>
    <row r="270" spans="1:8" ht="21" customHeight="1">
      <c r="A270" s="26">
        <v>14</v>
      </c>
      <c r="B270" s="19"/>
      <c r="C270" s="19"/>
      <c r="D270" s="19"/>
      <c r="E270" s="116"/>
      <c r="F270" s="114">
        <f>E270/G3</f>
        <v>0</v>
      </c>
      <c r="G270" s="116"/>
      <c r="H270" s="115">
        <f t="shared" si="6"/>
        <v>0</v>
      </c>
    </row>
    <row r="271" spans="1:8" ht="21" customHeight="1">
      <c r="A271" s="26">
        <v>15</v>
      </c>
      <c r="B271" s="19"/>
      <c r="C271" s="19"/>
      <c r="D271" s="19"/>
      <c r="E271" s="116"/>
      <c r="F271" s="114">
        <f>E271/G3</f>
        <v>0</v>
      </c>
      <c r="G271" s="116"/>
      <c r="H271" s="115">
        <f t="shared" si="6"/>
        <v>0</v>
      </c>
    </row>
    <row r="272" spans="1:8" ht="21" customHeight="1">
      <c r="A272" s="26">
        <v>16</v>
      </c>
      <c r="B272" s="19"/>
      <c r="C272" s="19"/>
      <c r="D272" s="19"/>
      <c r="E272" s="116"/>
      <c r="F272" s="114">
        <f>E272/G3</f>
        <v>0</v>
      </c>
      <c r="G272" s="116"/>
      <c r="H272" s="115">
        <f t="shared" si="6"/>
        <v>0</v>
      </c>
    </row>
    <row r="273" spans="1:8" ht="21" customHeight="1">
      <c r="A273" s="26">
        <v>17</v>
      </c>
      <c r="B273" s="19"/>
      <c r="C273" s="19"/>
      <c r="D273" s="19"/>
      <c r="E273" s="116"/>
      <c r="F273" s="114">
        <f>E273/G3</f>
        <v>0</v>
      </c>
      <c r="G273" s="116"/>
      <c r="H273" s="115">
        <f t="shared" si="6"/>
        <v>0</v>
      </c>
    </row>
    <row r="274" spans="1:8" ht="21" customHeight="1">
      <c r="A274" s="26">
        <v>18</v>
      </c>
      <c r="B274" s="19"/>
      <c r="C274" s="19"/>
      <c r="D274" s="19"/>
      <c r="E274" s="116"/>
      <c r="F274" s="114">
        <f>E274/G3</f>
        <v>0</v>
      </c>
      <c r="G274" s="116"/>
      <c r="H274" s="115">
        <f t="shared" si="6"/>
        <v>0</v>
      </c>
    </row>
    <row r="275" spans="1:8" ht="21" customHeight="1">
      <c r="A275" s="26">
        <v>19</v>
      </c>
      <c r="B275" s="19"/>
      <c r="C275" s="19"/>
      <c r="D275" s="19"/>
      <c r="E275" s="116"/>
      <c r="F275" s="114">
        <f>E275/G3</f>
        <v>0</v>
      </c>
      <c r="G275" s="116"/>
      <c r="H275" s="115">
        <f t="shared" si="6"/>
        <v>0</v>
      </c>
    </row>
    <row r="276" spans="1:8" ht="21" customHeight="1">
      <c r="A276" s="26">
        <v>20</v>
      </c>
      <c r="B276" s="19"/>
      <c r="C276" s="19"/>
      <c r="D276" s="19"/>
      <c r="E276" s="116"/>
      <c r="F276" s="114">
        <f>E276/G3</f>
        <v>0</v>
      </c>
      <c r="G276" s="116"/>
      <c r="H276" s="115">
        <f t="shared" si="6"/>
        <v>0</v>
      </c>
    </row>
    <row r="277" spans="1:8" ht="21" customHeight="1">
      <c r="A277" s="26">
        <v>21</v>
      </c>
      <c r="B277" s="19"/>
      <c r="C277" s="19"/>
      <c r="D277" s="19"/>
      <c r="E277" s="116"/>
      <c r="F277" s="114">
        <f>E277/G3</f>
        <v>0</v>
      </c>
      <c r="G277" s="116"/>
      <c r="H277" s="115">
        <f t="shared" si="6"/>
        <v>0</v>
      </c>
    </row>
    <row r="278" spans="1:8" ht="21" customHeight="1">
      <c r="A278" s="26">
        <v>22</v>
      </c>
      <c r="B278" s="19"/>
      <c r="C278" s="19"/>
      <c r="D278" s="19"/>
      <c r="E278" s="116"/>
      <c r="F278" s="114">
        <f>E278/G3</f>
        <v>0</v>
      </c>
      <c r="G278" s="116"/>
      <c r="H278" s="115">
        <f t="shared" si="6"/>
        <v>0</v>
      </c>
    </row>
    <row r="279" spans="1:8" ht="21" customHeight="1">
      <c r="A279" s="26">
        <v>23</v>
      </c>
      <c r="B279" s="19"/>
      <c r="C279" s="19"/>
      <c r="D279" s="19"/>
      <c r="E279" s="116"/>
      <c r="F279" s="114">
        <f>E279/G3</f>
        <v>0</v>
      </c>
      <c r="G279" s="116"/>
      <c r="H279" s="115">
        <f t="shared" si="6"/>
        <v>0</v>
      </c>
    </row>
    <row r="280" spans="1:8" ht="21" customHeight="1">
      <c r="A280" s="26">
        <v>24</v>
      </c>
      <c r="B280" s="19"/>
      <c r="C280" s="19"/>
      <c r="D280" s="19"/>
      <c r="E280" s="116"/>
      <c r="F280" s="114">
        <f>E280/G3</f>
        <v>0</v>
      </c>
      <c r="G280" s="116"/>
      <c r="H280" s="115">
        <f t="shared" si="6"/>
        <v>0</v>
      </c>
    </row>
    <row r="281" spans="1:8" ht="21" customHeight="1">
      <c r="A281" s="26">
        <v>25</v>
      </c>
      <c r="B281" s="19"/>
      <c r="C281" s="19"/>
      <c r="D281" s="19"/>
      <c r="E281" s="116"/>
      <c r="F281" s="114">
        <f>E281/G3</f>
        <v>0</v>
      </c>
      <c r="G281" s="116"/>
      <c r="H281" s="115">
        <f t="shared" si="6"/>
        <v>0</v>
      </c>
    </row>
    <row r="282" spans="1:8" ht="21" customHeight="1" thickBot="1">
      <c r="A282" s="398" t="s">
        <v>4</v>
      </c>
      <c r="B282" s="399"/>
      <c r="C282" s="399"/>
      <c r="D282" s="400"/>
      <c r="E282" s="118">
        <f>SUM(E257:E281)</f>
        <v>0</v>
      </c>
      <c r="F282" s="118">
        <f>E282/G3</f>
        <v>0</v>
      </c>
      <c r="G282" s="118">
        <f>SUM(G257:G281)</f>
        <v>0</v>
      </c>
      <c r="H282" s="119">
        <f>SUM(H257:H281)</f>
        <v>0</v>
      </c>
    </row>
    <row r="284" spans="1:8">
      <c r="A284" s="382" t="s">
        <v>7</v>
      </c>
      <c r="B284" s="382"/>
      <c r="C284" s="401" t="s">
        <v>375</v>
      </c>
      <c r="D284" s="401"/>
      <c r="E284" s="401" t="s">
        <v>376</v>
      </c>
      <c r="F284" s="401"/>
      <c r="G284" s="401"/>
    </row>
    <row r="295" spans="1:8" ht="17.25" customHeight="1">
      <c r="A295" s="383" t="s">
        <v>357</v>
      </c>
      <c r="B295" s="403"/>
      <c r="C295" s="403"/>
      <c r="D295" s="403"/>
      <c r="E295" s="403"/>
    </row>
    <row r="296" spans="1:8" ht="17.25" customHeight="1">
      <c r="A296" s="383" t="s">
        <v>498</v>
      </c>
      <c r="B296" s="403"/>
      <c r="C296" s="403"/>
      <c r="D296" s="403"/>
      <c r="E296" s="403"/>
      <c r="F296" s="402" t="s">
        <v>257</v>
      </c>
      <c r="G296" s="402"/>
    </row>
    <row r="297" spans="1:8" ht="17.25" customHeight="1" thickBot="1">
      <c r="A297" s="397" t="s">
        <v>102</v>
      </c>
      <c r="B297" s="397"/>
      <c r="C297" s="397"/>
      <c r="D297" s="397"/>
      <c r="E297" s="397"/>
      <c r="F297" s="53" t="s">
        <v>91</v>
      </c>
      <c r="G297" s="376">
        <f>تسعير!E34</f>
        <v>3.6889904170881982</v>
      </c>
    </row>
    <row r="298" spans="1:8" ht="21" customHeight="1">
      <c r="A298" s="61" t="s">
        <v>0</v>
      </c>
      <c r="B298" s="51" t="s">
        <v>77</v>
      </c>
      <c r="C298" s="90" t="s">
        <v>76</v>
      </c>
      <c r="D298" s="51" t="s">
        <v>79</v>
      </c>
      <c r="E298" s="51" t="s">
        <v>13</v>
      </c>
      <c r="F298" s="54" t="s">
        <v>83</v>
      </c>
      <c r="G298" s="71" t="s">
        <v>14</v>
      </c>
      <c r="H298" s="55" t="s">
        <v>78</v>
      </c>
    </row>
    <row r="299" spans="1:8" ht="21" customHeight="1">
      <c r="A299" s="26">
        <v>1</v>
      </c>
      <c r="B299" s="87" t="s">
        <v>221</v>
      </c>
      <c r="C299" s="89" t="s">
        <v>239</v>
      </c>
      <c r="D299" s="88">
        <v>3</v>
      </c>
      <c r="E299" s="124">
        <v>1757</v>
      </c>
      <c r="F299" s="107">
        <f>E299/G3</f>
        <v>476.28207215209818</v>
      </c>
      <c r="G299" s="93"/>
      <c r="H299" s="108">
        <f>G299+F299</f>
        <v>476.28207215209818</v>
      </c>
    </row>
    <row r="300" spans="1:8" ht="21" customHeight="1">
      <c r="A300" s="26">
        <v>2</v>
      </c>
      <c r="B300" s="87" t="s">
        <v>222</v>
      </c>
      <c r="C300" s="89" t="s">
        <v>240</v>
      </c>
      <c r="D300" s="88">
        <v>3</v>
      </c>
      <c r="E300" s="124">
        <v>1417</v>
      </c>
      <c r="F300" s="107">
        <f>E300/G3</f>
        <v>384.11593411469727</v>
      </c>
      <c r="G300" s="93"/>
      <c r="H300" s="108">
        <f t="shared" ref="H300:H323" si="7">G300+F300</f>
        <v>384.11593411469727</v>
      </c>
    </row>
    <row r="301" spans="1:8" ht="21" customHeight="1">
      <c r="A301" s="26">
        <v>3</v>
      </c>
      <c r="B301" s="87" t="s">
        <v>190</v>
      </c>
      <c r="C301" s="89" t="s">
        <v>241</v>
      </c>
      <c r="D301" s="88">
        <v>3</v>
      </c>
      <c r="E301" s="124">
        <v>691</v>
      </c>
      <c r="F301" s="107">
        <f>E301/G3</f>
        <v>187.3141217171883</v>
      </c>
      <c r="G301" s="93"/>
      <c r="H301" s="108">
        <f t="shared" si="7"/>
        <v>187.3141217171883</v>
      </c>
    </row>
    <row r="302" spans="1:8" ht="21" customHeight="1">
      <c r="A302" s="26">
        <v>4</v>
      </c>
      <c r="B302" s="87" t="s">
        <v>223</v>
      </c>
      <c r="C302" s="89" t="s">
        <v>242</v>
      </c>
      <c r="D302" s="88">
        <v>3</v>
      </c>
      <c r="E302" s="124">
        <v>1262</v>
      </c>
      <c r="F302" s="107">
        <f>E302/G3</f>
        <v>342.09901824470569</v>
      </c>
      <c r="G302" s="93"/>
      <c r="H302" s="108">
        <f t="shared" si="7"/>
        <v>342.09901824470569</v>
      </c>
    </row>
    <row r="303" spans="1:8" ht="21" customHeight="1">
      <c r="A303" s="26">
        <v>5</v>
      </c>
      <c r="B303" s="87" t="s">
        <v>253</v>
      </c>
      <c r="C303" s="89" t="s">
        <v>243</v>
      </c>
      <c r="D303" s="88">
        <v>3</v>
      </c>
      <c r="E303" s="124">
        <v>1454</v>
      </c>
      <c r="F303" s="107">
        <f>E303/G3</f>
        <v>394.14577854817912</v>
      </c>
      <c r="G303" s="93"/>
      <c r="H303" s="108">
        <f t="shared" si="7"/>
        <v>394.14577854817912</v>
      </c>
    </row>
    <row r="304" spans="1:8" ht="21" customHeight="1">
      <c r="A304" s="26">
        <v>6</v>
      </c>
      <c r="B304" s="87" t="s">
        <v>254</v>
      </c>
      <c r="C304" s="89" t="s">
        <v>244</v>
      </c>
      <c r="D304" s="88">
        <v>3</v>
      </c>
      <c r="E304" s="124">
        <v>2376</v>
      </c>
      <c r="F304" s="107">
        <f>E304/G3</f>
        <v>644.07865875548396</v>
      </c>
      <c r="G304" s="93"/>
      <c r="H304" s="108">
        <f t="shared" si="7"/>
        <v>644.07865875548396</v>
      </c>
    </row>
    <row r="305" spans="1:8" ht="30" customHeight="1">
      <c r="A305" s="26">
        <v>7</v>
      </c>
      <c r="B305" s="87" t="s">
        <v>223</v>
      </c>
      <c r="C305" s="89" t="s">
        <v>245</v>
      </c>
      <c r="D305" s="88">
        <v>2</v>
      </c>
      <c r="E305" s="124">
        <v>63</v>
      </c>
      <c r="F305" s="107">
        <f>E305/G3</f>
        <v>17.077843224577226</v>
      </c>
      <c r="G305" s="93"/>
      <c r="H305" s="108">
        <f t="shared" si="7"/>
        <v>17.077843224577226</v>
      </c>
    </row>
    <row r="306" spans="1:8" ht="30" customHeight="1">
      <c r="A306" s="26">
        <v>8</v>
      </c>
      <c r="B306" s="87" t="s">
        <v>224</v>
      </c>
      <c r="C306" s="89" t="s">
        <v>246</v>
      </c>
      <c r="D306" s="88">
        <v>2</v>
      </c>
      <c r="E306" s="124">
        <v>77</v>
      </c>
      <c r="F306" s="107">
        <f>E306/G3</f>
        <v>20.872919496705499</v>
      </c>
      <c r="G306" s="93"/>
      <c r="H306" s="108">
        <f t="shared" si="7"/>
        <v>20.872919496705499</v>
      </c>
    </row>
    <row r="307" spans="1:8" ht="21" customHeight="1">
      <c r="A307" s="26">
        <v>9</v>
      </c>
      <c r="B307" s="87" t="s">
        <v>221</v>
      </c>
      <c r="C307" s="89" t="s">
        <v>247</v>
      </c>
      <c r="D307" s="88">
        <v>1</v>
      </c>
      <c r="E307" s="124">
        <v>909</v>
      </c>
      <c r="F307" s="107">
        <f>E307/G3</f>
        <v>246.40888081175711</v>
      </c>
      <c r="G307" s="93"/>
      <c r="H307" s="108">
        <f t="shared" si="7"/>
        <v>246.40888081175711</v>
      </c>
    </row>
    <row r="308" spans="1:8" ht="30" customHeight="1">
      <c r="A308" s="26">
        <v>10</v>
      </c>
      <c r="B308" s="87" t="s">
        <v>190</v>
      </c>
      <c r="C308" s="89" t="s">
        <v>248</v>
      </c>
      <c r="D308" s="88">
        <v>1</v>
      </c>
      <c r="E308" s="124">
        <v>1600</v>
      </c>
      <c r="F308" s="107">
        <f>E308/G3</f>
        <v>433.72300252894541</v>
      </c>
      <c r="G308" s="93"/>
      <c r="H308" s="108">
        <f t="shared" si="7"/>
        <v>433.72300252894541</v>
      </c>
    </row>
    <row r="309" spans="1:8" ht="21" customHeight="1">
      <c r="A309" s="26">
        <v>11</v>
      </c>
      <c r="B309" s="87" t="s">
        <v>255</v>
      </c>
      <c r="C309" s="89" t="s">
        <v>249</v>
      </c>
      <c r="D309" s="88">
        <v>1</v>
      </c>
      <c r="E309" s="124">
        <v>801</v>
      </c>
      <c r="F309" s="107">
        <f>E309/G3</f>
        <v>217.1325781410533</v>
      </c>
      <c r="G309" s="93"/>
      <c r="H309" s="108">
        <f t="shared" si="7"/>
        <v>217.1325781410533</v>
      </c>
    </row>
    <row r="310" spans="1:8" ht="21" customHeight="1">
      <c r="A310" s="26">
        <v>12</v>
      </c>
      <c r="B310" s="87" t="s">
        <v>256</v>
      </c>
      <c r="C310" s="89" t="s">
        <v>250</v>
      </c>
      <c r="D310" s="88">
        <v>1</v>
      </c>
      <c r="E310" s="124">
        <v>801</v>
      </c>
      <c r="F310" s="107">
        <f>E310/G3</f>
        <v>217.1325781410533</v>
      </c>
      <c r="G310" s="93"/>
      <c r="H310" s="108">
        <f t="shared" si="7"/>
        <v>217.1325781410533</v>
      </c>
    </row>
    <row r="311" spans="1:8" ht="30" customHeight="1">
      <c r="A311" s="26">
        <v>13</v>
      </c>
      <c r="B311" s="87" t="s">
        <v>252</v>
      </c>
      <c r="C311" s="89" t="s">
        <v>251</v>
      </c>
      <c r="D311" s="88">
        <v>1</v>
      </c>
      <c r="E311" s="124">
        <v>801</v>
      </c>
      <c r="F311" s="107">
        <f>E311/G3</f>
        <v>217.1325781410533</v>
      </c>
      <c r="G311" s="93"/>
      <c r="H311" s="108">
        <f t="shared" si="7"/>
        <v>217.1325781410533</v>
      </c>
    </row>
    <row r="312" spans="1:8" ht="21" customHeight="1">
      <c r="A312" s="26">
        <v>14</v>
      </c>
      <c r="B312" s="87"/>
      <c r="C312" s="19"/>
      <c r="D312" s="88"/>
      <c r="E312" s="124"/>
      <c r="F312" s="107">
        <f>E312/G3</f>
        <v>0</v>
      </c>
      <c r="G312" s="93"/>
      <c r="H312" s="108">
        <f t="shared" si="7"/>
        <v>0</v>
      </c>
    </row>
    <row r="313" spans="1:8" ht="21" customHeight="1">
      <c r="A313" s="26">
        <v>15</v>
      </c>
      <c r="B313" s="19"/>
      <c r="C313" s="19"/>
      <c r="D313" s="19"/>
      <c r="E313" s="124"/>
      <c r="F313" s="107">
        <f>E313/G3</f>
        <v>0</v>
      </c>
      <c r="G313" s="93"/>
      <c r="H313" s="108">
        <f t="shared" si="7"/>
        <v>0</v>
      </c>
    </row>
    <row r="314" spans="1:8" ht="21" customHeight="1">
      <c r="A314" s="26">
        <v>16</v>
      </c>
      <c r="B314" s="19"/>
      <c r="C314" s="19"/>
      <c r="D314" s="19"/>
      <c r="E314" s="124"/>
      <c r="F314" s="107">
        <f>E314/G3</f>
        <v>0</v>
      </c>
      <c r="G314" s="93"/>
      <c r="H314" s="108">
        <f t="shared" si="7"/>
        <v>0</v>
      </c>
    </row>
    <row r="315" spans="1:8" ht="21" customHeight="1">
      <c r="A315" s="26">
        <v>17</v>
      </c>
      <c r="B315" s="19"/>
      <c r="C315" s="19"/>
      <c r="D315" s="19"/>
      <c r="E315" s="124"/>
      <c r="F315" s="107">
        <f>E315/G3</f>
        <v>0</v>
      </c>
      <c r="G315" s="93"/>
      <c r="H315" s="108">
        <f t="shared" si="7"/>
        <v>0</v>
      </c>
    </row>
    <row r="316" spans="1:8" ht="21" customHeight="1">
      <c r="A316" s="26">
        <v>18</v>
      </c>
      <c r="B316" s="19"/>
      <c r="C316" s="19"/>
      <c r="D316" s="19"/>
      <c r="E316" s="124"/>
      <c r="F316" s="107">
        <f>E316/G3</f>
        <v>0</v>
      </c>
      <c r="G316" s="93"/>
      <c r="H316" s="108">
        <f t="shared" si="7"/>
        <v>0</v>
      </c>
    </row>
    <row r="317" spans="1:8" ht="17.25" customHeight="1">
      <c r="A317" s="26">
        <v>19</v>
      </c>
      <c r="B317" s="19"/>
      <c r="C317" s="19"/>
      <c r="D317" s="19"/>
      <c r="E317" s="124"/>
      <c r="F317" s="107">
        <f>E317/G3</f>
        <v>0</v>
      </c>
      <c r="G317" s="93"/>
      <c r="H317" s="108">
        <f t="shared" si="7"/>
        <v>0</v>
      </c>
    </row>
    <row r="318" spans="1:8" ht="17.25" customHeight="1">
      <c r="A318" s="26">
        <v>20</v>
      </c>
      <c r="B318" s="19"/>
      <c r="C318" s="19"/>
      <c r="D318" s="19"/>
      <c r="E318" s="124"/>
      <c r="F318" s="107">
        <f>E318/G3</f>
        <v>0</v>
      </c>
      <c r="G318" s="93"/>
      <c r="H318" s="108">
        <f t="shared" si="7"/>
        <v>0</v>
      </c>
    </row>
    <row r="319" spans="1:8" ht="17.25" customHeight="1">
      <c r="A319" s="26">
        <v>21</v>
      </c>
      <c r="B319" s="19"/>
      <c r="C319" s="19"/>
      <c r="D319" s="19"/>
      <c r="E319" s="124"/>
      <c r="F319" s="107">
        <f>E319/G3</f>
        <v>0</v>
      </c>
      <c r="G319" s="93"/>
      <c r="H319" s="108">
        <f t="shared" si="7"/>
        <v>0</v>
      </c>
    </row>
    <row r="320" spans="1:8" ht="17.25" customHeight="1">
      <c r="A320" s="26">
        <v>22</v>
      </c>
      <c r="B320" s="19"/>
      <c r="C320" s="19"/>
      <c r="D320" s="19"/>
      <c r="E320" s="124"/>
      <c r="F320" s="107">
        <f>E320/G3</f>
        <v>0</v>
      </c>
      <c r="G320" s="93"/>
      <c r="H320" s="108">
        <f t="shared" si="7"/>
        <v>0</v>
      </c>
    </row>
    <row r="321" spans="1:8" ht="17.25" customHeight="1">
      <c r="A321" s="26">
        <v>23</v>
      </c>
      <c r="B321" s="19"/>
      <c r="C321" s="19"/>
      <c r="D321" s="19"/>
      <c r="E321" s="124"/>
      <c r="F321" s="107">
        <f>E321/G3</f>
        <v>0</v>
      </c>
      <c r="G321" s="93"/>
      <c r="H321" s="108">
        <f t="shared" si="7"/>
        <v>0</v>
      </c>
    </row>
    <row r="322" spans="1:8" ht="17.25" customHeight="1">
      <c r="A322" s="26">
        <v>24</v>
      </c>
      <c r="B322" s="19"/>
      <c r="C322" s="19"/>
      <c r="D322" s="19"/>
      <c r="E322" s="124"/>
      <c r="F322" s="107">
        <f>E322/G3</f>
        <v>0</v>
      </c>
      <c r="G322" s="93"/>
      <c r="H322" s="108">
        <f t="shared" si="7"/>
        <v>0</v>
      </c>
    </row>
    <row r="323" spans="1:8" ht="21" customHeight="1">
      <c r="A323" s="26">
        <v>25</v>
      </c>
      <c r="B323" s="19"/>
      <c r="C323" s="19"/>
      <c r="D323" s="19">
        <f>SUM(D299:D322)</f>
        <v>27</v>
      </c>
      <c r="E323" s="124"/>
      <c r="F323" s="107">
        <f>E323/G3</f>
        <v>0</v>
      </c>
      <c r="G323" s="93"/>
      <c r="H323" s="108">
        <f t="shared" si="7"/>
        <v>0</v>
      </c>
    </row>
    <row r="324" spans="1:8" ht="21" customHeight="1" thickBot="1">
      <c r="A324" s="398" t="s">
        <v>4</v>
      </c>
      <c r="B324" s="399"/>
      <c r="C324" s="399"/>
      <c r="D324" s="400"/>
      <c r="E324" s="125">
        <f>SUM(E299:E323)</f>
        <v>14009</v>
      </c>
      <c r="F324" s="118">
        <f>E324/G3</f>
        <v>3797.5159640174979</v>
      </c>
      <c r="G324" s="112">
        <f>SUM(G299:G323)</f>
        <v>0</v>
      </c>
      <c r="H324" s="119">
        <f>SUM(H299:H323)</f>
        <v>3797.5159640174975</v>
      </c>
    </row>
    <row r="326" spans="1:8">
      <c r="A326" s="382" t="s">
        <v>7</v>
      </c>
      <c r="B326" s="382"/>
      <c r="C326" s="401" t="s">
        <v>375</v>
      </c>
      <c r="D326" s="401"/>
      <c r="E326" s="401" t="s">
        <v>376</v>
      </c>
      <c r="F326" s="401"/>
      <c r="G326" s="401"/>
    </row>
    <row r="333" spans="1:8" ht="10.5" customHeight="1"/>
    <row r="334" spans="1:8" ht="10.5" customHeight="1">
      <c r="G334" s="103"/>
    </row>
    <row r="335" spans="1:8" ht="10.5" customHeight="1"/>
    <row r="336" spans="1:8" ht="10.5" customHeight="1"/>
    <row r="337" spans="1:8" ht="17.25" customHeight="1">
      <c r="A337" s="383" t="s">
        <v>357</v>
      </c>
      <c r="B337" s="403"/>
      <c r="C337" s="403"/>
      <c r="D337" s="403"/>
      <c r="E337" s="403"/>
    </row>
    <row r="338" spans="1:8" ht="17.25" customHeight="1">
      <c r="A338" s="383" t="s">
        <v>498</v>
      </c>
      <c r="B338" s="403"/>
      <c r="C338" s="403"/>
      <c r="D338" s="403"/>
      <c r="E338" s="403"/>
      <c r="F338" s="404" t="s">
        <v>355</v>
      </c>
      <c r="G338" s="404"/>
    </row>
    <row r="339" spans="1:8" ht="17.25" customHeight="1" thickBot="1">
      <c r="A339" s="397" t="s">
        <v>277</v>
      </c>
      <c r="B339" s="397"/>
      <c r="C339" s="397"/>
      <c r="D339" s="397"/>
      <c r="E339" s="397"/>
      <c r="F339" s="53" t="s">
        <v>91</v>
      </c>
      <c r="G339" s="376">
        <f>تسعير!E34</f>
        <v>3.6889904170881982</v>
      </c>
    </row>
    <row r="340" spans="1:8" ht="21" customHeight="1">
      <c r="A340" s="61" t="s">
        <v>0</v>
      </c>
      <c r="B340" s="51" t="s">
        <v>77</v>
      </c>
      <c r="C340" s="51" t="s">
        <v>76</v>
      </c>
      <c r="D340" s="51" t="s">
        <v>79</v>
      </c>
      <c r="E340" s="51" t="s">
        <v>13</v>
      </c>
      <c r="F340" s="54" t="s">
        <v>83</v>
      </c>
      <c r="G340" s="71" t="s">
        <v>14</v>
      </c>
      <c r="H340" s="55" t="s">
        <v>78</v>
      </c>
    </row>
    <row r="341" spans="1:8" ht="35.25" customHeight="1">
      <c r="A341" s="26">
        <v>1</v>
      </c>
      <c r="B341" s="19" t="s">
        <v>227</v>
      </c>
      <c r="C341" s="143" t="s">
        <v>367</v>
      </c>
      <c r="D341" s="19">
        <v>3</v>
      </c>
      <c r="E341" s="93"/>
      <c r="F341" s="107">
        <f>E341/G3</f>
        <v>0</v>
      </c>
      <c r="G341" s="144"/>
      <c r="H341" s="108">
        <f>G341+F341</f>
        <v>0</v>
      </c>
    </row>
    <row r="342" spans="1:8" ht="21" customHeight="1">
      <c r="A342" s="26">
        <v>2</v>
      </c>
      <c r="B342" s="19"/>
      <c r="C342" s="19" t="s">
        <v>510</v>
      </c>
      <c r="D342" s="19"/>
      <c r="E342" s="93">
        <v>2642.6</v>
      </c>
      <c r="F342" s="107">
        <f>E342/G3</f>
        <v>716.3477540518694</v>
      </c>
      <c r="G342" s="93"/>
      <c r="H342" s="108">
        <f t="shared" ref="H342:H365" si="8">G342+F342</f>
        <v>716.3477540518694</v>
      </c>
    </row>
    <row r="343" spans="1:8" ht="21" customHeight="1">
      <c r="A343" s="26">
        <v>3</v>
      </c>
      <c r="B343" s="19"/>
      <c r="C343" s="19"/>
      <c r="D343" s="19"/>
      <c r="E343" s="93"/>
      <c r="F343" s="107">
        <f>E343/G3</f>
        <v>0</v>
      </c>
      <c r="G343" s="93"/>
      <c r="H343" s="108">
        <f t="shared" si="8"/>
        <v>0</v>
      </c>
    </row>
    <row r="344" spans="1:8" ht="21" customHeight="1">
      <c r="A344" s="26">
        <v>4</v>
      </c>
      <c r="B344" s="19"/>
      <c r="C344" s="19"/>
      <c r="D344" s="19"/>
      <c r="E344" s="93"/>
      <c r="F344" s="107">
        <f>E344/G3</f>
        <v>0</v>
      </c>
      <c r="G344" s="93"/>
      <c r="H344" s="108">
        <f t="shared" si="8"/>
        <v>0</v>
      </c>
    </row>
    <row r="345" spans="1:8" ht="21" customHeight="1">
      <c r="A345" s="26">
        <v>5</v>
      </c>
      <c r="B345" s="19"/>
      <c r="C345" s="19"/>
      <c r="D345" s="19"/>
      <c r="E345" s="93"/>
      <c r="F345" s="107">
        <f>E345/G3</f>
        <v>0</v>
      </c>
      <c r="G345" s="93"/>
      <c r="H345" s="108">
        <f t="shared" si="8"/>
        <v>0</v>
      </c>
    </row>
    <row r="346" spans="1:8" ht="21" customHeight="1">
      <c r="A346" s="26">
        <v>6</v>
      </c>
      <c r="B346" s="19"/>
      <c r="C346" s="19"/>
      <c r="D346" s="19"/>
      <c r="E346" s="93"/>
      <c r="F346" s="107">
        <f>E346/G3</f>
        <v>0</v>
      </c>
      <c r="G346" s="93"/>
      <c r="H346" s="108">
        <f t="shared" si="8"/>
        <v>0</v>
      </c>
    </row>
    <row r="347" spans="1:8" ht="21" customHeight="1">
      <c r="A347" s="26">
        <v>7</v>
      </c>
      <c r="B347" s="19"/>
      <c r="C347" s="19"/>
      <c r="D347" s="19"/>
      <c r="E347" s="93"/>
      <c r="F347" s="107">
        <f>E347/G3</f>
        <v>0</v>
      </c>
      <c r="G347" s="93"/>
      <c r="H347" s="108">
        <f t="shared" si="8"/>
        <v>0</v>
      </c>
    </row>
    <row r="348" spans="1:8" ht="21" customHeight="1">
      <c r="A348" s="26">
        <v>8</v>
      </c>
      <c r="B348" s="19"/>
      <c r="C348" s="19"/>
      <c r="D348" s="19"/>
      <c r="E348" s="93"/>
      <c r="F348" s="107">
        <f>E348/G3</f>
        <v>0</v>
      </c>
      <c r="G348" s="93"/>
      <c r="H348" s="108">
        <f t="shared" si="8"/>
        <v>0</v>
      </c>
    </row>
    <row r="349" spans="1:8" ht="21" customHeight="1">
      <c r="A349" s="26">
        <v>9</v>
      </c>
      <c r="B349" s="19"/>
      <c r="C349" s="19"/>
      <c r="D349" s="19"/>
      <c r="E349" s="93"/>
      <c r="F349" s="107">
        <f>E349/G3</f>
        <v>0</v>
      </c>
      <c r="G349" s="93"/>
      <c r="H349" s="108">
        <f t="shared" si="8"/>
        <v>0</v>
      </c>
    </row>
    <row r="350" spans="1:8" ht="21" customHeight="1">
      <c r="A350" s="26">
        <v>10</v>
      </c>
      <c r="B350" s="19"/>
      <c r="C350" s="19"/>
      <c r="D350" s="19"/>
      <c r="E350" s="93"/>
      <c r="F350" s="107">
        <f>E350/G3</f>
        <v>0</v>
      </c>
      <c r="G350" s="93"/>
      <c r="H350" s="108">
        <f t="shared" si="8"/>
        <v>0</v>
      </c>
    </row>
    <row r="351" spans="1:8" ht="21" customHeight="1">
      <c r="A351" s="26">
        <v>11</v>
      </c>
      <c r="B351" s="19"/>
      <c r="C351" s="19"/>
      <c r="D351" s="19"/>
      <c r="E351" s="93"/>
      <c r="F351" s="107">
        <f>E351/G3</f>
        <v>0</v>
      </c>
      <c r="G351" s="93"/>
      <c r="H351" s="108">
        <f t="shared" si="8"/>
        <v>0</v>
      </c>
    </row>
    <row r="352" spans="1:8" ht="21" customHeight="1">
      <c r="A352" s="26">
        <v>12</v>
      </c>
      <c r="B352" s="19"/>
      <c r="C352" s="19"/>
      <c r="D352" s="19"/>
      <c r="E352" s="93"/>
      <c r="F352" s="107">
        <f>E352/G3</f>
        <v>0</v>
      </c>
      <c r="G352" s="93"/>
      <c r="H352" s="108">
        <f t="shared" si="8"/>
        <v>0</v>
      </c>
    </row>
    <row r="353" spans="1:8" ht="21" customHeight="1">
      <c r="A353" s="26">
        <v>13</v>
      </c>
      <c r="B353" s="19"/>
      <c r="C353" s="19"/>
      <c r="D353" s="19"/>
      <c r="E353" s="93"/>
      <c r="F353" s="107">
        <f>E353/G3</f>
        <v>0</v>
      </c>
      <c r="G353" s="93"/>
      <c r="H353" s="108">
        <f t="shared" si="8"/>
        <v>0</v>
      </c>
    </row>
    <row r="354" spans="1:8" ht="21" customHeight="1">
      <c r="A354" s="26">
        <v>14</v>
      </c>
      <c r="B354" s="19"/>
      <c r="C354" s="19"/>
      <c r="D354" s="19"/>
      <c r="E354" s="93"/>
      <c r="F354" s="107">
        <f>E354/G3</f>
        <v>0</v>
      </c>
      <c r="G354" s="93"/>
      <c r="H354" s="108">
        <f t="shared" si="8"/>
        <v>0</v>
      </c>
    </row>
    <row r="355" spans="1:8" ht="21" customHeight="1">
      <c r="A355" s="26">
        <v>15</v>
      </c>
      <c r="B355" s="19"/>
      <c r="C355" s="19"/>
      <c r="D355" s="19"/>
      <c r="E355" s="93"/>
      <c r="F355" s="107">
        <f>E355/G3</f>
        <v>0</v>
      </c>
      <c r="G355" s="93"/>
      <c r="H355" s="108">
        <f t="shared" si="8"/>
        <v>0</v>
      </c>
    </row>
    <row r="356" spans="1:8" ht="21" customHeight="1">
      <c r="A356" s="26">
        <v>16</v>
      </c>
      <c r="B356" s="19"/>
      <c r="C356" s="19"/>
      <c r="D356" s="19"/>
      <c r="E356" s="93"/>
      <c r="F356" s="107">
        <f>E356/G3</f>
        <v>0</v>
      </c>
      <c r="G356" s="93"/>
      <c r="H356" s="108">
        <f t="shared" si="8"/>
        <v>0</v>
      </c>
    </row>
    <row r="357" spans="1:8" ht="21" customHeight="1">
      <c r="A357" s="26">
        <v>17</v>
      </c>
      <c r="B357" s="19"/>
      <c r="C357" s="19"/>
      <c r="D357" s="19"/>
      <c r="E357" s="93"/>
      <c r="F357" s="107">
        <f>E357/G3</f>
        <v>0</v>
      </c>
      <c r="G357" s="93"/>
      <c r="H357" s="108">
        <f t="shared" si="8"/>
        <v>0</v>
      </c>
    </row>
    <row r="358" spans="1:8" ht="21" customHeight="1">
      <c r="A358" s="26">
        <v>18</v>
      </c>
      <c r="B358" s="19"/>
      <c r="C358" s="19"/>
      <c r="D358" s="19"/>
      <c r="E358" s="93"/>
      <c r="F358" s="107">
        <f>E358/G3</f>
        <v>0</v>
      </c>
      <c r="G358" s="93"/>
      <c r="H358" s="108">
        <f t="shared" si="8"/>
        <v>0</v>
      </c>
    </row>
    <row r="359" spans="1:8" ht="21" customHeight="1">
      <c r="A359" s="26">
        <v>19</v>
      </c>
      <c r="B359" s="19"/>
      <c r="C359" s="19"/>
      <c r="D359" s="19"/>
      <c r="E359" s="93"/>
      <c r="F359" s="107">
        <f>E359/G3</f>
        <v>0</v>
      </c>
      <c r="G359" s="93"/>
      <c r="H359" s="108">
        <f t="shared" si="8"/>
        <v>0</v>
      </c>
    </row>
    <row r="360" spans="1:8" ht="21" customHeight="1">
      <c r="A360" s="26">
        <v>20</v>
      </c>
      <c r="B360" s="19"/>
      <c r="C360" s="19"/>
      <c r="D360" s="19"/>
      <c r="E360" s="93"/>
      <c r="F360" s="107">
        <f>E360/G3</f>
        <v>0</v>
      </c>
      <c r="G360" s="93"/>
      <c r="H360" s="108">
        <f t="shared" si="8"/>
        <v>0</v>
      </c>
    </row>
    <row r="361" spans="1:8" ht="21" customHeight="1">
      <c r="A361" s="26">
        <v>21</v>
      </c>
      <c r="B361" s="19"/>
      <c r="C361" s="19"/>
      <c r="D361" s="19"/>
      <c r="E361" s="93"/>
      <c r="F361" s="107">
        <f>E361/G3</f>
        <v>0</v>
      </c>
      <c r="G361" s="93"/>
      <c r="H361" s="108">
        <f t="shared" si="8"/>
        <v>0</v>
      </c>
    </row>
    <row r="362" spans="1:8" ht="21" customHeight="1">
      <c r="A362" s="26">
        <v>22</v>
      </c>
      <c r="B362" s="19"/>
      <c r="C362" s="19"/>
      <c r="D362" s="19"/>
      <c r="E362" s="93"/>
      <c r="F362" s="107">
        <f>E362/G3</f>
        <v>0</v>
      </c>
      <c r="G362" s="93"/>
      <c r="H362" s="108">
        <f t="shared" si="8"/>
        <v>0</v>
      </c>
    </row>
    <row r="363" spans="1:8" ht="21" customHeight="1">
      <c r="A363" s="26">
        <v>23</v>
      </c>
      <c r="B363" s="19"/>
      <c r="C363" s="19"/>
      <c r="D363" s="19"/>
      <c r="E363" s="93"/>
      <c r="F363" s="107">
        <f>E363/G3</f>
        <v>0</v>
      </c>
      <c r="G363" s="93"/>
      <c r="H363" s="108">
        <f t="shared" si="8"/>
        <v>0</v>
      </c>
    </row>
    <row r="364" spans="1:8" ht="21" customHeight="1">
      <c r="A364" s="26">
        <v>24</v>
      </c>
      <c r="B364" s="19"/>
      <c r="C364" s="19"/>
      <c r="D364" s="19"/>
      <c r="E364" s="93"/>
      <c r="F364" s="107">
        <f>E364/G3</f>
        <v>0</v>
      </c>
      <c r="G364" s="93"/>
      <c r="H364" s="108">
        <f t="shared" si="8"/>
        <v>0</v>
      </c>
    </row>
    <row r="365" spans="1:8" ht="21" customHeight="1">
      <c r="A365" s="26">
        <v>25</v>
      </c>
      <c r="B365" s="19"/>
      <c r="C365" s="19"/>
      <c r="D365" s="19">
        <f>SUM(D341:D364)</f>
        <v>3</v>
      </c>
      <c r="E365" s="93"/>
      <c r="F365" s="107">
        <f>E365/G3</f>
        <v>0</v>
      </c>
      <c r="G365" s="93"/>
      <c r="H365" s="108">
        <f t="shared" si="8"/>
        <v>0</v>
      </c>
    </row>
    <row r="366" spans="1:8" ht="21" customHeight="1" thickBot="1">
      <c r="A366" s="398" t="s">
        <v>4</v>
      </c>
      <c r="B366" s="399"/>
      <c r="C366" s="399"/>
      <c r="D366" s="400"/>
      <c r="E366" s="112">
        <f>SUM(E341:E365)</f>
        <v>2642.6</v>
      </c>
      <c r="F366" s="113">
        <f>E366/G3</f>
        <v>716.3477540518694</v>
      </c>
      <c r="G366" s="113">
        <f>SUM(G341:G365)</f>
        <v>0</v>
      </c>
      <c r="H366" s="126">
        <f>SUM(H341:H365)</f>
        <v>716.3477540518694</v>
      </c>
    </row>
    <row r="368" spans="1:8">
      <c r="A368" s="382" t="s">
        <v>7</v>
      </c>
      <c r="B368" s="382"/>
      <c r="C368" s="401" t="s">
        <v>375</v>
      </c>
      <c r="D368" s="401"/>
      <c r="E368" s="401" t="s">
        <v>376</v>
      </c>
      <c r="F368" s="401"/>
      <c r="G368" s="401"/>
    </row>
    <row r="379" spans="1:8" ht="17.25" customHeight="1">
      <c r="A379" s="383" t="s">
        <v>357</v>
      </c>
      <c r="B379" s="403"/>
      <c r="C379" s="403"/>
      <c r="D379" s="403"/>
      <c r="E379" s="403"/>
    </row>
    <row r="380" spans="1:8" ht="17.25" customHeight="1">
      <c r="A380" s="383" t="s">
        <v>498</v>
      </c>
      <c r="B380" s="403"/>
      <c r="C380" s="403"/>
      <c r="D380" s="403"/>
      <c r="E380" s="403"/>
      <c r="F380" s="404" t="s">
        <v>276</v>
      </c>
      <c r="G380" s="404"/>
    </row>
    <row r="381" spans="1:8" ht="17.25" customHeight="1" thickBot="1">
      <c r="A381" s="397" t="s">
        <v>103</v>
      </c>
      <c r="B381" s="397"/>
      <c r="C381" s="397"/>
      <c r="D381" s="397"/>
      <c r="E381" s="397"/>
      <c r="F381" s="53" t="s">
        <v>91</v>
      </c>
      <c r="G381" s="376">
        <f>تسعير!E34</f>
        <v>3.6889904170881982</v>
      </c>
    </row>
    <row r="382" spans="1:8" ht="21" customHeight="1">
      <c r="A382" s="61" t="s">
        <v>0</v>
      </c>
      <c r="B382" s="51" t="s">
        <v>77</v>
      </c>
      <c r="C382" s="90" t="s">
        <v>76</v>
      </c>
      <c r="D382" s="51" t="s">
        <v>79</v>
      </c>
      <c r="E382" s="51" t="s">
        <v>13</v>
      </c>
      <c r="F382" s="54" t="s">
        <v>83</v>
      </c>
      <c r="G382" s="71" t="s">
        <v>14</v>
      </c>
      <c r="H382" s="55" t="s">
        <v>78</v>
      </c>
    </row>
    <row r="383" spans="1:8" ht="21" customHeight="1">
      <c r="A383" s="26">
        <v>1</v>
      </c>
      <c r="B383" s="87" t="s">
        <v>266</v>
      </c>
      <c r="C383" s="89" t="s">
        <v>258</v>
      </c>
      <c r="D383" s="88">
        <v>1</v>
      </c>
      <c r="E383" s="93">
        <v>77</v>
      </c>
      <c r="F383" s="107">
        <f>E383/G3</f>
        <v>20.872919496705499</v>
      </c>
      <c r="G383" s="93"/>
      <c r="H383" s="108">
        <f>G383+F383</f>
        <v>20.872919496705499</v>
      </c>
    </row>
    <row r="384" spans="1:8" ht="21" customHeight="1">
      <c r="A384" s="26">
        <v>2</v>
      </c>
      <c r="B384" s="99" t="s">
        <v>267</v>
      </c>
      <c r="C384" s="89" t="s">
        <v>259</v>
      </c>
      <c r="D384" s="88">
        <v>1</v>
      </c>
      <c r="E384" s="93">
        <v>70</v>
      </c>
      <c r="F384" s="107">
        <f>E384/G3</f>
        <v>18.975381360641361</v>
      </c>
      <c r="G384" s="93"/>
      <c r="H384" s="108">
        <f t="shared" ref="H384:H407" si="9">G384+F384</f>
        <v>18.975381360641361</v>
      </c>
    </row>
    <row r="385" spans="1:8" ht="21" customHeight="1">
      <c r="A385" s="26">
        <v>3</v>
      </c>
      <c r="B385" s="87" t="s">
        <v>268</v>
      </c>
      <c r="C385" s="89" t="s">
        <v>258</v>
      </c>
      <c r="D385" s="88">
        <v>1</v>
      </c>
      <c r="E385" s="93">
        <v>146</v>
      </c>
      <c r="F385" s="107">
        <f>E385/G3</f>
        <v>39.57722398076627</v>
      </c>
      <c r="G385" s="93"/>
      <c r="H385" s="108">
        <f t="shared" si="9"/>
        <v>39.57722398076627</v>
      </c>
    </row>
    <row r="386" spans="1:8" ht="21" customHeight="1">
      <c r="A386" s="26">
        <v>4</v>
      </c>
      <c r="B386" s="87" t="s">
        <v>227</v>
      </c>
      <c r="C386" s="89" t="s">
        <v>260</v>
      </c>
      <c r="D386" s="88">
        <v>1</v>
      </c>
      <c r="E386" s="93">
        <v>19</v>
      </c>
      <c r="F386" s="107">
        <f>E386/G3</f>
        <v>5.1504606550312264</v>
      </c>
      <c r="G386" s="93"/>
      <c r="H386" s="108">
        <f t="shared" si="9"/>
        <v>5.1504606550312264</v>
      </c>
    </row>
    <row r="387" spans="1:8" ht="21" customHeight="1">
      <c r="A387" s="26">
        <v>5</v>
      </c>
      <c r="B387" s="87" t="s">
        <v>269</v>
      </c>
      <c r="C387" s="89" t="s">
        <v>261</v>
      </c>
      <c r="D387" s="88">
        <v>1</v>
      </c>
      <c r="E387" s="93">
        <v>47</v>
      </c>
      <c r="F387" s="107">
        <f>E387/G3</f>
        <v>12.740613199287772</v>
      </c>
      <c r="G387" s="93"/>
      <c r="H387" s="108">
        <f t="shared" si="9"/>
        <v>12.740613199287772</v>
      </c>
    </row>
    <row r="388" spans="1:8" ht="21" customHeight="1">
      <c r="A388" s="26">
        <v>6</v>
      </c>
      <c r="B388" s="87" t="s">
        <v>270</v>
      </c>
      <c r="C388" s="89" t="s">
        <v>262</v>
      </c>
      <c r="D388" s="88">
        <v>1</v>
      </c>
      <c r="E388" s="93">
        <v>22</v>
      </c>
      <c r="F388" s="107">
        <f>E388/G3</f>
        <v>5.9636912847729997</v>
      </c>
      <c r="G388" s="93"/>
      <c r="H388" s="108">
        <f t="shared" si="9"/>
        <v>5.9636912847729997</v>
      </c>
    </row>
    <row r="389" spans="1:8" ht="21" customHeight="1">
      <c r="A389" s="26">
        <v>7</v>
      </c>
      <c r="B389" s="87" t="s">
        <v>271</v>
      </c>
      <c r="C389" s="89" t="s">
        <v>258</v>
      </c>
      <c r="D389" s="88">
        <v>1</v>
      </c>
      <c r="E389" s="93">
        <v>102</v>
      </c>
      <c r="F389" s="107">
        <f>E389/G3</f>
        <v>27.649841411220269</v>
      </c>
      <c r="G389" s="93"/>
      <c r="H389" s="108">
        <f t="shared" si="9"/>
        <v>27.649841411220269</v>
      </c>
    </row>
    <row r="390" spans="1:8" ht="21" customHeight="1">
      <c r="A390" s="26">
        <v>8</v>
      </c>
      <c r="B390" s="87" t="s">
        <v>272</v>
      </c>
      <c r="C390" s="89" t="s">
        <v>258</v>
      </c>
      <c r="D390" s="88">
        <v>1</v>
      </c>
      <c r="E390" s="93">
        <v>10</v>
      </c>
      <c r="F390" s="107">
        <f>E390/G3</f>
        <v>2.7107687658059088</v>
      </c>
      <c r="G390" s="93"/>
      <c r="H390" s="108">
        <f t="shared" si="9"/>
        <v>2.7107687658059088</v>
      </c>
    </row>
    <row r="391" spans="1:8" ht="21" customHeight="1">
      <c r="A391" s="26">
        <v>9</v>
      </c>
      <c r="B391" s="87" t="s">
        <v>273</v>
      </c>
      <c r="C391" s="89" t="s">
        <v>263</v>
      </c>
      <c r="D391" s="88">
        <v>2</v>
      </c>
      <c r="E391" s="93">
        <v>160</v>
      </c>
      <c r="F391" s="107">
        <f>E391/G3</f>
        <v>43.37230025289454</v>
      </c>
      <c r="G391" s="93"/>
      <c r="H391" s="108">
        <f t="shared" si="9"/>
        <v>43.37230025289454</v>
      </c>
    </row>
    <row r="392" spans="1:8" ht="21" customHeight="1">
      <c r="A392" s="26">
        <v>10</v>
      </c>
      <c r="B392" s="87" t="s">
        <v>274</v>
      </c>
      <c r="C392" s="89" t="s">
        <v>264</v>
      </c>
      <c r="D392" s="88">
        <v>1</v>
      </c>
      <c r="E392" s="93">
        <v>216</v>
      </c>
      <c r="F392" s="107">
        <f>E392/G3</f>
        <v>58.552605341407634</v>
      </c>
      <c r="G392" s="93"/>
      <c r="H392" s="108">
        <f t="shared" si="9"/>
        <v>58.552605341407634</v>
      </c>
    </row>
    <row r="393" spans="1:8" ht="21" customHeight="1">
      <c r="A393" s="26">
        <v>11</v>
      </c>
      <c r="B393" s="87" t="s">
        <v>275</v>
      </c>
      <c r="C393" s="89" t="s">
        <v>265</v>
      </c>
      <c r="D393" s="88">
        <v>3</v>
      </c>
      <c r="E393" s="93">
        <v>164</v>
      </c>
      <c r="F393" s="107">
        <f>E393/G3</f>
        <v>44.456607759216908</v>
      </c>
      <c r="G393" s="93"/>
      <c r="H393" s="108">
        <f t="shared" si="9"/>
        <v>44.456607759216908</v>
      </c>
    </row>
    <row r="394" spans="1:8" ht="21" customHeight="1">
      <c r="A394" s="26">
        <v>12</v>
      </c>
      <c r="B394" s="87"/>
      <c r="C394" s="19"/>
      <c r="D394" s="88"/>
      <c r="E394" s="93"/>
      <c r="F394" s="107">
        <f>E394/G3</f>
        <v>0</v>
      </c>
      <c r="G394" s="93"/>
      <c r="H394" s="108">
        <f t="shared" si="9"/>
        <v>0</v>
      </c>
    </row>
    <row r="395" spans="1:8" ht="21" customHeight="1">
      <c r="A395" s="26">
        <v>13</v>
      </c>
      <c r="B395" s="87"/>
      <c r="C395" s="19"/>
      <c r="D395" s="88"/>
      <c r="E395" s="93"/>
      <c r="F395" s="107">
        <f>E395/G3</f>
        <v>0</v>
      </c>
      <c r="G395" s="93"/>
      <c r="H395" s="108">
        <f t="shared" si="9"/>
        <v>0</v>
      </c>
    </row>
    <row r="396" spans="1:8" ht="21" customHeight="1">
      <c r="A396" s="26">
        <v>14</v>
      </c>
      <c r="B396" s="19"/>
      <c r="C396" s="19"/>
      <c r="D396" s="19"/>
      <c r="E396" s="93"/>
      <c r="F396" s="107">
        <f>E396/G3</f>
        <v>0</v>
      </c>
      <c r="G396" s="93"/>
      <c r="H396" s="108">
        <f t="shared" si="9"/>
        <v>0</v>
      </c>
    </row>
    <row r="397" spans="1:8" ht="21" customHeight="1">
      <c r="A397" s="26">
        <v>15</v>
      </c>
      <c r="B397" s="19"/>
      <c r="C397" s="19"/>
      <c r="D397" s="19"/>
      <c r="E397" s="93"/>
      <c r="F397" s="107">
        <f>E397/G3</f>
        <v>0</v>
      </c>
      <c r="G397" s="93"/>
      <c r="H397" s="108">
        <f t="shared" si="9"/>
        <v>0</v>
      </c>
    </row>
    <row r="398" spans="1:8" ht="21" customHeight="1">
      <c r="A398" s="26">
        <v>16</v>
      </c>
      <c r="B398" s="19"/>
      <c r="C398" s="19"/>
      <c r="D398" s="19"/>
      <c r="E398" s="93"/>
      <c r="F398" s="107">
        <f>E398/G3</f>
        <v>0</v>
      </c>
      <c r="G398" s="93"/>
      <c r="H398" s="108">
        <f t="shared" si="9"/>
        <v>0</v>
      </c>
    </row>
    <row r="399" spans="1:8" ht="21" customHeight="1">
      <c r="A399" s="26">
        <v>17</v>
      </c>
      <c r="B399" s="19"/>
      <c r="C399" s="19"/>
      <c r="D399" s="19"/>
      <c r="E399" s="93"/>
      <c r="F399" s="107">
        <f>E399/G3</f>
        <v>0</v>
      </c>
      <c r="G399" s="93"/>
      <c r="H399" s="108">
        <f t="shared" si="9"/>
        <v>0</v>
      </c>
    </row>
    <row r="400" spans="1:8" ht="21" customHeight="1">
      <c r="A400" s="26">
        <v>18</v>
      </c>
      <c r="B400" s="19"/>
      <c r="C400" s="19"/>
      <c r="D400" s="19"/>
      <c r="E400" s="93"/>
      <c r="F400" s="107">
        <f>E400/G3</f>
        <v>0</v>
      </c>
      <c r="G400" s="93"/>
      <c r="H400" s="108">
        <f t="shared" si="9"/>
        <v>0</v>
      </c>
    </row>
    <row r="401" spans="1:8" ht="21" customHeight="1">
      <c r="A401" s="26">
        <v>19</v>
      </c>
      <c r="B401" s="19"/>
      <c r="C401" s="19"/>
      <c r="D401" s="19"/>
      <c r="E401" s="93"/>
      <c r="F401" s="107">
        <f>E401/G3</f>
        <v>0</v>
      </c>
      <c r="G401" s="93"/>
      <c r="H401" s="108">
        <f t="shared" si="9"/>
        <v>0</v>
      </c>
    </row>
    <row r="402" spans="1:8" ht="21" customHeight="1">
      <c r="A402" s="26">
        <v>20</v>
      </c>
      <c r="B402" s="19"/>
      <c r="C402" s="19"/>
      <c r="D402" s="19"/>
      <c r="E402" s="93"/>
      <c r="F402" s="107">
        <f>E402/G3</f>
        <v>0</v>
      </c>
      <c r="G402" s="93"/>
      <c r="H402" s="108">
        <f t="shared" si="9"/>
        <v>0</v>
      </c>
    </row>
    <row r="403" spans="1:8" ht="21" customHeight="1">
      <c r="A403" s="26">
        <v>21</v>
      </c>
      <c r="B403" s="19"/>
      <c r="C403" s="19"/>
      <c r="D403" s="19"/>
      <c r="E403" s="93"/>
      <c r="F403" s="107">
        <f>E403/G3</f>
        <v>0</v>
      </c>
      <c r="G403" s="93"/>
      <c r="H403" s="108">
        <f t="shared" si="9"/>
        <v>0</v>
      </c>
    </row>
    <row r="404" spans="1:8" ht="21" customHeight="1">
      <c r="A404" s="26">
        <v>22</v>
      </c>
      <c r="B404" s="19"/>
      <c r="C404" s="19"/>
      <c r="D404" s="19"/>
      <c r="E404" s="93"/>
      <c r="F404" s="107">
        <f>E404/G3</f>
        <v>0</v>
      </c>
      <c r="G404" s="93"/>
      <c r="H404" s="108">
        <f t="shared" si="9"/>
        <v>0</v>
      </c>
    </row>
    <row r="405" spans="1:8" ht="21" customHeight="1">
      <c r="A405" s="26">
        <v>23</v>
      </c>
      <c r="B405" s="19"/>
      <c r="C405" s="19"/>
      <c r="D405" s="19"/>
      <c r="E405" s="93"/>
      <c r="F405" s="107">
        <f>E405/G3</f>
        <v>0</v>
      </c>
      <c r="G405" s="93"/>
      <c r="H405" s="108">
        <f t="shared" si="9"/>
        <v>0</v>
      </c>
    </row>
    <row r="406" spans="1:8" ht="21" customHeight="1">
      <c r="A406" s="26">
        <v>24</v>
      </c>
      <c r="B406" s="19"/>
      <c r="C406" s="19"/>
      <c r="D406" s="19"/>
      <c r="E406" s="93"/>
      <c r="F406" s="107">
        <f>E406/G3</f>
        <v>0</v>
      </c>
      <c r="G406" s="93"/>
      <c r="H406" s="108">
        <f t="shared" si="9"/>
        <v>0</v>
      </c>
    </row>
    <row r="407" spans="1:8" ht="21" customHeight="1">
      <c r="A407" s="26">
        <v>25</v>
      </c>
      <c r="B407" s="19"/>
      <c r="C407" s="19"/>
      <c r="D407" s="19">
        <f>SUM(D383:D406)</f>
        <v>14</v>
      </c>
      <c r="E407" s="93"/>
      <c r="F407" s="107">
        <f>E407/G3</f>
        <v>0</v>
      </c>
      <c r="G407" s="93"/>
      <c r="H407" s="108">
        <f t="shared" si="9"/>
        <v>0</v>
      </c>
    </row>
    <row r="408" spans="1:8" ht="21" customHeight="1" thickBot="1">
      <c r="A408" s="398" t="s">
        <v>4</v>
      </c>
      <c r="B408" s="399"/>
      <c r="C408" s="399"/>
      <c r="D408" s="400"/>
      <c r="E408" s="112">
        <f>SUM(E383:E407)</f>
        <v>1033</v>
      </c>
      <c r="F408" s="113">
        <f>E408/G3</f>
        <v>280.0224135077504</v>
      </c>
      <c r="G408" s="112">
        <f>SUM(G383:G407)</f>
        <v>0</v>
      </c>
      <c r="H408" s="126">
        <f>SUM(H383:H407)</f>
        <v>280.0224135077504</v>
      </c>
    </row>
    <row r="410" spans="1:8">
      <c r="A410" s="382" t="s">
        <v>7</v>
      </c>
      <c r="B410" s="382"/>
      <c r="C410" s="401" t="s">
        <v>375</v>
      </c>
      <c r="D410" s="401"/>
      <c r="E410" s="401" t="s">
        <v>376</v>
      </c>
      <c r="F410" s="401"/>
      <c r="G410" s="401"/>
    </row>
    <row r="421" spans="1:8" ht="17.25" customHeight="1">
      <c r="A421" s="383" t="s">
        <v>357</v>
      </c>
      <c r="B421" s="403"/>
      <c r="C421" s="403"/>
      <c r="D421" s="403"/>
      <c r="E421" s="403"/>
    </row>
    <row r="422" spans="1:8" ht="17.25" customHeight="1">
      <c r="A422" s="383" t="s">
        <v>498</v>
      </c>
      <c r="B422" s="403"/>
      <c r="C422" s="403"/>
      <c r="D422" s="403"/>
      <c r="E422" s="403"/>
    </row>
    <row r="423" spans="1:8" ht="17.25" customHeight="1" thickBot="1">
      <c r="A423" s="397" t="s">
        <v>104</v>
      </c>
      <c r="B423" s="397"/>
      <c r="C423" s="397"/>
      <c r="D423" s="397"/>
      <c r="E423" s="397"/>
      <c r="F423" s="53" t="s">
        <v>91</v>
      </c>
      <c r="G423" s="376">
        <f>تسعير!E34</f>
        <v>3.6889904170881982</v>
      </c>
    </row>
    <row r="424" spans="1:8" ht="21" customHeight="1">
      <c r="A424" s="61" t="s">
        <v>0</v>
      </c>
      <c r="B424" s="51" t="s">
        <v>77</v>
      </c>
      <c r="C424" s="51" t="s">
        <v>76</v>
      </c>
      <c r="D424" s="51" t="s">
        <v>79</v>
      </c>
      <c r="E424" s="51" t="s">
        <v>13</v>
      </c>
      <c r="F424" s="54" t="s">
        <v>83</v>
      </c>
      <c r="G424" s="71" t="s">
        <v>14</v>
      </c>
      <c r="H424" s="55" t="s">
        <v>78</v>
      </c>
    </row>
    <row r="425" spans="1:8" ht="21" customHeight="1">
      <c r="A425" s="26">
        <v>1</v>
      </c>
      <c r="B425" s="19" t="s">
        <v>81</v>
      </c>
      <c r="C425" s="4"/>
      <c r="D425" s="19"/>
      <c r="E425" s="116"/>
      <c r="F425" s="114">
        <f>E425/G3</f>
        <v>0</v>
      </c>
      <c r="G425" s="116"/>
      <c r="H425" s="115">
        <f>G425+F425</f>
        <v>0</v>
      </c>
    </row>
    <row r="426" spans="1:8" ht="21" customHeight="1">
      <c r="A426" s="26">
        <v>2</v>
      </c>
      <c r="B426" s="19"/>
      <c r="C426" s="19"/>
      <c r="D426" s="19"/>
      <c r="E426" s="116"/>
      <c r="F426" s="114">
        <f>E426/G3</f>
        <v>0</v>
      </c>
      <c r="G426" s="116"/>
      <c r="H426" s="115">
        <f t="shared" ref="H426:H449" si="10">G426+F426</f>
        <v>0</v>
      </c>
    </row>
    <row r="427" spans="1:8" ht="21" customHeight="1">
      <c r="A427" s="26">
        <v>3</v>
      </c>
      <c r="B427" s="19"/>
      <c r="C427" s="19"/>
      <c r="D427" s="19"/>
      <c r="E427" s="116"/>
      <c r="F427" s="114">
        <f>E427/G3</f>
        <v>0</v>
      </c>
      <c r="G427" s="116"/>
      <c r="H427" s="115">
        <f t="shared" si="10"/>
        <v>0</v>
      </c>
    </row>
    <row r="428" spans="1:8" ht="21" customHeight="1">
      <c r="A428" s="26">
        <v>4</v>
      </c>
      <c r="B428" s="19"/>
      <c r="C428" s="19"/>
      <c r="D428" s="19"/>
      <c r="E428" s="116"/>
      <c r="F428" s="114">
        <f>E428/G3</f>
        <v>0</v>
      </c>
      <c r="G428" s="116"/>
      <c r="H428" s="115">
        <f t="shared" si="10"/>
        <v>0</v>
      </c>
    </row>
    <row r="429" spans="1:8" ht="21" customHeight="1">
      <c r="A429" s="26">
        <v>5</v>
      </c>
      <c r="B429" s="19"/>
      <c r="C429" s="19"/>
      <c r="D429" s="19"/>
      <c r="E429" s="116"/>
      <c r="F429" s="114">
        <f>E429/G3</f>
        <v>0</v>
      </c>
      <c r="G429" s="116"/>
      <c r="H429" s="115">
        <f t="shared" si="10"/>
        <v>0</v>
      </c>
    </row>
    <row r="430" spans="1:8" ht="21" customHeight="1">
      <c r="A430" s="26">
        <v>6</v>
      </c>
      <c r="B430" s="19"/>
      <c r="C430" s="19"/>
      <c r="D430" s="19"/>
      <c r="E430" s="116"/>
      <c r="F430" s="114">
        <f>E430/G3</f>
        <v>0</v>
      </c>
      <c r="G430" s="116"/>
      <c r="H430" s="115">
        <f t="shared" si="10"/>
        <v>0</v>
      </c>
    </row>
    <row r="431" spans="1:8" ht="21" customHeight="1">
      <c r="A431" s="26">
        <v>7</v>
      </c>
      <c r="B431" s="19"/>
      <c r="C431" s="19"/>
      <c r="D431" s="19"/>
      <c r="E431" s="116"/>
      <c r="F431" s="114">
        <f>E431/G3</f>
        <v>0</v>
      </c>
      <c r="G431" s="116"/>
      <c r="H431" s="115">
        <f t="shared" si="10"/>
        <v>0</v>
      </c>
    </row>
    <row r="432" spans="1:8" ht="21" customHeight="1">
      <c r="A432" s="26">
        <v>8</v>
      </c>
      <c r="B432" s="19"/>
      <c r="C432" s="19"/>
      <c r="D432" s="19"/>
      <c r="E432" s="116"/>
      <c r="F432" s="114">
        <f>E432/G3</f>
        <v>0</v>
      </c>
      <c r="G432" s="116"/>
      <c r="H432" s="115">
        <f t="shared" si="10"/>
        <v>0</v>
      </c>
    </row>
    <row r="433" spans="1:8" ht="21" customHeight="1">
      <c r="A433" s="26">
        <v>9</v>
      </c>
      <c r="B433" s="19"/>
      <c r="C433" s="19"/>
      <c r="D433" s="19"/>
      <c r="E433" s="116"/>
      <c r="F433" s="114">
        <f>E433/G3</f>
        <v>0</v>
      </c>
      <c r="G433" s="116"/>
      <c r="H433" s="115">
        <f t="shared" si="10"/>
        <v>0</v>
      </c>
    </row>
    <row r="434" spans="1:8" ht="21" customHeight="1">
      <c r="A434" s="26">
        <v>10</v>
      </c>
      <c r="B434" s="19"/>
      <c r="C434" s="19"/>
      <c r="D434" s="19"/>
      <c r="E434" s="116"/>
      <c r="F434" s="114">
        <f>E434/G3</f>
        <v>0</v>
      </c>
      <c r="G434" s="116"/>
      <c r="H434" s="115">
        <f t="shared" si="10"/>
        <v>0</v>
      </c>
    </row>
    <row r="435" spans="1:8" ht="21" customHeight="1">
      <c r="A435" s="26">
        <v>11</v>
      </c>
      <c r="B435" s="19"/>
      <c r="C435" s="19"/>
      <c r="D435" s="19"/>
      <c r="E435" s="116"/>
      <c r="F435" s="114">
        <f>E435/G3</f>
        <v>0</v>
      </c>
      <c r="G435" s="116"/>
      <c r="H435" s="115">
        <f t="shared" si="10"/>
        <v>0</v>
      </c>
    </row>
    <row r="436" spans="1:8" ht="21" customHeight="1">
      <c r="A436" s="26">
        <v>12</v>
      </c>
      <c r="B436" s="19"/>
      <c r="C436" s="19"/>
      <c r="D436" s="19"/>
      <c r="E436" s="116"/>
      <c r="F436" s="114">
        <f>E436/G3</f>
        <v>0</v>
      </c>
      <c r="G436" s="116"/>
      <c r="H436" s="115">
        <f t="shared" si="10"/>
        <v>0</v>
      </c>
    </row>
    <row r="437" spans="1:8" ht="21" customHeight="1">
      <c r="A437" s="26">
        <v>13</v>
      </c>
      <c r="B437" s="19"/>
      <c r="C437" s="19"/>
      <c r="D437" s="19"/>
      <c r="E437" s="116"/>
      <c r="F437" s="114">
        <f>E437/G3</f>
        <v>0</v>
      </c>
      <c r="G437" s="116"/>
      <c r="H437" s="115">
        <f t="shared" si="10"/>
        <v>0</v>
      </c>
    </row>
    <row r="438" spans="1:8" ht="21" customHeight="1">
      <c r="A438" s="26">
        <v>14</v>
      </c>
      <c r="B438" s="19"/>
      <c r="C438" s="19"/>
      <c r="D438" s="19"/>
      <c r="E438" s="116"/>
      <c r="F438" s="114">
        <f>E438/G3</f>
        <v>0</v>
      </c>
      <c r="G438" s="116"/>
      <c r="H438" s="115">
        <f t="shared" si="10"/>
        <v>0</v>
      </c>
    </row>
    <row r="439" spans="1:8" ht="21" customHeight="1">
      <c r="A439" s="26">
        <v>15</v>
      </c>
      <c r="B439" s="19"/>
      <c r="C439" s="19"/>
      <c r="D439" s="19"/>
      <c r="E439" s="116"/>
      <c r="F439" s="114">
        <f>E439/G3</f>
        <v>0</v>
      </c>
      <c r="G439" s="116"/>
      <c r="H439" s="115">
        <f t="shared" si="10"/>
        <v>0</v>
      </c>
    </row>
    <row r="440" spans="1:8" ht="21" customHeight="1">
      <c r="A440" s="26">
        <v>16</v>
      </c>
      <c r="B440" s="19"/>
      <c r="C440" s="19"/>
      <c r="D440" s="19"/>
      <c r="E440" s="116"/>
      <c r="F440" s="114">
        <f>E440/G3</f>
        <v>0</v>
      </c>
      <c r="G440" s="116"/>
      <c r="H440" s="115">
        <f t="shared" si="10"/>
        <v>0</v>
      </c>
    </row>
    <row r="441" spans="1:8" ht="21" customHeight="1">
      <c r="A441" s="26">
        <v>17</v>
      </c>
      <c r="B441" s="19"/>
      <c r="C441" s="19"/>
      <c r="D441" s="19"/>
      <c r="E441" s="116"/>
      <c r="F441" s="114">
        <f>E441/G3</f>
        <v>0</v>
      </c>
      <c r="G441" s="116"/>
      <c r="H441" s="115">
        <f t="shared" si="10"/>
        <v>0</v>
      </c>
    </row>
    <row r="442" spans="1:8" ht="21" customHeight="1">
      <c r="A442" s="26">
        <v>18</v>
      </c>
      <c r="B442" s="19"/>
      <c r="C442" s="19"/>
      <c r="D442" s="19"/>
      <c r="E442" s="116"/>
      <c r="F442" s="114">
        <f>E442/G3</f>
        <v>0</v>
      </c>
      <c r="G442" s="116"/>
      <c r="H442" s="115">
        <f t="shared" si="10"/>
        <v>0</v>
      </c>
    </row>
    <row r="443" spans="1:8" ht="21" customHeight="1">
      <c r="A443" s="26">
        <v>19</v>
      </c>
      <c r="B443" s="19"/>
      <c r="C443" s="19"/>
      <c r="D443" s="19"/>
      <c r="E443" s="116"/>
      <c r="F443" s="114">
        <f>E443/G3</f>
        <v>0</v>
      </c>
      <c r="G443" s="116"/>
      <c r="H443" s="115">
        <f t="shared" si="10"/>
        <v>0</v>
      </c>
    </row>
    <row r="444" spans="1:8" ht="21" customHeight="1">
      <c r="A444" s="26">
        <v>20</v>
      </c>
      <c r="B444" s="19"/>
      <c r="C444" s="19"/>
      <c r="D444" s="19"/>
      <c r="E444" s="116"/>
      <c r="F444" s="114">
        <f>E444/G3</f>
        <v>0</v>
      </c>
      <c r="G444" s="116"/>
      <c r="H444" s="115">
        <f t="shared" si="10"/>
        <v>0</v>
      </c>
    </row>
    <row r="445" spans="1:8" ht="21" customHeight="1">
      <c r="A445" s="26">
        <v>21</v>
      </c>
      <c r="B445" s="19"/>
      <c r="C445" s="19"/>
      <c r="D445" s="19"/>
      <c r="E445" s="116"/>
      <c r="F445" s="114">
        <f>E445/G3</f>
        <v>0</v>
      </c>
      <c r="G445" s="116"/>
      <c r="H445" s="115">
        <f t="shared" si="10"/>
        <v>0</v>
      </c>
    </row>
    <row r="446" spans="1:8" ht="21" customHeight="1">
      <c r="A446" s="26">
        <v>22</v>
      </c>
      <c r="B446" s="19"/>
      <c r="C446" s="19"/>
      <c r="D446" s="19"/>
      <c r="E446" s="116"/>
      <c r="F446" s="114">
        <f>E446/G3</f>
        <v>0</v>
      </c>
      <c r="G446" s="116"/>
      <c r="H446" s="115">
        <f t="shared" si="10"/>
        <v>0</v>
      </c>
    </row>
    <row r="447" spans="1:8" ht="21" customHeight="1">
      <c r="A447" s="26">
        <v>23</v>
      </c>
      <c r="B447" s="19"/>
      <c r="C447" s="19"/>
      <c r="D447" s="19"/>
      <c r="E447" s="116"/>
      <c r="F447" s="114">
        <f>E447/G3</f>
        <v>0</v>
      </c>
      <c r="G447" s="116"/>
      <c r="H447" s="115">
        <f t="shared" si="10"/>
        <v>0</v>
      </c>
    </row>
    <row r="448" spans="1:8" ht="21" customHeight="1">
      <c r="A448" s="26">
        <v>24</v>
      </c>
      <c r="B448" s="19"/>
      <c r="C448" s="19"/>
      <c r="D448" s="19"/>
      <c r="E448" s="116"/>
      <c r="F448" s="114">
        <f>E448/G3</f>
        <v>0</v>
      </c>
      <c r="G448" s="116"/>
      <c r="H448" s="115">
        <f t="shared" si="10"/>
        <v>0</v>
      </c>
    </row>
    <row r="449" spans="1:8" ht="21" customHeight="1">
      <c r="A449" s="26">
        <v>25</v>
      </c>
      <c r="B449" s="19"/>
      <c r="C449" s="19"/>
      <c r="D449" s="19"/>
      <c r="E449" s="116"/>
      <c r="F449" s="114">
        <f>E449/G3</f>
        <v>0</v>
      </c>
      <c r="G449" s="116"/>
      <c r="H449" s="115">
        <f t="shared" si="10"/>
        <v>0</v>
      </c>
    </row>
    <row r="450" spans="1:8" ht="21" customHeight="1" thickBot="1">
      <c r="A450" s="398" t="s">
        <v>4</v>
      </c>
      <c r="B450" s="399"/>
      <c r="C450" s="399"/>
      <c r="D450" s="400"/>
      <c r="E450" s="118">
        <f>SUM(E425:E449)</f>
        <v>0</v>
      </c>
      <c r="F450" s="114">
        <f>E450/G3</f>
        <v>0</v>
      </c>
      <c r="G450" s="118">
        <f>SUM(G425:G449)</f>
        <v>0</v>
      </c>
      <c r="H450" s="119">
        <f>SUM(H425:H449)</f>
        <v>0</v>
      </c>
    </row>
    <row r="452" spans="1:8">
      <c r="A452" s="382" t="s">
        <v>7</v>
      </c>
      <c r="B452" s="382"/>
      <c r="C452" s="401" t="s">
        <v>375</v>
      </c>
      <c r="D452" s="401"/>
      <c r="E452" s="401" t="s">
        <v>376</v>
      </c>
      <c r="F452" s="401"/>
      <c r="G452" s="401"/>
    </row>
    <row r="463" spans="1:8" ht="17.25" customHeight="1">
      <c r="A463" s="383" t="s">
        <v>357</v>
      </c>
      <c r="B463" s="383"/>
      <c r="C463" s="383"/>
      <c r="D463" s="383"/>
      <c r="E463" s="383"/>
    </row>
    <row r="464" spans="1:8" ht="17.25" customHeight="1">
      <c r="A464" s="383" t="s">
        <v>498</v>
      </c>
      <c r="B464" s="383"/>
      <c r="C464" s="383"/>
      <c r="D464" s="383"/>
      <c r="E464" s="383"/>
    </row>
    <row r="465" spans="1:8" ht="17.25" customHeight="1" thickBot="1">
      <c r="A465" s="397" t="s">
        <v>105</v>
      </c>
      <c r="B465" s="397"/>
      <c r="C465" s="397"/>
      <c r="D465" s="397"/>
      <c r="E465" s="397"/>
      <c r="F465" s="53" t="s">
        <v>91</v>
      </c>
      <c r="G465" s="376">
        <f>تسعير!E34</f>
        <v>3.6889904170881982</v>
      </c>
    </row>
    <row r="466" spans="1:8" ht="21" customHeight="1">
      <c r="A466" s="61" t="s">
        <v>0</v>
      </c>
      <c r="B466" s="51" t="s">
        <v>77</v>
      </c>
      <c r="C466" s="51" t="s">
        <v>76</v>
      </c>
      <c r="D466" s="51" t="s">
        <v>79</v>
      </c>
      <c r="E466" s="51" t="s">
        <v>13</v>
      </c>
      <c r="F466" s="54" t="s">
        <v>83</v>
      </c>
      <c r="G466" s="71" t="s">
        <v>14</v>
      </c>
      <c r="H466" s="55" t="s">
        <v>78</v>
      </c>
    </row>
    <row r="467" spans="1:8" ht="21" customHeight="1">
      <c r="A467" s="26">
        <v>1</v>
      </c>
      <c r="B467" s="19" t="s">
        <v>81</v>
      </c>
      <c r="C467" s="4"/>
      <c r="D467" s="19"/>
      <c r="E467" s="116"/>
      <c r="F467" s="114">
        <f>E467/G3</f>
        <v>0</v>
      </c>
      <c r="G467" s="116"/>
      <c r="H467" s="115">
        <f>G467+F467</f>
        <v>0</v>
      </c>
    </row>
    <row r="468" spans="1:8" ht="21" customHeight="1">
      <c r="A468" s="26">
        <v>2</v>
      </c>
      <c r="B468" s="19"/>
      <c r="C468" s="19"/>
      <c r="D468" s="19"/>
      <c r="E468" s="116"/>
      <c r="F468" s="114">
        <f>E468/G3</f>
        <v>0</v>
      </c>
      <c r="G468" s="116"/>
      <c r="H468" s="115">
        <f t="shared" ref="H468:H491" si="11">G468+F468</f>
        <v>0</v>
      </c>
    </row>
    <row r="469" spans="1:8" ht="21" customHeight="1">
      <c r="A469" s="26">
        <v>3</v>
      </c>
      <c r="B469" s="19"/>
      <c r="C469" s="19"/>
      <c r="D469" s="19"/>
      <c r="E469" s="116"/>
      <c r="F469" s="114">
        <f>E469/G3</f>
        <v>0</v>
      </c>
      <c r="G469" s="116"/>
      <c r="H469" s="115">
        <f t="shared" si="11"/>
        <v>0</v>
      </c>
    </row>
    <row r="470" spans="1:8" ht="21" customHeight="1">
      <c r="A470" s="26">
        <v>4</v>
      </c>
      <c r="B470" s="19"/>
      <c r="C470" s="19"/>
      <c r="D470" s="19"/>
      <c r="E470" s="116"/>
      <c r="F470" s="114">
        <f>E470/G3</f>
        <v>0</v>
      </c>
      <c r="G470" s="116"/>
      <c r="H470" s="115">
        <f t="shared" si="11"/>
        <v>0</v>
      </c>
    </row>
    <row r="471" spans="1:8" ht="21" customHeight="1">
      <c r="A471" s="26">
        <v>5</v>
      </c>
      <c r="B471" s="19"/>
      <c r="C471" s="19"/>
      <c r="D471" s="19"/>
      <c r="E471" s="116"/>
      <c r="F471" s="114">
        <f>E471/G3</f>
        <v>0</v>
      </c>
      <c r="G471" s="116"/>
      <c r="H471" s="115">
        <f t="shared" si="11"/>
        <v>0</v>
      </c>
    </row>
    <row r="472" spans="1:8" ht="21" customHeight="1">
      <c r="A472" s="26">
        <v>6</v>
      </c>
      <c r="B472" s="19"/>
      <c r="C472" s="19"/>
      <c r="D472" s="19"/>
      <c r="E472" s="116"/>
      <c r="F472" s="114">
        <f>E472/G3</f>
        <v>0</v>
      </c>
      <c r="G472" s="116"/>
      <c r="H472" s="115">
        <f t="shared" si="11"/>
        <v>0</v>
      </c>
    </row>
    <row r="473" spans="1:8" ht="21" customHeight="1">
      <c r="A473" s="26">
        <v>7</v>
      </c>
      <c r="B473" s="19"/>
      <c r="C473" s="19"/>
      <c r="D473" s="19"/>
      <c r="E473" s="116"/>
      <c r="F473" s="114">
        <f>E473/G3</f>
        <v>0</v>
      </c>
      <c r="G473" s="116"/>
      <c r="H473" s="115">
        <f t="shared" si="11"/>
        <v>0</v>
      </c>
    </row>
    <row r="474" spans="1:8" ht="21" customHeight="1">
      <c r="A474" s="26">
        <v>8</v>
      </c>
      <c r="B474" s="19"/>
      <c r="C474" s="19"/>
      <c r="D474" s="19"/>
      <c r="E474" s="116"/>
      <c r="F474" s="114">
        <f>E474/G3</f>
        <v>0</v>
      </c>
      <c r="G474" s="116"/>
      <c r="H474" s="115">
        <f t="shared" si="11"/>
        <v>0</v>
      </c>
    </row>
    <row r="475" spans="1:8" ht="21" customHeight="1">
      <c r="A475" s="26">
        <v>9</v>
      </c>
      <c r="B475" s="19"/>
      <c r="C475" s="19"/>
      <c r="D475" s="19"/>
      <c r="E475" s="116"/>
      <c r="F475" s="114">
        <f>E475/G3</f>
        <v>0</v>
      </c>
      <c r="G475" s="116"/>
      <c r="H475" s="115">
        <f t="shared" si="11"/>
        <v>0</v>
      </c>
    </row>
    <row r="476" spans="1:8" ht="21" customHeight="1">
      <c r="A476" s="26">
        <v>10</v>
      </c>
      <c r="B476" s="19"/>
      <c r="C476" s="19"/>
      <c r="D476" s="19"/>
      <c r="E476" s="116"/>
      <c r="F476" s="114">
        <f>E476/G3</f>
        <v>0</v>
      </c>
      <c r="G476" s="116"/>
      <c r="H476" s="115">
        <f t="shared" si="11"/>
        <v>0</v>
      </c>
    </row>
    <row r="477" spans="1:8" ht="21" customHeight="1">
      <c r="A477" s="26">
        <v>11</v>
      </c>
      <c r="B477" s="19"/>
      <c r="C477" s="19"/>
      <c r="D477" s="19"/>
      <c r="E477" s="116"/>
      <c r="F477" s="114">
        <f>E477/G3</f>
        <v>0</v>
      </c>
      <c r="G477" s="116"/>
      <c r="H477" s="115">
        <f t="shared" si="11"/>
        <v>0</v>
      </c>
    </row>
    <row r="478" spans="1:8" ht="21" customHeight="1">
      <c r="A478" s="26">
        <v>12</v>
      </c>
      <c r="B478" s="19"/>
      <c r="C478" s="19"/>
      <c r="D478" s="19"/>
      <c r="E478" s="116"/>
      <c r="F478" s="114">
        <f>E478/G3</f>
        <v>0</v>
      </c>
      <c r="G478" s="116"/>
      <c r="H478" s="115">
        <f t="shared" si="11"/>
        <v>0</v>
      </c>
    </row>
    <row r="479" spans="1:8" ht="21" customHeight="1">
      <c r="A479" s="26">
        <v>13</v>
      </c>
      <c r="B479" s="19"/>
      <c r="C479" s="19"/>
      <c r="D479" s="19"/>
      <c r="E479" s="116"/>
      <c r="F479" s="114">
        <f>E479/G3</f>
        <v>0</v>
      </c>
      <c r="G479" s="116"/>
      <c r="H479" s="115">
        <f t="shared" si="11"/>
        <v>0</v>
      </c>
    </row>
    <row r="480" spans="1:8" ht="21" customHeight="1">
      <c r="A480" s="26">
        <v>14</v>
      </c>
      <c r="B480" s="19"/>
      <c r="C480" s="19"/>
      <c r="D480" s="19"/>
      <c r="E480" s="116"/>
      <c r="F480" s="114">
        <f>E480/G3</f>
        <v>0</v>
      </c>
      <c r="G480" s="116"/>
      <c r="H480" s="115">
        <f t="shared" si="11"/>
        <v>0</v>
      </c>
    </row>
    <row r="481" spans="1:8" ht="21" customHeight="1">
      <c r="A481" s="26">
        <v>15</v>
      </c>
      <c r="B481" s="19"/>
      <c r="C481" s="19"/>
      <c r="D481" s="19"/>
      <c r="E481" s="116"/>
      <c r="F481" s="114">
        <f>E481/G3</f>
        <v>0</v>
      </c>
      <c r="G481" s="116"/>
      <c r="H481" s="115">
        <f t="shared" si="11"/>
        <v>0</v>
      </c>
    </row>
    <row r="482" spans="1:8" ht="21" customHeight="1">
      <c r="A482" s="26">
        <v>16</v>
      </c>
      <c r="B482" s="19"/>
      <c r="C482" s="19"/>
      <c r="D482" s="19"/>
      <c r="E482" s="116"/>
      <c r="F482" s="114">
        <f>E482/G3</f>
        <v>0</v>
      </c>
      <c r="G482" s="116"/>
      <c r="H482" s="115">
        <f t="shared" si="11"/>
        <v>0</v>
      </c>
    </row>
    <row r="483" spans="1:8" ht="21" customHeight="1">
      <c r="A483" s="26">
        <v>17</v>
      </c>
      <c r="B483" s="19"/>
      <c r="C483" s="19"/>
      <c r="D483" s="19"/>
      <c r="E483" s="116"/>
      <c r="F483" s="114">
        <f>E483/G3</f>
        <v>0</v>
      </c>
      <c r="G483" s="116"/>
      <c r="H483" s="115">
        <f t="shared" si="11"/>
        <v>0</v>
      </c>
    </row>
    <row r="484" spans="1:8" ht="21" customHeight="1">
      <c r="A484" s="26">
        <v>18</v>
      </c>
      <c r="B484" s="19"/>
      <c r="C484" s="19"/>
      <c r="D484" s="19"/>
      <c r="E484" s="116"/>
      <c r="F484" s="114">
        <f>E484/G3</f>
        <v>0</v>
      </c>
      <c r="G484" s="116"/>
      <c r="H484" s="115">
        <f t="shared" si="11"/>
        <v>0</v>
      </c>
    </row>
    <row r="485" spans="1:8" ht="21" customHeight="1">
      <c r="A485" s="26">
        <v>19</v>
      </c>
      <c r="B485" s="19"/>
      <c r="C485" s="19"/>
      <c r="D485" s="19"/>
      <c r="E485" s="116"/>
      <c r="F485" s="114">
        <f>E485/G3</f>
        <v>0</v>
      </c>
      <c r="G485" s="116"/>
      <c r="H485" s="115">
        <f t="shared" si="11"/>
        <v>0</v>
      </c>
    </row>
    <row r="486" spans="1:8" ht="21" customHeight="1">
      <c r="A486" s="26">
        <v>20</v>
      </c>
      <c r="B486" s="19"/>
      <c r="C486" s="19"/>
      <c r="D486" s="19"/>
      <c r="E486" s="116"/>
      <c r="F486" s="114">
        <f>E486/G3</f>
        <v>0</v>
      </c>
      <c r="G486" s="116"/>
      <c r="H486" s="115">
        <f t="shared" si="11"/>
        <v>0</v>
      </c>
    </row>
    <row r="487" spans="1:8" ht="21" customHeight="1">
      <c r="A487" s="26">
        <v>21</v>
      </c>
      <c r="B487" s="19"/>
      <c r="C487" s="19"/>
      <c r="D487" s="19"/>
      <c r="E487" s="116"/>
      <c r="F487" s="114">
        <f>E487/G3</f>
        <v>0</v>
      </c>
      <c r="G487" s="116"/>
      <c r="H487" s="115">
        <f t="shared" si="11"/>
        <v>0</v>
      </c>
    </row>
    <row r="488" spans="1:8" ht="21" customHeight="1">
      <c r="A488" s="26">
        <v>22</v>
      </c>
      <c r="B488" s="19"/>
      <c r="C488" s="19"/>
      <c r="D488" s="19"/>
      <c r="E488" s="116"/>
      <c r="F488" s="114">
        <f>E488/G3</f>
        <v>0</v>
      </c>
      <c r="G488" s="116"/>
      <c r="H488" s="115">
        <f t="shared" si="11"/>
        <v>0</v>
      </c>
    </row>
    <row r="489" spans="1:8" ht="21" customHeight="1">
      <c r="A489" s="26">
        <v>23</v>
      </c>
      <c r="B489" s="19"/>
      <c r="C489" s="19"/>
      <c r="D489" s="19"/>
      <c r="E489" s="116"/>
      <c r="F489" s="114">
        <f>E489/G3</f>
        <v>0</v>
      </c>
      <c r="G489" s="116"/>
      <c r="H489" s="115">
        <f t="shared" si="11"/>
        <v>0</v>
      </c>
    </row>
    <row r="490" spans="1:8" ht="21" customHeight="1">
      <c r="A490" s="26">
        <v>24</v>
      </c>
      <c r="B490" s="19"/>
      <c r="C490" s="19"/>
      <c r="D490" s="19"/>
      <c r="E490" s="116"/>
      <c r="F490" s="114">
        <f>E490/G3</f>
        <v>0</v>
      </c>
      <c r="G490" s="116"/>
      <c r="H490" s="115">
        <f t="shared" si="11"/>
        <v>0</v>
      </c>
    </row>
    <row r="491" spans="1:8" ht="21" customHeight="1">
      <c r="A491" s="26">
        <v>25</v>
      </c>
      <c r="B491" s="19"/>
      <c r="C491" s="19"/>
      <c r="D491" s="19"/>
      <c r="E491" s="116"/>
      <c r="F491" s="114">
        <f>E491/G3</f>
        <v>0</v>
      </c>
      <c r="G491" s="116"/>
      <c r="H491" s="115">
        <f t="shared" si="11"/>
        <v>0</v>
      </c>
    </row>
    <row r="492" spans="1:8" ht="21" customHeight="1" thickBot="1">
      <c r="A492" s="398" t="s">
        <v>4</v>
      </c>
      <c r="B492" s="399"/>
      <c r="C492" s="399"/>
      <c r="D492" s="400"/>
      <c r="E492" s="118">
        <f>SUM(E467:E491)</f>
        <v>0</v>
      </c>
      <c r="F492" s="118">
        <f>E492/G3</f>
        <v>0</v>
      </c>
      <c r="G492" s="118">
        <f>SUM(G467:G491)</f>
        <v>0</v>
      </c>
      <c r="H492" s="119">
        <f>SUM(H467:H491)</f>
        <v>0</v>
      </c>
    </row>
    <row r="494" spans="1:8">
      <c r="A494" s="382" t="s">
        <v>7</v>
      </c>
      <c r="B494" s="382"/>
      <c r="C494" s="401" t="s">
        <v>375</v>
      </c>
      <c r="D494" s="401"/>
      <c r="E494" s="401" t="s">
        <v>376</v>
      </c>
      <c r="F494" s="401"/>
      <c r="G494" s="401"/>
    </row>
  </sheetData>
  <mergeCells count="104">
    <mergeCell ref="A1:E1"/>
    <mergeCell ref="A2:E2"/>
    <mergeCell ref="A3:E3"/>
    <mergeCell ref="A43:E43"/>
    <mergeCell ref="A44:E44"/>
    <mergeCell ref="A127:E127"/>
    <mergeCell ref="A72:D72"/>
    <mergeCell ref="A74:B74"/>
    <mergeCell ref="C74:D74"/>
    <mergeCell ref="E74:G74"/>
    <mergeCell ref="A85:E85"/>
    <mergeCell ref="A86:E86"/>
    <mergeCell ref="F86:G86"/>
    <mergeCell ref="F43:G43"/>
    <mergeCell ref="F44:G44"/>
    <mergeCell ref="A45:E45"/>
    <mergeCell ref="A30:D30"/>
    <mergeCell ref="A32:B32"/>
    <mergeCell ref="C32:D32"/>
    <mergeCell ref="E32:G32"/>
    <mergeCell ref="J2:L2"/>
    <mergeCell ref="J1:L1"/>
    <mergeCell ref="J3:L3"/>
    <mergeCell ref="J4:L4"/>
    <mergeCell ref="J5:L5"/>
    <mergeCell ref="A242:B242"/>
    <mergeCell ref="C242:D242"/>
    <mergeCell ref="E242:G242"/>
    <mergeCell ref="J6:L6"/>
    <mergeCell ref="J7:L7"/>
    <mergeCell ref="J8:L8"/>
    <mergeCell ref="J9:L9"/>
    <mergeCell ref="J10:L10"/>
    <mergeCell ref="J11:L11"/>
    <mergeCell ref="A169:E169"/>
    <mergeCell ref="A170:E170"/>
    <mergeCell ref="A171:E171"/>
    <mergeCell ref="A198:D198"/>
    <mergeCell ref="A200:B200"/>
    <mergeCell ref="C200:D200"/>
    <mergeCell ref="E200:G200"/>
    <mergeCell ref="J12:L12"/>
    <mergeCell ref="A211:E211"/>
    <mergeCell ref="A212:E212"/>
    <mergeCell ref="A213:E213"/>
    <mergeCell ref="A240:D240"/>
    <mergeCell ref="A128:E128"/>
    <mergeCell ref="A129:E129"/>
    <mergeCell ref="A156:D156"/>
    <mergeCell ref="A158:B158"/>
    <mergeCell ref="C158:D158"/>
    <mergeCell ref="E158:G158"/>
    <mergeCell ref="A87:E87"/>
    <mergeCell ref="A114:D114"/>
    <mergeCell ref="A116:B116"/>
    <mergeCell ref="C116:D116"/>
    <mergeCell ref="E116:G116"/>
    <mergeCell ref="F128:G128"/>
    <mergeCell ref="F170:G170"/>
    <mergeCell ref="A253:E253"/>
    <mergeCell ref="A254:E254"/>
    <mergeCell ref="A255:E255"/>
    <mergeCell ref="A282:D282"/>
    <mergeCell ref="A284:B284"/>
    <mergeCell ref="C284:D284"/>
    <mergeCell ref="E284:G284"/>
    <mergeCell ref="A295:E295"/>
    <mergeCell ref="A296:E296"/>
    <mergeCell ref="C410:D410"/>
    <mergeCell ref="E410:G410"/>
    <mergeCell ref="F380:G380"/>
    <mergeCell ref="A297:E297"/>
    <mergeCell ref="A324:D324"/>
    <mergeCell ref="A326:B326"/>
    <mergeCell ref="C326:D326"/>
    <mergeCell ref="E326:G326"/>
    <mergeCell ref="A337:E337"/>
    <mergeCell ref="A338:E338"/>
    <mergeCell ref="A339:E339"/>
    <mergeCell ref="A366:D366"/>
    <mergeCell ref="A465:E465"/>
    <mergeCell ref="A492:D492"/>
    <mergeCell ref="A494:B494"/>
    <mergeCell ref="C494:D494"/>
    <mergeCell ref="E494:G494"/>
    <mergeCell ref="F296:G296"/>
    <mergeCell ref="A421:E421"/>
    <mergeCell ref="A422:E422"/>
    <mergeCell ref="A423:E423"/>
    <mergeCell ref="A450:D450"/>
    <mergeCell ref="A452:B452"/>
    <mergeCell ref="C452:D452"/>
    <mergeCell ref="E452:G452"/>
    <mergeCell ref="A463:E463"/>
    <mergeCell ref="A464:E464"/>
    <mergeCell ref="A368:B368"/>
    <mergeCell ref="C368:D368"/>
    <mergeCell ref="E368:G368"/>
    <mergeCell ref="F338:G338"/>
    <mergeCell ref="A379:E379"/>
    <mergeCell ref="A380:E380"/>
    <mergeCell ref="A381:E381"/>
    <mergeCell ref="A408:D408"/>
    <mergeCell ref="A410:B410"/>
  </mergeCells>
  <hyperlinks>
    <hyperlink ref="J2:L2" location="'ريز جاري'!A45" display="حقوق،بازخريدي و...كاركنان بومي"/>
    <hyperlink ref="A45:E45" location="'ريز جاري'!A1" display="هزينه جاري:حقوق، بازخريدي و...كاركنان بومي"/>
    <hyperlink ref="J3:L3" location="'ريز جاري'!A87" display="خريد اقلام مصرفي"/>
    <hyperlink ref="A87:E87" location="'ريز جاري'!A1" display="هزينه جاري:خريد اقلام مصرفي"/>
    <hyperlink ref="J4:L4" location="'ريز جاري'!A129" display="هزينه آب برق گاز و ساير سوخت ها"/>
    <hyperlink ref="A129:E129" location="'ريز جاري'!A1" display="هزينه جاري:هزينه آب برق گاز و ساير سوخت ها"/>
    <hyperlink ref="J5:L5" location="'ريز جاري'!A171" display="تعمير و نگهداري خودرو"/>
    <hyperlink ref="A171:E171" location="'ريز جاري'!A1" display="هزينه جاري:تعمير و نگهداري خودرو"/>
    <hyperlink ref="J6:L6" location="'ريز جاري'!A213" display="ترميم و نگهداري جزئي ساختمان"/>
    <hyperlink ref="A213:E213" location="'ريز جاري'!A1" display="هزينه جاري:ترميم و نگهداري جزئي ساختمان"/>
    <hyperlink ref="J7:L7" location="'ريز جاري'!A255" display="حمل و نقل و ارتباطات"/>
    <hyperlink ref="A255:E255" location="'ريز جاري'!A1" display="هزينه جاري:حمل و نقل و ارتباطات"/>
    <hyperlink ref="J8:L8" location="'ريز جاري'!A297" display="تلفن،فاكس و اينترنت"/>
    <hyperlink ref="A297:E297" location="'ريز جاري'!A1" display="هزينه جاري:تلفن،فاكس و اينترنت"/>
    <hyperlink ref="J9:L9" location="'ريز جاري'!A339" display="هزينه اجاره ساختمان نمايندگي"/>
    <hyperlink ref="J10:L10" location="'ريز جاري'!A381" display="كمك هزينه درمان و بيمه كاركنان"/>
    <hyperlink ref="J11:L11" location="'ريز جاري'!A428" display="هزينه هاي خارج از مصوب و تخصيص"/>
    <hyperlink ref="J12:L12" location="'ريز جاري'!A465" display="هزينه هاي پيش بيني نشده"/>
    <hyperlink ref="A465:E465" location="'ريز جاري'!A1" display="هزينه هاي جاري: پيش بيني نشده"/>
    <hyperlink ref="A423:E423" location="'ريز جاري'!A1" display="هزينه هاي جاري: خارج از مصوب و تخصيص"/>
    <hyperlink ref="A381:E381" location="'ريز جاري'!A1" display="هزينه جاري:كمك هزينه درمان و بيمه كاركنان"/>
    <hyperlink ref="A339:E339" location="'ريز جاري'!A1" display="هزينه جاري:اجاره ساختمان نمايندگي"/>
    <hyperlink ref="J1:L1" location="'ريز جاري'!A1" display="هزينه بانكي(كارمزد)"/>
    <hyperlink ref="A3:E3" location="Sheet2!A1" display="هزينه بانكي(كارمزد)"/>
  </hyperlinks>
  <pageMargins left="0.39370078740157483" right="0.59055118110236227" top="0.39370078740157483" bottom="0.39370078740157483" header="0.31496062992125984" footer="0.31496062992125984"/>
  <pageSetup paperSize="9" orientation="portrait" verticalDpi="300" r:id="rId1"/>
</worksheet>
</file>

<file path=xl/worksheets/sheet3.xml><?xml version="1.0" encoding="utf-8"?>
<worksheet xmlns="http://schemas.openxmlformats.org/spreadsheetml/2006/main" xmlns:r="http://schemas.openxmlformats.org/officeDocument/2006/relationships">
  <sheetPr>
    <tabColor rgb="FF92D050"/>
  </sheetPr>
  <dimension ref="A1:N410"/>
  <sheetViews>
    <sheetView rightToLeft="1" topLeftCell="A358" zoomScaleNormal="100" workbookViewId="0">
      <selection activeCell="G381" sqref="G381"/>
    </sheetView>
  </sheetViews>
  <sheetFormatPr defaultRowHeight="15"/>
  <cols>
    <col min="1" max="1" width="4.7109375" customWidth="1"/>
    <col min="2" max="2" width="9.7109375" customWidth="1"/>
    <col min="3" max="3" width="30.7109375" customWidth="1"/>
    <col min="4" max="4" width="4.7109375" style="5" customWidth="1"/>
    <col min="5" max="8" width="10.7109375" style="5" customWidth="1"/>
    <col min="9" max="9" width="1.5703125" customWidth="1"/>
  </cols>
  <sheetData>
    <row r="1" spans="1:14" ht="17.25" customHeight="1">
      <c r="A1" s="383" t="s">
        <v>329</v>
      </c>
      <c r="B1" s="403"/>
      <c r="C1" s="403"/>
      <c r="D1" s="403"/>
      <c r="E1" s="403"/>
      <c r="F1" s="52"/>
      <c r="G1" s="52"/>
      <c r="H1" s="52"/>
      <c r="J1" s="408" t="s">
        <v>106</v>
      </c>
      <c r="K1" s="408"/>
      <c r="L1" s="408"/>
      <c r="M1" s="409"/>
    </row>
    <row r="2" spans="1:14" ht="17.25" customHeight="1">
      <c r="A2" s="383" t="s">
        <v>498</v>
      </c>
      <c r="B2" s="403"/>
      <c r="C2" s="403"/>
      <c r="D2" s="403"/>
      <c r="E2" s="403"/>
      <c r="F2" s="52"/>
      <c r="G2" s="52"/>
      <c r="H2" s="52"/>
      <c r="J2" s="408" t="s">
        <v>472</v>
      </c>
      <c r="K2" s="408"/>
      <c r="L2" s="408"/>
      <c r="M2" s="409"/>
      <c r="N2" s="409"/>
    </row>
    <row r="3" spans="1:14" ht="17.25" customHeight="1" thickBot="1">
      <c r="A3" s="397" t="s">
        <v>107</v>
      </c>
      <c r="B3" s="397"/>
      <c r="C3" s="397"/>
      <c r="D3" s="397"/>
      <c r="E3" s="397"/>
      <c r="F3" s="53" t="s">
        <v>91</v>
      </c>
      <c r="G3" s="376">
        <f>تسعير!E34</f>
        <v>3.6889904170881982</v>
      </c>
      <c r="H3" s="52"/>
      <c r="J3" s="410" t="s">
        <v>279</v>
      </c>
      <c r="K3" s="410"/>
      <c r="L3" s="410"/>
      <c r="M3" s="409"/>
    </row>
    <row r="4" spans="1:14" ht="21" customHeight="1" thickBot="1">
      <c r="A4" s="102" t="s">
        <v>0</v>
      </c>
      <c r="B4" s="90" t="s">
        <v>77</v>
      </c>
      <c r="C4" s="90" t="s">
        <v>76</v>
      </c>
      <c r="D4" s="90" t="s">
        <v>79</v>
      </c>
      <c r="E4" s="90" t="s">
        <v>13</v>
      </c>
      <c r="F4" s="145" t="s">
        <v>83</v>
      </c>
      <c r="G4" s="145" t="s">
        <v>14</v>
      </c>
      <c r="H4" s="146" t="s">
        <v>78</v>
      </c>
      <c r="J4" s="411" t="s">
        <v>282</v>
      </c>
      <c r="K4" s="411"/>
      <c r="L4" s="411"/>
      <c r="M4" s="409"/>
    </row>
    <row r="5" spans="1:14" ht="21" customHeight="1">
      <c r="A5" s="160">
        <v>1</v>
      </c>
      <c r="B5" s="158"/>
      <c r="C5" s="161"/>
      <c r="D5" s="158"/>
      <c r="E5" s="151"/>
      <c r="F5" s="327">
        <f>E5/G3</f>
        <v>0</v>
      </c>
      <c r="G5" s="328"/>
      <c r="H5" s="329">
        <f>G5+F5</f>
        <v>0</v>
      </c>
      <c r="J5" s="410" t="s">
        <v>287</v>
      </c>
      <c r="K5" s="410"/>
      <c r="L5" s="410"/>
      <c r="M5" s="409"/>
      <c r="N5" s="409"/>
    </row>
    <row r="6" spans="1:14" ht="21" customHeight="1">
      <c r="A6" s="83">
        <v>2</v>
      </c>
      <c r="B6" s="19"/>
      <c r="C6" s="60"/>
      <c r="D6" s="19"/>
      <c r="E6" s="93"/>
      <c r="F6" s="114">
        <f>E6/G3</f>
        <v>0</v>
      </c>
      <c r="G6" s="116"/>
      <c r="H6" s="115">
        <f t="shared" ref="H6:H29" si="0">G6+F6</f>
        <v>0</v>
      </c>
      <c r="J6" s="410" t="s">
        <v>291</v>
      </c>
      <c r="K6" s="410"/>
      <c r="L6" s="410"/>
      <c r="M6" s="409"/>
    </row>
    <row r="7" spans="1:14" ht="21" customHeight="1">
      <c r="A7" s="83">
        <v>3</v>
      </c>
      <c r="B7" s="19"/>
      <c r="C7" s="60"/>
      <c r="D7" s="19"/>
      <c r="E7" s="93"/>
      <c r="F7" s="114">
        <f>E7/G3</f>
        <v>0</v>
      </c>
      <c r="G7" s="116"/>
      <c r="H7" s="115">
        <f t="shared" si="0"/>
        <v>0</v>
      </c>
      <c r="J7" s="410" t="s">
        <v>297</v>
      </c>
      <c r="K7" s="410"/>
      <c r="L7" s="410"/>
      <c r="M7" s="409"/>
      <c r="N7" s="409"/>
    </row>
    <row r="8" spans="1:14" ht="21" customHeight="1">
      <c r="A8" s="83">
        <v>4</v>
      </c>
      <c r="B8" s="19"/>
      <c r="C8" s="60"/>
      <c r="D8" s="19"/>
      <c r="E8" s="93"/>
      <c r="F8" s="114">
        <f>E8/G3</f>
        <v>0</v>
      </c>
      <c r="G8" s="116"/>
      <c r="H8" s="115">
        <f t="shared" si="0"/>
        <v>0</v>
      </c>
      <c r="J8" s="410" t="s">
        <v>307</v>
      </c>
      <c r="K8" s="410"/>
      <c r="L8" s="410"/>
      <c r="M8" s="409"/>
      <c r="N8" s="409"/>
    </row>
    <row r="9" spans="1:14" ht="21" customHeight="1">
      <c r="A9" s="83">
        <v>5</v>
      </c>
      <c r="B9" s="19"/>
      <c r="C9" s="60"/>
      <c r="D9" s="19"/>
      <c r="E9" s="93"/>
      <c r="F9" s="114">
        <f>E9/G3</f>
        <v>0</v>
      </c>
      <c r="G9" s="116"/>
      <c r="H9" s="115">
        <f t="shared" si="0"/>
        <v>0</v>
      </c>
      <c r="J9" s="410" t="s">
        <v>313</v>
      </c>
      <c r="K9" s="410"/>
      <c r="L9" s="410"/>
      <c r="M9" s="409"/>
      <c r="N9" s="409"/>
    </row>
    <row r="10" spans="1:14" ht="21" customHeight="1">
      <c r="A10" s="83">
        <v>6</v>
      </c>
      <c r="B10" s="19"/>
      <c r="C10" s="60"/>
      <c r="D10" s="19"/>
      <c r="E10" s="93"/>
      <c r="F10" s="114">
        <f>E10/G3</f>
        <v>0</v>
      </c>
      <c r="G10" s="116"/>
      <c r="H10" s="115">
        <f t="shared" si="0"/>
        <v>0</v>
      </c>
      <c r="J10" s="410" t="s">
        <v>327</v>
      </c>
      <c r="K10" s="410"/>
      <c r="L10" s="410"/>
      <c r="M10" s="409"/>
      <c r="N10" s="409"/>
    </row>
    <row r="11" spans="1:14" ht="21" customHeight="1">
      <c r="A11" s="83">
        <v>7</v>
      </c>
      <c r="B11" s="19"/>
      <c r="C11" s="19"/>
      <c r="D11" s="19"/>
      <c r="E11" s="93"/>
      <c r="F11" s="114">
        <f>E11/G3</f>
        <v>0</v>
      </c>
      <c r="G11" s="116"/>
      <c r="H11" s="115">
        <f t="shared" si="0"/>
        <v>0</v>
      </c>
    </row>
    <row r="12" spans="1:14" ht="21" customHeight="1">
      <c r="A12" s="83">
        <v>8</v>
      </c>
      <c r="B12" s="19"/>
      <c r="C12" s="19"/>
      <c r="D12" s="19"/>
      <c r="E12" s="93"/>
      <c r="F12" s="114">
        <f>E12/G3</f>
        <v>0</v>
      </c>
      <c r="G12" s="116"/>
      <c r="H12" s="115">
        <f t="shared" si="0"/>
        <v>0</v>
      </c>
    </row>
    <row r="13" spans="1:14" ht="21" customHeight="1">
      <c r="A13" s="83">
        <v>9</v>
      </c>
      <c r="B13" s="19"/>
      <c r="C13" s="19"/>
      <c r="D13" s="19"/>
      <c r="E13" s="93"/>
      <c r="F13" s="114">
        <f>E13/G3</f>
        <v>0</v>
      </c>
      <c r="G13" s="116"/>
      <c r="H13" s="115">
        <f t="shared" si="0"/>
        <v>0</v>
      </c>
    </row>
    <row r="14" spans="1:14" ht="21" customHeight="1">
      <c r="A14" s="83">
        <v>10</v>
      </c>
      <c r="B14" s="19"/>
      <c r="C14" s="19"/>
      <c r="D14" s="19"/>
      <c r="E14" s="93"/>
      <c r="F14" s="114">
        <f>E14/G3</f>
        <v>0</v>
      </c>
      <c r="G14" s="116"/>
      <c r="H14" s="115">
        <f t="shared" si="0"/>
        <v>0</v>
      </c>
    </row>
    <row r="15" spans="1:14" ht="21" customHeight="1">
      <c r="A15" s="83">
        <v>11</v>
      </c>
      <c r="B15" s="19"/>
      <c r="C15" s="19"/>
      <c r="D15" s="19"/>
      <c r="E15" s="93"/>
      <c r="F15" s="114">
        <f>E15/G3</f>
        <v>0</v>
      </c>
      <c r="G15" s="116"/>
      <c r="H15" s="115">
        <f t="shared" si="0"/>
        <v>0</v>
      </c>
    </row>
    <row r="16" spans="1:14" ht="21" customHeight="1">
      <c r="A16" s="83">
        <v>12</v>
      </c>
      <c r="B16" s="19"/>
      <c r="C16" s="19"/>
      <c r="D16" s="19"/>
      <c r="E16" s="93"/>
      <c r="F16" s="114">
        <f>E16/G3</f>
        <v>0</v>
      </c>
      <c r="G16" s="116"/>
      <c r="H16" s="115">
        <f t="shared" si="0"/>
        <v>0</v>
      </c>
    </row>
    <row r="17" spans="1:8" ht="21" customHeight="1">
      <c r="A17" s="83">
        <v>13</v>
      </c>
      <c r="B17" s="19"/>
      <c r="C17" s="19"/>
      <c r="D17" s="19"/>
      <c r="E17" s="93"/>
      <c r="F17" s="114">
        <f>E17/G3</f>
        <v>0</v>
      </c>
      <c r="G17" s="116"/>
      <c r="H17" s="115">
        <f t="shared" si="0"/>
        <v>0</v>
      </c>
    </row>
    <row r="18" spans="1:8" ht="21" customHeight="1">
      <c r="A18" s="83">
        <v>14</v>
      </c>
      <c r="B18" s="19"/>
      <c r="C18" s="19"/>
      <c r="D18" s="19"/>
      <c r="E18" s="93"/>
      <c r="F18" s="114">
        <f>E18/G3</f>
        <v>0</v>
      </c>
      <c r="G18" s="116"/>
      <c r="H18" s="115">
        <f t="shared" si="0"/>
        <v>0</v>
      </c>
    </row>
    <row r="19" spans="1:8" ht="21" customHeight="1">
      <c r="A19" s="83">
        <v>15</v>
      </c>
      <c r="B19" s="19"/>
      <c r="C19" s="19"/>
      <c r="D19" s="19"/>
      <c r="E19" s="93"/>
      <c r="F19" s="114">
        <f>E19/G3</f>
        <v>0</v>
      </c>
      <c r="G19" s="116"/>
      <c r="H19" s="115">
        <f t="shared" si="0"/>
        <v>0</v>
      </c>
    </row>
    <row r="20" spans="1:8" ht="21" customHeight="1">
      <c r="A20" s="83">
        <v>16</v>
      </c>
      <c r="B20" s="19"/>
      <c r="C20" s="19"/>
      <c r="D20" s="19"/>
      <c r="E20" s="93"/>
      <c r="F20" s="114">
        <f>E20/G3</f>
        <v>0</v>
      </c>
      <c r="G20" s="116"/>
      <c r="H20" s="115">
        <f t="shared" si="0"/>
        <v>0</v>
      </c>
    </row>
    <row r="21" spans="1:8" ht="21" customHeight="1">
      <c r="A21" s="83">
        <v>17</v>
      </c>
      <c r="B21" s="19"/>
      <c r="C21" s="19"/>
      <c r="D21" s="19"/>
      <c r="E21" s="93"/>
      <c r="F21" s="114">
        <f>E21/G3</f>
        <v>0</v>
      </c>
      <c r="G21" s="116"/>
      <c r="H21" s="115">
        <f t="shared" si="0"/>
        <v>0</v>
      </c>
    </row>
    <row r="22" spans="1:8" ht="21" customHeight="1">
      <c r="A22" s="83">
        <v>18</v>
      </c>
      <c r="B22" s="19"/>
      <c r="C22" s="19"/>
      <c r="D22" s="19"/>
      <c r="E22" s="93"/>
      <c r="F22" s="114">
        <f>E22/G3</f>
        <v>0</v>
      </c>
      <c r="G22" s="116"/>
      <c r="H22" s="115">
        <f t="shared" si="0"/>
        <v>0</v>
      </c>
    </row>
    <row r="23" spans="1:8" ht="21" customHeight="1">
      <c r="A23" s="83">
        <v>19</v>
      </c>
      <c r="B23" s="19"/>
      <c r="C23" s="19"/>
      <c r="D23" s="19"/>
      <c r="E23" s="93"/>
      <c r="F23" s="114">
        <f>E23/G3</f>
        <v>0</v>
      </c>
      <c r="G23" s="116"/>
      <c r="H23" s="115">
        <f t="shared" si="0"/>
        <v>0</v>
      </c>
    </row>
    <row r="24" spans="1:8" ht="21" customHeight="1">
      <c r="A24" s="83">
        <v>20</v>
      </c>
      <c r="B24" s="19"/>
      <c r="C24" s="19"/>
      <c r="D24" s="19"/>
      <c r="E24" s="93"/>
      <c r="F24" s="114">
        <f>E24/G3</f>
        <v>0</v>
      </c>
      <c r="G24" s="116"/>
      <c r="H24" s="115">
        <f t="shared" si="0"/>
        <v>0</v>
      </c>
    </row>
    <row r="25" spans="1:8" ht="21" customHeight="1">
      <c r="A25" s="83">
        <v>21</v>
      </c>
      <c r="B25" s="19"/>
      <c r="C25" s="19"/>
      <c r="D25" s="19"/>
      <c r="E25" s="93"/>
      <c r="F25" s="114">
        <f>E25/G3</f>
        <v>0</v>
      </c>
      <c r="G25" s="116"/>
      <c r="H25" s="115">
        <f t="shared" si="0"/>
        <v>0</v>
      </c>
    </row>
    <row r="26" spans="1:8" ht="21" customHeight="1">
      <c r="A26" s="83">
        <v>22</v>
      </c>
      <c r="B26" s="19"/>
      <c r="C26" s="19"/>
      <c r="D26" s="19"/>
      <c r="E26" s="93"/>
      <c r="F26" s="114">
        <f>E26/G3</f>
        <v>0</v>
      </c>
      <c r="G26" s="116"/>
      <c r="H26" s="115">
        <f t="shared" si="0"/>
        <v>0</v>
      </c>
    </row>
    <row r="27" spans="1:8" ht="21" customHeight="1">
      <c r="A27" s="83">
        <v>23</v>
      </c>
      <c r="B27" s="19"/>
      <c r="C27" s="19"/>
      <c r="D27" s="19"/>
      <c r="E27" s="93"/>
      <c r="F27" s="114">
        <f>E27/G3</f>
        <v>0</v>
      </c>
      <c r="G27" s="116"/>
      <c r="H27" s="115">
        <f t="shared" si="0"/>
        <v>0</v>
      </c>
    </row>
    <row r="28" spans="1:8" ht="21" customHeight="1">
      <c r="A28" s="83">
        <v>24</v>
      </c>
      <c r="B28" s="19"/>
      <c r="C28" s="19"/>
      <c r="D28" s="19"/>
      <c r="E28" s="93"/>
      <c r="F28" s="114">
        <f>E28/G3</f>
        <v>0</v>
      </c>
      <c r="G28" s="116"/>
      <c r="H28" s="115">
        <f t="shared" si="0"/>
        <v>0</v>
      </c>
    </row>
    <row r="29" spans="1:8" ht="21" customHeight="1">
      <c r="A29" s="83">
        <v>25</v>
      </c>
      <c r="B29" s="19"/>
      <c r="C29" s="19"/>
      <c r="D29" s="19"/>
      <c r="E29" s="93"/>
      <c r="F29" s="114">
        <f>E29/G3</f>
        <v>0</v>
      </c>
      <c r="G29" s="116"/>
      <c r="H29" s="115">
        <f t="shared" si="0"/>
        <v>0</v>
      </c>
    </row>
    <row r="30" spans="1:8" ht="21" customHeight="1" thickBot="1">
      <c r="A30" s="398" t="s">
        <v>4</v>
      </c>
      <c r="B30" s="399"/>
      <c r="C30" s="399"/>
      <c r="D30" s="400"/>
      <c r="E30" s="112">
        <f>SUM(E5:E29)</f>
        <v>0</v>
      </c>
      <c r="F30" s="118">
        <f>E30/G3</f>
        <v>0</v>
      </c>
      <c r="G30" s="118">
        <f>SUM(G5:G29)</f>
        <v>0</v>
      </c>
      <c r="H30" s="119">
        <f>SUM(H5:H29)</f>
        <v>0</v>
      </c>
    </row>
    <row r="32" spans="1:8">
      <c r="A32" s="382" t="s">
        <v>7</v>
      </c>
      <c r="B32" s="382"/>
      <c r="C32" s="401" t="s">
        <v>8</v>
      </c>
      <c r="D32" s="401"/>
      <c r="E32" s="401" t="s">
        <v>80</v>
      </c>
      <c r="F32" s="401"/>
      <c r="G32" s="401"/>
      <c r="H32" s="52"/>
    </row>
    <row r="43" spans="1:8" ht="17.25" customHeight="1">
      <c r="A43" s="383" t="s">
        <v>329</v>
      </c>
      <c r="B43" s="403"/>
      <c r="C43" s="403"/>
      <c r="D43" s="403"/>
      <c r="E43" s="403"/>
      <c r="F43" s="52"/>
      <c r="G43" s="52"/>
      <c r="H43" s="52"/>
    </row>
    <row r="44" spans="1:8" ht="17.25" customHeight="1">
      <c r="A44" s="383" t="s">
        <v>498</v>
      </c>
      <c r="B44" s="403"/>
      <c r="C44" s="403"/>
      <c r="D44" s="403"/>
      <c r="E44" s="403"/>
      <c r="F44" s="407" t="s">
        <v>506</v>
      </c>
      <c r="G44" s="407"/>
      <c r="H44" s="52"/>
    </row>
    <row r="45" spans="1:8" ht="17.25" customHeight="1" thickBot="1">
      <c r="A45" s="397" t="s">
        <v>471</v>
      </c>
      <c r="B45" s="397"/>
      <c r="C45" s="397"/>
      <c r="D45" s="397"/>
      <c r="E45" s="397"/>
      <c r="F45" s="53" t="s">
        <v>91</v>
      </c>
      <c r="G45" s="376">
        <f>تسعير!E34</f>
        <v>3.6889904170881982</v>
      </c>
      <c r="H45" s="52"/>
    </row>
    <row r="46" spans="1:8" ht="21" customHeight="1" thickBot="1">
      <c r="A46" s="102" t="s">
        <v>0</v>
      </c>
      <c r="B46" s="90" t="s">
        <v>77</v>
      </c>
      <c r="C46" s="90" t="s">
        <v>76</v>
      </c>
      <c r="D46" s="90" t="s">
        <v>79</v>
      </c>
      <c r="E46" s="90" t="s">
        <v>13</v>
      </c>
      <c r="F46" s="145" t="s">
        <v>83</v>
      </c>
      <c r="G46" s="145" t="s">
        <v>14</v>
      </c>
      <c r="H46" s="146" t="s">
        <v>78</v>
      </c>
    </row>
    <row r="47" spans="1:8" ht="21" customHeight="1">
      <c r="A47" s="147">
        <v>1</v>
      </c>
      <c r="B47" s="158" t="s">
        <v>508</v>
      </c>
      <c r="C47" s="159" t="s">
        <v>473</v>
      </c>
      <c r="D47" s="151">
        <v>4</v>
      </c>
      <c r="E47" s="151">
        <v>1970</v>
      </c>
      <c r="F47" s="152">
        <f>E47/G3</f>
        <v>534.02144686376403</v>
      </c>
      <c r="G47" s="151"/>
      <c r="H47" s="153">
        <f>G47+F47</f>
        <v>534.02144686376403</v>
      </c>
    </row>
    <row r="48" spans="1:8" ht="21" customHeight="1">
      <c r="A48" s="49">
        <v>2</v>
      </c>
      <c r="B48" s="19" t="s">
        <v>183</v>
      </c>
      <c r="C48" s="19" t="s">
        <v>507</v>
      </c>
      <c r="D48" s="93">
        <v>1</v>
      </c>
      <c r="E48" s="93">
        <v>70</v>
      </c>
      <c r="F48" s="107">
        <f>E48/G3</f>
        <v>18.975381360641361</v>
      </c>
      <c r="G48" s="93"/>
      <c r="H48" s="108">
        <f t="shared" ref="H48:H71" si="1">G48+F48</f>
        <v>18.975381360641361</v>
      </c>
    </row>
    <row r="49" spans="1:8" ht="21" customHeight="1">
      <c r="A49" s="49">
        <v>3</v>
      </c>
      <c r="B49" s="19"/>
      <c r="C49" s="19"/>
      <c r="D49" s="93"/>
      <c r="E49" s="93"/>
      <c r="F49" s="107">
        <f>E49/G3</f>
        <v>0</v>
      </c>
      <c r="G49" s="93"/>
      <c r="H49" s="108">
        <f t="shared" si="1"/>
        <v>0</v>
      </c>
    </row>
    <row r="50" spans="1:8" ht="21" customHeight="1">
      <c r="A50" s="49">
        <v>4</v>
      </c>
      <c r="B50" s="19"/>
      <c r="C50" s="19"/>
      <c r="D50" s="93"/>
      <c r="E50" s="93"/>
      <c r="F50" s="107">
        <f>E50/G3</f>
        <v>0</v>
      </c>
      <c r="G50" s="93"/>
      <c r="H50" s="108">
        <f t="shared" si="1"/>
        <v>0</v>
      </c>
    </row>
    <row r="51" spans="1:8" ht="21" customHeight="1">
      <c r="A51" s="49">
        <v>5</v>
      </c>
      <c r="B51" s="19"/>
      <c r="C51" s="19"/>
      <c r="D51" s="93"/>
      <c r="E51" s="93"/>
      <c r="F51" s="107">
        <f>E51/G3</f>
        <v>0</v>
      </c>
      <c r="G51" s="93"/>
      <c r="H51" s="108">
        <f t="shared" si="1"/>
        <v>0</v>
      </c>
    </row>
    <row r="52" spans="1:8" ht="21" customHeight="1">
      <c r="A52" s="49">
        <v>6</v>
      </c>
      <c r="B52" s="19"/>
      <c r="C52" s="19"/>
      <c r="D52" s="93"/>
      <c r="E52" s="93"/>
      <c r="F52" s="107">
        <f>E52/G3</f>
        <v>0</v>
      </c>
      <c r="G52" s="93"/>
      <c r="H52" s="108">
        <f t="shared" si="1"/>
        <v>0</v>
      </c>
    </row>
    <row r="53" spans="1:8" ht="21" customHeight="1">
      <c r="A53" s="49">
        <v>7</v>
      </c>
      <c r="B53" s="19"/>
      <c r="C53" s="19"/>
      <c r="D53" s="93"/>
      <c r="E53" s="93"/>
      <c r="F53" s="107">
        <f>E53/G3</f>
        <v>0</v>
      </c>
      <c r="G53" s="93"/>
      <c r="H53" s="108">
        <f t="shared" si="1"/>
        <v>0</v>
      </c>
    </row>
    <row r="54" spans="1:8" ht="21" customHeight="1">
      <c r="A54" s="49">
        <v>8</v>
      </c>
      <c r="B54" s="19"/>
      <c r="C54" s="19"/>
      <c r="D54" s="93"/>
      <c r="E54" s="93"/>
      <c r="F54" s="107">
        <f>E54/G3</f>
        <v>0</v>
      </c>
      <c r="G54" s="93"/>
      <c r="H54" s="108">
        <f t="shared" si="1"/>
        <v>0</v>
      </c>
    </row>
    <row r="55" spans="1:8" ht="21" customHeight="1">
      <c r="A55" s="49">
        <v>9</v>
      </c>
      <c r="B55" s="19"/>
      <c r="C55" s="19"/>
      <c r="D55" s="93"/>
      <c r="E55" s="93"/>
      <c r="F55" s="107">
        <f>E55/G3</f>
        <v>0</v>
      </c>
      <c r="G55" s="93"/>
      <c r="H55" s="108">
        <f t="shared" si="1"/>
        <v>0</v>
      </c>
    </row>
    <row r="56" spans="1:8" ht="21" customHeight="1">
      <c r="A56" s="49">
        <v>10</v>
      </c>
      <c r="B56" s="19"/>
      <c r="C56" s="19"/>
      <c r="D56" s="93"/>
      <c r="E56" s="93"/>
      <c r="F56" s="107">
        <f>E56/G3</f>
        <v>0</v>
      </c>
      <c r="G56" s="93"/>
      <c r="H56" s="108">
        <f t="shared" si="1"/>
        <v>0</v>
      </c>
    </row>
    <row r="57" spans="1:8" ht="21" customHeight="1">
      <c r="A57" s="49">
        <v>11</v>
      </c>
      <c r="B57" s="19"/>
      <c r="C57" s="19"/>
      <c r="D57" s="93"/>
      <c r="E57" s="93"/>
      <c r="F57" s="107">
        <f>E57/G3</f>
        <v>0</v>
      </c>
      <c r="G57" s="93"/>
      <c r="H57" s="108">
        <f t="shared" si="1"/>
        <v>0</v>
      </c>
    </row>
    <row r="58" spans="1:8" ht="21" customHeight="1">
      <c r="A58" s="49">
        <v>12</v>
      </c>
      <c r="B58" s="19"/>
      <c r="C58" s="19"/>
      <c r="D58" s="93"/>
      <c r="E58" s="93"/>
      <c r="F58" s="107">
        <f>E58/G3</f>
        <v>0</v>
      </c>
      <c r="G58" s="93"/>
      <c r="H58" s="108">
        <f t="shared" si="1"/>
        <v>0</v>
      </c>
    </row>
    <row r="59" spans="1:8" ht="21" customHeight="1">
      <c r="A59" s="49">
        <v>13</v>
      </c>
      <c r="B59" s="19"/>
      <c r="C59" s="19"/>
      <c r="D59" s="93"/>
      <c r="E59" s="93"/>
      <c r="F59" s="107">
        <f>E59/G3</f>
        <v>0</v>
      </c>
      <c r="G59" s="93"/>
      <c r="H59" s="108">
        <f t="shared" si="1"/>
        <v>0</v>
      </c>
    </row>
    <row r="60" spans="1:8" ht="21" customHeight="1">
      <c r="A60" s="49">
        <v>14</v>
      </c>
      <c r="B60" s="19"/>
      <c r="C60" s="19"/>
      <c r="D60" s="93"/>
      <c r="E60" s="93"/>
      <c r="F60" s="107">
        <f>E60/G3</f>
        <v>0</v>
      </c>
      <c r="G60" s="93"/>
      <c r="H60" s="108">
        <f t="shared" si="1"/>
        <v>0</v>
      </c>
    </row>
    <row r="61" spans="1:8" ht="21" customHeight="1">
      <c r="A61" s="49">
        <v>15</v>
      </c>
      <c r="B61" s="19"/>
      <c r="C61" s="19"/>
      <c r="D61" s="93"/>
      <c r="E61" s="93"/>
      <c r="F61" s="107">
        <f>E61/G3</f>
        <v>0</v>
      </c>
      <c r="G61" s="93"/>
      <c r="H61" s="108">
        <f t="shared" si="1"/>
        <v>0</v>
      </c>
    </row>
    <row r="62" spans="1:8" ht="21" customHeight="1">
      <c r="A62" s="49">
        <v>16</v>
      </c>
      <c r="B62" s="19"/>
      <c r="C62" s="19"/>
      <c r="D62" s="93"/>
      <c r="E62" s="93"/>
      <c r="F62" s="107">
        <f>E62/G3</f>
        <v>0</v>
      </c>
      <c r="G62" s="93"/>
      <c r="H62" s="108">
        <f t="shared" si="1"/>
        <v>0</v>
      </c>
    </row>
    <row r="63" spans="1:8" ht="21" customHeight="1">
      <c r="A63" s="49">
        <v>17</v>
      </c>
      <c r="B63" s="19"/>
      <c r="C63" s="19"/>
      <c r="D63" s="93"/>
      <c r="E63" s="93"/>
      <c r="F63" s="107">
        <f>E63/G3</f>
        <v>0</v>
      </c>
      <c r="G63" s="93"/>
      <c r="H63" s="108">
        <f t="shared" si="1"/>
        <v>0</v>
      </c>
    </row>
    <row r="64" spans="1:8" ht="21" customHeight="1">
      <c r="A64" s="49">
        <v>18</v>
      </c>
      <c r="B64" s="19"/>
      <c r="C64" s="19"/>
      <c r="D64" s="93"/>
      <c r="E64" s="93"/>
      <c r="F64" s="107">
        <f>E64/G3</f>
        <v>0</v>
      </c>
      <c r="G64" s="93"/>
      <c r="H64" s="108">
        <f t="shared" si="1"/>
        <v>0</v>
      </c>
    </row>
    <row r="65" spans="1:8" ht="21" customHeight="1">
      <c r="A65" s="49">
        <v>19</v>
      </c>
      <c r="B65" s="19"/>
      <c r="C65" s="19"/>
      <c r="D65" s="93"/>
      <c r="E65" s="93"/>
      <c r="F65" s="107">
        <f>E65/G3</f>
        <v>0</v>
      </c>
      <c r="G65" s="93"/>
      <c r="H65" s="108">
        <f t="shared" si="1"/>
        <v>0</v>
      </c>
    </row>
    <row r="66" spans="1:8" ht="21" customHeight="1">
      <c r="A66" s="49">
        <v>20</v>
      </c>
      <c r="B66" s="19"/>
      <c r="C66" s="19"/>
      <c r="D66" s="93"/>
      <c r="E66" s="93"/>
      <c r="F66" s="107">
        <f>E66/G3</f>
        <v>0</v>
      </c>
      <c r="G66" s="93"/>
      <c r="H66" s="108">
        <f t="shared" si="1"/>
        <v>0</v>
      </c>
    </row>
    <row r="67" spans="1:8" ht="21" customHeight="1">
      <c r="A67" s="49">
        <v>21</v>
      </c>
      <c r="B67" s="19"/>
      <c r="C67" s="19"/>
      <c r="D67" s="93"/>
      <c r="E67" s="93"/>
      <c r="F67" s="107">
        <f>E67/G3</f>
        <v>0</v>
      </c>
      <c r="G67" s="93"/>
      <c r="H67" s="108">
        <f t="shared" si="1"/>
        <v>0</v>
      </c>
    </row>
    <row r="68" spans="1:8" ht="21" customHeight="1">
      <c r="A68" s="49">
        <v>22</v>
      </c>
      <c r="B68" s="19"/>
      <c r="C68" s="19"/>
      <c r="D68" s="93"/>
      <c r="E68" s="93"/>
      <c r="F68" s="107">
        <f>E68/G3</f>
        <v>0</v>
      </c>
      <c r="G68" s="93"/>
      <c r="H68" s="108">
        <f t="shared" si="1"/>
        <v>0</v>
      </c>
    </row>
    <row r="69" spans="1:8" ht="21" customHeight="1">
      <c r="A69" s="49">
        <v>23</v>
      </c>
      <c r="B69" s="19"/>
      <c r="C69" s="19"/>
      <c r="D69" s="93"/>
      <c r="E69" s="93"/>
      <c r="F69" s="107">
        <f>E69/G3</f>
        <v>0</v>
      </c>
      <c r="G69" s="93"/>
      <c r="H69" s="108">
        <f t="shared" si="1"/>
        <v>0</v>
      </c>
    </row>
    <row r="70" spans="1:8" ht="21" customHeight="1">
      <c r="A70" s="49">
        <v>24</v>
      </c>
      <c r="B70" s="19"/>
      <c r="C70" s="19"/>
      <c r="D70" s="93"/>
      <c r="E70" s="93"/>
      <c r="F70" s="107">
        <f>E70/G3</f>
        <v>0</v>
      </c>
      <c r="G70" s="93"/>
      <c r="H70" s="108">
        <f t="shared" si="1"/>
        <v>0</v>
      </c>
    </row>
    <row r="71" spans="1:8" ht="21" customHeight="1">
      <c r="A71" s="49">
        <v>25</v>
      </c>
      <c r="B71" s="19"/>
      <c r="C71" s="19"/>
      <c r="D71" s="93"/>
      <c r="E71" s="93"/>
      <c r="F71" s="107">
        <f>E71/G3</f>
        <v>0</v>
      </c>
      <c r="G71" s="93"/>
      <c r="H71" s="108">
        <f t="shared" si="1"/>
        <v>0</v>
      </c>
    </row>
    <row r="72" spans="1:8" ht="21" customHeight="1" thickBot="1">
      <c r="A72" s="398" t="s">
        <v>4</v>
      </c>
      <c r="B72" s="399"/>
      <c r="C72" s="399"/>
      <c r="D72" s="400"/>
      <c r="E72" s="112">
        <f>SUM(E47:E71)</f>
        <v>2040</v>
      </c>
      <c r="F72" s="113">
        <f>E72/G3</f>
        <v>552.99682822440536</v>
      </c>
      <c r="G72" s="112">
        <f>SUM(G47:G71)</f>
        <v>0</v>
      </c>
      <c r="H72" s="126">
        <f>SUM(H47:H71)</f>
        <v>552.99682822440536</v>
      </c>
    </row>
    <row r="74" spans="1:8">
      <c r="A74" s="382" t="s">
        <v>7</v>
      </c>
      <c r="B74" s="382"/>
      <c r="C74" s="401" t="s">
        <v>375</v>
      </c>
      <c r="D74" s="401"/>
      <c r="E74" s="401" t="s">
        <v>531</v>
      </c>
      <c r="F74" s="401"/>
      <c r="G74" s="401"/>
      <c r="H74" s="52"/>
    </row>
    <row r="85" spans="1:8" ht="17.25" customHeight="1">
      <c r="A85" s="383" t="s">
        <v>329</v>
      </c>
      <c r="B85" s="403"/>
      <c r="C85" s="403"/>
      <c r="D85" s="403"/>
      <c r="E85" s="403"/>
      <c r="F85" s="52"/>
      <c r="G85" s="52"/>
      <c r="H85" s="52"/>
    </row>
    <row r="86" spans="1:8" ht="17.25" customHeight="1">
      <c r="A86" s="383" t="s">
        <v>498</v>
      </c>
      <c r="B86" s="403"/>
      <c r="C86" s="403"/>
      <c r="D86" s="403"/>
      <c r="E86" s="403"/>
      <c r="F86" s="404" t="s">
        <v>281</v>
      </c>
      <c r="G86" s="404"/>
      <c r="H86" s="52"/>
    </row>
    <row r="87" spans="1:8" ht="17.25" customHeight="1" thickBot="1">
      <c r="A87" s="397" t="s">
        <v>280</v>
      </c>
      <c r="B87" s="397"/>
      <c r="C87" s="397"/>
      <c r="D87" s="397"/>
      <c r="E87" s="397"/>
      <c r="F87" s="53" t="s">
        <v>91</v>
      </c>
      <c r="G87" s="376">
        <f>تسعير!E34</f>
        <v>3.6889904170881982</v>
      </c>
      <c r="H87" s="52"/>
    </row>
    <row r="88" spans="1:8" ht="21" customHeight="1" thickBot="1">
      <c r="A88" s="102" t="s">
        <v>0</v>
      </c>
      <c r="B88" s="90" t="s">
        <v>77</v>
      </c>
      <c r="C88" s="90" t="s">
        <v>76</v>
      </c>
      <c r="D88" s="90" t="s">
        <v>79</v>
      </c>
      <c r="E88" s="90" t="s">
        <v>13</v>
      </c>
      <c r="F88" s="145" t="s">
        <v>83</v>
      </c>
      <c r="G88" s="145" t="s">
        <v>14</v>
      </c>
      <c r="H88" s="146" t="s">
        <v>78</v>
      </c>
    </row>
    <row r="89" spans="1:8" ht="30" customHeight="1">
      <c r="A89" s="147">
        <v>1</v>
      </c>
      <c r="B89" s="148" t="s">
        <v>356</v>
      </c>
      <c r="C89" s="149" t="s">
        <v>365</v>
      </c>
      <c r="D89" s="150">
        <v>2</v>
      </c>
      <c r="E89" s="151">
        <v>572</v>
      </c>
      <c r="F89" s="152">
        <f>E89/G3</f>
        <v>155.05597340409798</v>
      </c>
      <c r="G89" s="157"/>
      <c r="H89" s="153">
        <f>G89+F89</f>
        <v>155.05597340409798</v>
      </c>
    </row>
    <row r="90" spans="1:8" ht="21" customHeight="1">
      <c r="A90" s="49">
        <v>2</v>
      </c>
      <c r="B90" s="87"/>
      <c r="C90" s="89" t="s">
        <v>366</v>
      </c>
      <c r="D90" s="88">
        <v>1</v>
      </c>
      <c r="E90" s="93">
        <v>429</v>
      </c>
      <c r="F90" s="107">
        <f>E90/G3</f>
        <v>116.29198005307349</v>
      </c>
      <c r="G90" s="93"/>
      <c r="H90" s="108">
        <f t="shared" ref="H90:H113" si="2">G90+F90</f>
        <v>116.29198005307349</v>
      </c>
    </row>
    <row r="91" spans="1:8" ht="21" customHeight="1">
      <c r="A91" s="49">
        <v>3</v>
      </c>
      <c r="B91" s="87"/>
      <c r="C91" s="105" t="s">
        <v>511</v>
      </c>
      <c r="D91" s="88"/>
      <c r="E91" s="93"/>
      <c r="F91" s="107">
        <f>E91/G3</f>
        <v>0</v>
      </c>
      <c r="G91" s="93"/>
      <c r="H91" s="108">
        <f t="shared" si="2"/>
        <v>0</v>
      </c>
    </row>
    <row r="92" spans="1:8" ht="21" customHeight="1">
      <c r="A92" s="49">
        <v>4</v>
      </c>
      <c r="B92" s="87"/>
      <c r="C92" s="105" t="s">
        <v>512</v>
      </c>
      <c r="D92" s="88"/>
      <c r="E92" s="93"/>
      <c r="F92" s="107">
        <f>E92/G3</f>
        <v>0</v>
      </c>
      <c r="G92" s="93"/>
      <c r="H92" s="108">
        <f t="shared" si="2"/>
        <v>0</v>
      </c>
    </row>
    <row r="93" spans="1:8" ht="21" customHeight="1">
      <c r="A93" s="49">
        <v>5</v>
      </c>
      <c r="B93" s="87"/>
      <c r="C93" s="95"/>
      <c r="D93" s="88"/>
      <c r="E93" s="93"/>
      <c r="F93" s="107">
        <f>E93/G45</f>
        <v>0</v>
      </c>
      <c r="G93" s="93"/>
      <c r="H93" s="108">
        <f t="shared" si="2"/>
        <v>0</v>
      </c>
    </row>
    <row r="94" spans="1:8" ht="21" customHeight="1">
      <c r="A94" s="49">
        <v>6</v>
      </c>
      <c r="B94" s="87"/>
      <c r="C94" s="95"/>
      <c r="D94" s="88"/>
      <c r="E94" s="93"/>
      <c r="F94" s="107">
        <f>E94/G3</f>
        <v>0</v>
      </c>
      <c r="G94" s="93"/>
      <c r="H94" s="108">
        <f t="shared" si="2"/>
        <v>0</v>
      </c>
    </row>
    <row r="95" spans="1:8" ht="21" customHeight="1">
      <c r="A95" s="49">
        <v>7</v>
      </c>
      <c r="B95" s="19"/>
      <c r="C95" s="19"/>
      <c r="D95" s="19"/>
      <c r="E95" s="93"/>
      <c r="F95" s="107">
        <f>E95/G3</f>
        <v>0</v>
      </c>
      <c r="G95" s="93"/>
      <c r="H95" s="108">
        <f t="shared" si="2"/>
        <v>0</v>
      </c>
    </row>
    <row r="96" spans="1:8" ht="21" customHeight="1">
      <c r="A96" s="49">
        <v>8</v>
      </c>
      <c r="B96" s="19"/>
      <c r="C96" s="19"/>
      <c r="D96" s="19"/>
      <c r="E96" s="93"/>
      <c r="F96" s="107">
        <f>E96/G3</f>
        <v>0</v>
      </c>
      <c r="G96" s="93"/>
      <c r="H96" s="108">
        <f t="shared" si="2"/>
        <v>0</v>
      </c>
    </row>
    <row r="97" spans="1:8" ht="21" customHeight="1">
      <c r="A97" s="49">
        <v>9</v>
      </c>
      <c r="B97" s="19"/>
      <c r="C97" s="19"/>
      <c r="D97" s="19"/>
      <c r="E97" s="93"/>
      <c r="F97" s="107">
        <f>E97/G3</f>
        <v>0</v>
      </c>
      <c r="G97" s="93"/>
      <c r="H97" s="108">
        <f t="shared" si="2"/>
        <v>0</v>
      </c>
    </row>
    <row r="98" spans="1:8" ht="21" customHeight="1">
      <c r="A98" s="49">
        <v>10</v>
      </c>
      <c r="B98" s="19"/>
      <c r="C98" s="19"/>
      <c r="D98" s="19"/>
      <c r="E98" s="93"/>
      <c r="F98" s="107">
        <f>E98/G3</f>
        <v>0</v>
      </c>
      <c r="G98" s="93"/>
      <c r="H98" s="108">
        <f t="shared" si="2"/>
        <v>0</v>
      </c>
    </row>
    <row r="99" spans="1:8" ht="21" customHeight="1">
      <c r="A99" s="49">
        <v>11</v>
      </c>
      <c r="B99" s="19"/>
      <c r="C99" s="19"/>
      <c r="D99" s="19"/>
      <c r="E99" s="93"/>
      <c r="F99" s="107">
        <f>E99/G3</f>
        <v>0</v>
      </c>
      <c r="G99" s="93"/>
      <c r="H99" s="108">
        <f t="shared" si="2"/>
        <v>0</v>
      </c>
    </row>
    <row r="100" spans="1:8" ht="21" customHeight="1">
      <c r="A100" s="49">
        <v>12</v>
      </c>
      <c r="B100" s="19"/>
      <c r="C100" s="19"/>
      <c r="D100" s="19"/>
      <c r="E100" s="93"/>
      <c r="F100" s="107">
        <f>E100/G3</f>
        <v>0</v>
      </c>
      <c r="G100" s="93"/>
      <c r="H100" s="108">
        <f t="shared" si="2"/>
        <v>0</v>
      </c>
    </row>
    <row r="101" spans="1:8" ht="21" customHeight="1">
      <c r="A101" s="49">
        <v>13</v>
      </c>
      <c r="B101" s="19"/>
      <c r="C101" s="19"/>
      <c r="D101" s="19"/>
      <c r="E101" s="93"/>
      <c r="F101" s="107">
        <f>E101/G3</f>
        <v>0</v>
      </c>
      <c r="G101" s="93"/>
      <c r="H101" s="108">
        <f t="shared" si="2"/>
        <v>0</v>
      </c>
    </row>
    <row r="102" spans="1:8" ht="21" customHeight="1">
      <c r="A102" s="49">
        <v>14</v>
      </c>
      <c r="B102" s="19"/>
      <c r="C102" s="19"/>
      <c r="D102" s="19"/>
      <c r="E102" s="93"/>
      <c r="F102" s="107">
        <f>E102/G3</f>
        <v>0</v>
      </c>
      <c r="G102" s="93"/>
      <c r="H102" s="108">
        <f t="shared" si="2"/>
        <v>0</v>
      </c>
    </row>
    <row r="103" spans="1:8" ht="21" customHeight="1">
      <c r="A103" s="49">
        <v>15</v>
      </c>
      <c r="B103" s="19"/>
      <c r="C103" s="19"/>
      <c r="D103" s="19"/>
      <c r="E103" s="93"/>
      <c r="F103" s="107">
        <f>E103/G3</f>
        <v>0</v>
      </c>
      <c r="G103" s="93"/>
      <c r="H103" s="108">
        <f t="shared" si="2"/>
        <v>0</v>
      </c>
    </row>
    <row r="104" spans="1:8" ht="21" customHeight="1">
      <c r="A104" s="49">
        <v>16</v>
      </c>
      <c r="B104" s="19"/>
      <c r="C104" s="19"/>
      <c r="D104" s="19"/>
      <c r="E104" s="93"/>
      <c r="F104" s="107">
        <f>E104/G3</f>
        <v>0</v>
      </c>
      <c r="G104" s="93"/>
      <c r="H104" s="108">
        <f t="shared" si="2"/>
        <v>0</v>
      </c>
    </row>
    <row r="105" spans="1:8" ht="21" customHeight="1">
      <c r="A105" s="49">
        <v>17</v>
      </c>
      <c r="B105" s="19"/>
      <c r="C105" s="19"/>
      <c r="D105" s="19"/>
      <c r="E105" s="93"/>
      <c r="F105" s="107">
        <f>E105/G3</f>
        <v>0</v>
      </c>
      <c r="G105" s="93"/>
      <c r="H105" s="108">
        <f t="shared" si="2"/>
        <v>0</v>
      </c>
    </row>
    <row r="106" spans="1:8" ht="21" customHeight="1">
      <c r="A106" s="49">
        <v>18</v>
      </c>
      <c r="B106" s="19"/>
      <c r="C106" s="19"/>
      <c r="D106" s="19"/>
      <c r="E106" s="93"/>
      <c r="F106" s="107">
        <f>E106/G3</f>
        <v>0</v>
      </c>
      <c r="G106" s="93"/>
      <c r="H106" s="108">
        <f t="shared" si="2"/>
        <v>0</v>
      </c>
    </row>
    <row r="107" spans="1:8" ht="21" customHeight="1">
      <c r="A107" s="49">
        <v>19</v>
      </c>
      <c r="B107" s="19"/>
      <c r="C107" s="19"/>
      <c r="D107" s="19"/>
      <c r="E107" s="93"/>
      <c r="F107" s="107">
        <f>E107/G3</f>
        <v>0</v>
      </c>
      <c r="G107" s="93"/>
      <c r="H107" s="108">
        <f t="shared" si="2"/>
        <v>0</v>
      </c>
    </row>
    <row r="108" spans="1:8" ht="21" customHeight="1">
      <c r="A108" s="49">
        <v>20</v>
      </c>
      <c r="B108" s="19"/>
      <c r="C108" s="19"/>
      <c r="D108" s="19"/>
      <c r="E108" s="93"/>
      <c r="F108" s="107">
        <f>E108/G3</f>
        <v>0</v>
      </c>
      <c r="G108" s="93"/>
      <c r="H108" s="108">
        <f t="shared" si="2"/>
        <v>0</v>
      </c>
    </row>
    <row r="109" spans="1:8" ht="21" customHeight="1">
      <c r="A109" s="49">
        <v>21</v>
      </c>
      <c r="B109" s="19"/>
      <c r="C109" s="19"/>
      <c r="D109" s="19"/>
      <c r="E109" s="93"/>
      <c r="F109" s="107">
        <f>E109/G3</f>
        <v>0</v>
      </c>
      <c r="G109" s="93"/>
      <c r="H109" s="108">
        <f t="shared" si="2"/>
        <v>0</v>
      </c>
    </row>
    <row r="110" spans="1:8" ht="21" customHeight="1">
      <c r="A110" s="49">
        <v>22</v>
      </c>
      <c r="B110" s="19"/>
      <c r="C110" s="19"/>
      <c r="D110" s="19"/>
      <c r="E110" s="93"/>
      <c r="F110" s="107">
        <f>E110/G3</f>
        <v>0</v>
      </c>
      <c r="G110" s="93"/>
      <c r="H110" s="108">
        <f t="shared" si="2"/>
        <v>0</v>
      </c>
    </row>
    <row r="111" spans="1:8" ht="21" customHeight="1">
      <c r="A111" s="49">
        <v>23</v>
      </c>
      <c r="B111" s="19"/>
      <c r="C111" s="19"/>
      <c r="D111" s="19"/>
      <c r="E111" s="93"/>
      <c r="F111" s="107">
        <f>E111/G3</f>
        <v>0</v>
      </c>
      <c r="G111" s="93"/>
      <c r="H111" s="108">
        <f t="shared" si="2"/>
        <v>0</v>
      </c>
    </row>
    <row r="112" spans="1:8" ht="21" customHeight="1">
      <c r="A112" s="49">
        <v>24</v>
      </c>
      <c r="B112" s="19"/>
      <c r="C112" s="19"/>
      <c r="D112" s="19"/>
      <c r="E112" s="93"/>
      <c r="F112" s="107">
        <f>E112/G3</f>
        <v>0</v>
      </c>
      <c r="G112" s="93"/>
      <c r="H112" s="108">
        <f t="shared" si="2"/>
        <v>0</v>
      </c>
    </row>
    <row r="113" spans="1:8" ht="21" customHeight="1">
      <c r="A113" s="49">
        <v>25</v>
      </c>
      <c r="B113" s="19"/>
      <c r="C113" s="19"/>
      <c r="D113" s="19">
        <f>SUM(D89:D112)</f>
        <v>3</v>
      </c>
      <c r="E113" s="93"/>
      <c r="F113" s="107">
        <f>E113/G3</f>
        <v>0</v>
      </c>
      <c r="G113" s="93"/>
      <c r="H113" s="108">
        <f t="shared" si="2"/>
        <v>0</v>
      </c>
    </row>
    <row r="114" spans="1:8" ht="21" customHeight="1" thickBot="1">
      <c r="A114" s="398" t="s">
        <v>4</v>
      </c>
      <c r="B114" s="399"/>
      <c r="C114" s="399"/>
      <c r="D114" s="400"/>
      <c r="E114" s="112">
        <f>SUM(E89:E113)</f>
        <v>1001</v>
      </c>
      <c r="F114" s="113">
        <f>E114/G3</f>
        <v>271.34795345717146</v>
      </c>
      <c r="G114" s="120">
        <f>SUM(G89:G113)</f>
        <v>0</v>
      </c>
      <c r="H114" s="126">
        <f>SUM(H89:H113)</f>
        <v>271.34795345717146</v>
      </c>
    </row>
    <row r="116" spans="1:8">
      <c r="A116" s="382" t="s">
        <v>7</v>
      </c>
      <c r="B116" s="382"/>
      <c r="C116" s="401" t="s">
        <v>375</v>
      </c>
      <c r="D116" s="401"/>
      <c r="E116" s="401" t="s">
        <v>376</v>
      </c>
      <c r="F116" s="401"/>
      <c r="G116" s="401"/>
      <c r="H116" s="52"/>
    </row>
    <row r="127" spans="1:8" ht="17.25" customHeight="1">
      <c r="A127" s="383" t="s">
        <v>329</v>
      </c>
      <c r="B127" s="403"/>
      <c r="C127" s="403"/>
      <c r="D127" s="403"/>
      <c r="E127" s="403"/>
      <c r="F127" s="52"/>
      <c r="G127" s="52"/>
      <c r="H127" s="52"/>
    </row>
    <row r="128" spans="1:8" ht="17.25" customHeight="1">
      <c r="A128" s="383" t="s">
        <v>498</v>
      </c>
      <c r="B128" s="403"/>
      <c r="C128" s="403"/>
      <c r="D128" s="403"/>
      <c r="E128" s="403"/>
      <c r="F128" s="404" t="s">
        <v>284</v>
      </c>
      <c r="G128" s="404"/>
      <c r="H128" s="52"/>
    </row>
    <row r="129" spans="1:8" ht="17.25" customHeight="1" thickBot="1">
      <c r="A129" s="397" t="s">
        <v>283</v>
      </c>
      <c r="B129" s="397"/>
      <c r="C129" s="397"/>
      <c r="D129" s="397"/>
      <c r="E129" s="397"/>
      <c r="F129" s="53" t="s">
        <v>91</v>
      </c>
      <c r="G129" s="376">
        <f>تسعير!E34</f>
        <v>3.6889904170881982</v>
      </c>
      <c r="H129" s="52"/>
    </row>
    <row r="130" spans="1:8" ht="21" customHeight="1">
      <c r="A130" s="50" t="s">
        <v>0</v>
      </c>
      <c r="B130" s="51" t="s">
        <v>77</v>
      </c>
      <c r="C130" s="51" t="s">
        <v>76</v>
      </c>
      <c r="D130" s="51" t="s">
        <v>79</v>
      </c>
      <c r="E130" s="51" t="s">
        <v>13</v>
      </c>
      <c r="F130" s="54" t="s">
        <v>83</v>
      </c>
      <c r="G130" s="54" t="s">
        <v>14</v>
      </c>
      <c r="H130" s="55" t="s">
        <v>78</v>
      </c>
    </row>
    <row r="131" spans="1:8" ht="30" customHeight="1">
      <c r="A131" s="49">
        <v>1</v>
      </c>
      <c r="B131" s="19" t="s">
        <v>286</v>
      </c>
      <c r="C131" s="156" t="s">
        <v>285</v>
      </c>
      <c r="D131" s="19">
        <v>12</v>
      </c>
      <c r="E131" s="93">
        <v>400</v>
      </c>
      <c r="F131" s="107">
        <f>E131/G3</f>
        <v>108.43075063223635</v>
      </c>
      <c r="G131" s="93"/>
      <c r="H131" s="108">
        <f>G131+F131</f>
        <v>108.43075063223635</v>
      </c>
    </row>
    <row r="132" spans="1:8" ht="21" customHeight="1">
      <c r="A132" s="49">
        <v>2</v>
      </c>
      <c r="B132" s="19"/>
      <c r="C132" s="19"/>
      <c r="D132" s="19"/>
      <c r="E132" s="93"/>
      <c r="F132" s="107">
        <f>E132/G3</f>
        <v>0</v>
      </c>
      <c r="G132" s="93"/>
      <c r="H132" s="108">
        <f t="shared" ref="H132:H155" si="3">G132+F132</f>
        <v>0</v>
      </c>
    </row>
    <row r="133" spans="1:8" ht="21" customHeight="1">
      <c r="A133" s="49">
        <v>3</v>
      </c>
      <c r="B133" s="19"/>
      <c r="C133" s="19"/>
      <c r="D133" s="19"/>
      <c r="E133" s="93"/>
      <c r="F133" s="107">
        <f>E133/G3</f>
        <v>0</v>
      </c>
      <c r="G133" s="93"/>
      <c r="H133" s="108">
        <f t="shared" si="3"/>
        <v>0</v>
      </c>
    </row>
    <row r="134" spans="1:8" ht="21" customHeight="1">
      <c r="A134" s="49">
        <v>4</v>
      </c>
      <c r="B134" s="19"/>
      <c r="C134" s="19"/>
      <c r="D134" s="19"/>
      <c r="E134" s="93"/>
      <c r="F134" s="107">
        <f>E134/G3</f>
        <v>0</v>
      </c>
      <c r="G134" s="93"/>
      <c r="H134" s="108">
        <f t="shared" si="3"/>
        <v>0</v>
      </c>
    </row>
    <row r="135" spans="1:8" ht="21" customHeight="1">
      <c r="A135" s="49">
        <v>5</v>
      </c>
      <c r="B135" s="19"/>
      <c r="C135" s="19"/>
      <c r="D135" s="19"/>
      <c r="E135" s="93"/>
      <c r="F135" s="107">
        <f>E135/G3</f>
        <v>0</v>
      </c>
      <c r="G135" s="93"/>
      <c r="H135" s="108">
        <f t="shared" si="3"/>
        <v>0</v>
      </c>
    </row>
    <row r="136" spans="1:8" ht="21" customHeight="1">
      <c r="A136" s="49">
        <v>6</v>
      </c>
      <c r="B136" s="19"/>
      <c r="C136" s="19"/>
      <c r="D136" s="19"/>
      <c r="E136" s="93"/>
      <c r="F136" s="107">
        <f>E136/G3</f>
        <v>0</v>
      </c>
      <c r="G136" s="93"/>
      <c r="H136" s="108">
        <f t="shared" si="3"/>
        <v>0</v>
      </c>
    </row>
    <row r="137" spans="1:8" ht="21" customHeight="1">
      <c r="A137" s="49">
        <v>7</v>
      </c>
      <c r="B137" s="19"/>
      <c r="C137" s="19"/>
      <c r="D137" s="19"/>
      <c r="E137" s="93"/>
      <c r="F137" s="107">
        <f>E137/G3</f>
        <v>0</v>
      </c>
      <c r="G137" s="93"/>
      <c r="H137" s="108">
        <f t="shared" si="3"/>
        <v>0</v>
      </c>
    </row>
    <row r="138" spans="1:8" ht="21" customHeight="1">
      <c r="A138" s="49">
        <v>8</v>
      </c>
      <c r="B138" s="19"/>
      <c r="C138" s="19"/>
      <c r="D138" s="19"/>
      <c r="E138" s="93"/>
      <c r="F138" s="107">
        <f>E138/G3</f>
        <v>0</v>
      </c>
      <c r="G138" s="93"/>
      <c r="H138" s="108">
        <f t="shared" si="3"/>
        <v>0</v>
      </c>
    </row>
    <row r="139" spans="1:8" ht="21" customHeight="1">
      <c r="A139" s="49">
        <v>9</v>
      </c>
      <c r="B139" s="19"/>
      <c r="C139" s="19"/>
      <c r="D139" s="19"/>
      <c r="E139" s="93"/>
      <c r="F139" s="107">
        <f>E139/G3</f>
        <v>0</v>
      </c>
      <c r="G139" s="93"/>
      <c r="H139" s="108">
        <f t="shared" si="3"/>
        <v>0</v>
      </c>
    </row>
    <row r="140" spans="1:8" ht="21" customHeight="1">
      <c r="A140" s="49">
        <v>10</v>
      </c>
      <c r="B140" s="19"/>
      <c r="C140" s="19"/>
      <c r="D140" s="19"/>
      <c r="E140" s="93"/>
      <c r="F140" s="107">
        <f>E140/G3</f>
        <v>0</v>
      </c>
      <c r="G140" s="93"/>
      <c r="H140" s="108">
        <f t="shared" si="3"/>
        <v>0</v>
      </c>
    </row>
    <row r="141" spans="1:8" ht="21" customHeight="1">
      <c r="A141" s="49">
        <v>11</v>
      </c>
      <c r="B141" s="19"/>
      <c r="C141" s="19"/>
      <c r="D141" s="19"/>
      <c r="E141" s="93"/>
      <c r="F141" s="107">
        <f>E141/G3</f>
        <v>0</v>
      </c>
      <c r="G141" s="93"/>
      <c r="H141" s="108">
        <f t="shared" si="3"/>
        <v>0</v>
      </c>
    </row>
    <row r="142" spans="1:8" ht="21" customHeight="1">
      <c r="A142" s="49">
        <v>12</v>
      </c>
      <c r="B142" s="19"/>
      <c r="C142" s="19"/>
      <c r="D142" s="19"/>
      <c r="E142" s="93"/>
      <c r="F142" s="107">
        <f>E142/G3</f>
        <v>0</v>
      </c>
      <c r="G142" s="93"/>
      <c r="H142" s="108">
        <f t="shared" si="3"/>
        <v>0</v>
      </c>
    </row>
    <row r="143" spans="1:8" ht="21" customHeight="1">
      <c r="A143" s="49">
        <v>13</v>
      </c>
      <c r="B143" s="19"/>
      <c r="C143" s="19"/>
      <c r="D143" s="19"/>
      <c r="E143" s="93"/>
      <c r="F143" s="107">
        <f>E143/G3</f>
        <v>0</v>
      </c>
      <c r="G143" s="93"/>
      <c r="H143" s="108">
        <f t="shared" si="3"/>
        <v>0</v>
      </c>
    </row>
    <row r="144" spans="1:8" ht="21" customHeight="1">
      <c r="A144" s="49">
        <v>14</v>
      </c>
      <c r="B144" s="19"/>
      <c r="C144" s="19"/>
      <c r="D144" s="19"/>
      <c r="E144" s="93"/>
      <c r="F144" s="107">
        <f>E144/G3</f>
        <v>0</v>
      </c>
      <c r="G144" s="93"/>
      <c r="H144" s="108">
        <f t="shared" si="3"/>
        <v>0</v>
      </c>
    </row>
    <row r="145" spans="1:8" ht="21" customHeight="1">
      <c r="A145" s="49">
        <v>15</v>
      </c>
      <c r="B145" s="19"/>
      <c r="C145" s="19"/>
      <c r="D145" s="19"/>
      <c r="E145" s="93"/>
      <c r="F145" s="107">
        <f>E145/G3</f>
        <v>0</v>
      </c>
      <c r="G145" s="93"/>
      <c r="H145" s="108">
        <f t="shared" si="3"/>
        <v>0</v>
      </c>
    </row>
    <row r="146" spans="1:8" ht="21" customHeight="1">
      <c r="A146" s="49">
        <v>16</v>
      </c>
      <c r="B146" s="19"/>
      <c r="C146" s="19"/>
      <c r="D146" s="19"/>
      <c r="E146" s="93"/>
      <c r="F146" s="107">
        <f>E146/G3</f>
        <v>0</v>
      </c>
      <c r="G146" s="93"/>
      <c r="H146" s="108">
        <f t="shared" si="3"/>
        <v>0</v>
      </c>
    </row>
    <row r="147" spans="1:8" ht="21" customHeight="1">
      <c r="A147" s="49">
        <v>17</v>
      </c>
      <c r="B147" s="19"/>
      <c r="C147" s="19"/>
      <c r="D147" s="19"/>
      <c r="E147" s="93"/>
      <c r="F147" s="107">
        <f>E147/G3</f>
        <v>0</v>
      </c>
      <c r="G147" s="93"/>
      <c r="H147" s="108">
        <f t="shared" si="3"/>
        <v>0</v>
      </c>
    </row>
    <row r="148" spans="1:8" ht="21" customHeight="1">
      <c r="A148" s="49">
        <v>18</v>
      </c>
      <c r="B148" s="19"/>
      <c r="C148" s="19"/>
      <c r="D148" s="19"/>
      <c r="E148" s="93"/>
      <c r="F148" s="107">
        <f>E148/G3</f>
        <v>0</v>
      </c>
      <c r="G148" s="93"/>
      <c r="H148" s="108">
        <f t="shared" si="3"/>
        <v>0</v>
      </c>
    </row>
    <row r="149" spans="1:8" ht="21" customHeight="1">
      <c r="A149" s="49">
        <v>19</v>
      </c>
      <c r="B149" s="19"/>
      <c r="C149" s="19"/>
      <c r="D149" s="19"/>
      <c r="E149" s="93"/>
      <c r="F149" s="107">
        <f>E149/G3</f>
        <v>0</v>
      </c>
      <c r="G149" s="93"/>
      <c r="H149" s="108">
        <f t="shared" si="3"/>
        <v>0</v>
      </c>
    </row>
    <row r="150" spans="1:8" ht="21" customHeight="1">
      <c r="A150" s="49">
        <v>20</v>
      </c>
      <c r="B150" s="19"/>
      <c r="C150" s="19"/>
      <c r="D150" s="19"/>
      <c r="E150" s="93"/>
      <c r="F150" s="107">
        <f>E150/G3</f>
        <v>0</v>
      </c>
      <c r="G150" s="93"/>
      <c r="H150" s="108">
        <f t="shared" si="3"/>
        <v>0</v>
      </c>
    </row>
    <row r="151" spans="1:8" ht="21" customHeight="1">
      <c r="A151" s="49">
        <v>21</v>
      </c>
      <c r="B151" s="19"/>
      <c r="C151" s="19"/>
      <c r="D151" s="19"/>
      <c r="E151" s="93"/>
      <c r="F151" s="107">
        <f>E151/G3</f>
        <v>0</v>
      </c>
      <c r="G151" s="93"/>
      <c r="H151" s="108">
        <f t="shared" si="3"/>
        <v>0</v>
      </c>
    </row>
    <row r="152" spans="1:8" ht="21" customHeight="1">
      <c r="A152" s="49">
        <v>22</v>
      </c>
      <c r="B152" s="19"/>
      <c r="C152" s="19"/>
      <c r="D152" s="19"/>
      <c r="E152" s="93"/>
      <c r="F152" s="107">
        <f>E152/G3</f>
        <v>0</v>
      </c>
      <c r="G152" s="93"/>
      <c r="H152" s="108">
        <f t="shared" si="3"/>
        <v>0</v>
      </c>
    </row>
    <row r="153" spans="1:8" ht="21" customHeight="1">
      <c r="A153" s="49">
        <v>23</v>
      </c>
      <c r="B153" s="19"/>
      <c r="C153" s="19"/>
      <c r="D153" s="19"/>
      <c r="E153" s="93"/>
      <c r="F153" s="107">
        <f>E153/G3</f>
        <v>0</v>
      </c>
      <c r="G153" s="93"/>
      <c r="H153" s="108">
        <f t="shared" si="3"/>
        <v>0</v>
      </c>
    </row>
    <row r="154" spans="1:8" ht="21" customHeight="1">
      <c r="A154" s="49">
        <v>24</v>
      </c>
      <c r="B154" s="19"/>
      <c r="C154" s="19"/>
      <c r="D154" s="19"/>
      <c r="E154" s="93"/>
      <c r="F154" s="107">
        <f>E154/G3</f>
        <v>0</v>
      </c>
      <c r="G154" s="93"/>
      <c r="H154" s="108">
        <f t="shared" si="3"/>
        <v>0</v>
      </c>
    </row>
    <row r="155" spans="1:8" ht="21" customHeight="1">
      <c r="A155" s="49">
        <v>25</v>
      </c>
      <c r="B155" s="19"/>
      <c r="C155" s="19"/>
      <c r="D155" s="19">
        <f>SUM(D131:D154)</f>
        <v>12</v>
      </c>
      <c r="E155" s="93"/>
      <c r="F155" s="107">
        <f>E155/G3</f>
        <v>0</v>
      </c>
      <c r="G155" s="93"/>
      <c r="H155" s="108">
        <f t="shared" si="3"/>
        <v>0</v>
      </c>
    </row>
    <row r="156" spans="1:8" ht="21" customHeight="1" thickBot="1">
      <c r="A156" s="398" t="s">
        <v>4</v>
      </c>
      <c r="B156" s="399"/>
      <c r="C156" s="399"/>
      <c r="D156" s="400"/>
      <c r="E156" s="112">
        <f>SUM(E131:E155)</f>
        <v>400</v>
      </c>
      <c r="F156" s="113">
        <f>E156/G3</f>
        <v>108.43075063223635</v>
      </c>
      <c r="G156" s="112">
        <f>SUM(G131:G155)</f>
        <v>0</v>
      </c>
      <c r="H156" s="126">
        <f>SUM(H131:H155)</f>
        <v>108.43075063223635</v>
      </c>
    </row>
    <row r="158" spans="1:8">
      <c r="A158" s="382" t="s">
        <v>7</v>
      </c>
      <c r="B158" s="382"/>
      <c r="C158" s="401" t="s">
        <v>375</v>
      </c>
      <c r="D158" s="401"/>
      <c r="E158" s="401" t="s">
        <v>378</v>
      </c>
      <c r="F158" s="401"/>
      <c r="G158" s="401"/>
      <c r="H158" s="52"/>
    </row>
    <row r="169" spans="1:8" ht="17.25" customHeight="1">
      <c r="A169" s="383" t="s">
        <v>329</v>
      </c>
      <c r="B169" s="403"/>
      <c r="C169" s="403"/>
      <c r="D169" s="403"/>
      <c r="E169" s="403"/>
      <c r="F169" s="52"/>
      <c r="G169" s="52"/>
      <c r="H169" s="52"/>
    </row>
    <row r="170" spans="1:8" ht="17.25" customHeight="1">
      <c r="A170" s="383" t="s">
        <v>498</v>
      </c>
      <c r="B170" s="403"/>
      <c r="C170" s="403"/>
      <c r="D170" s="403"/>
      <c r="E170" s="403"/>
      <c r="F170" s="404" t="s">
        <v>290</v>
      </c>
      <c r="G170" s="404"/>
      <c r="H170" s="52"/>
    </row>
    <row r="171" spans="1:8" ht="17.25" customHeight="1" thickBot="1">
      <c r="A171" s="397" t="s">
        <v>288</v>
      </c>
      <c r="B171" s="397"/>
      <c r="C171" s="397"/>
      <c r="D171" s="397"/>
      <c r="E171" s="397"/>
      <c r="F171" s="53" t="s">
        <v>91</v>
      </c>
      <c r="G171" s="376">
        <f>تسعير!E34</f>
        <v>3.6889904170881982</v>
      </c>
      <c r="H171" s="52"/>
    </row>
    <row r="172" spans="1:8" ht="21" customHeight="1">
      <c r="A172" s="50" t="s">
        <v>0</v>
      </c>
      <c r="B172" s="51" t="s">
        <v>77</v>
      </c>
      <c r="C172" s="51" t="s">
        <v>76</v>
      </c>
      <c r="D172" s="51" t="s">
        <v>79</v>
      </c>
      <c r="E172" s="51" t="s">
        <v>13</v>
      </c>
      <c r="F172" s="54" t="s">
        <v>83</v>
      </c>
      <c r="G172" s="54" t="s">
        <v>14</v>
      </c>
      <c r="H172" s="55" t="s">
        <v>78</v>
      </c>
    </row>
    <row r="173" spans="1:8" ht="21" customHeight="1">
      <c r="A173" s="49">
        <v>1</v>
      </c>
      <c r="B173" s="19" t="s">
        <v>268</v>
      </c>
      <c r="C173" s="155" t="s">
        <v>289</v>
      </c>
      <c r="D173" s="19">
        <v>3</v>
      </c>
      <c r="E173" s="93"/>
      <c r="F173" s="107">
        <f>E173/G3</f>
        <v>0</v>
      </c>
      <c r="G173" s="93">
        <v>500</v>
      </c>
      <c r="H173" s="108">
        <f>G173+F173</f>
        <v>500</v>
      </c>
    </row>
    <row r="174" spans="1:8" ht="21" customHeight="1">
      <c r="A174" s="49">
        <v>2</v>
      </c>
      <c r="B174" s="19"/>
      <c r="C174" s="19"/>
      <c r="D174" s="19"/>
      <c r="E174" s="93"/>
      <c r="F174" s="107">
        <f>E174/G3</f>
        <v>0</v>
      </c>
      <c r="G174" s="93"/>
      <c r="H174" s="108">
        <f t="shared" ref="H174:H197" si="4">G174+F174</f>
        <v>0</v>
      </c>
    </row>
    <row r="175" spans="1:8" ht="21" customHeight="1">
      <c r="A175" s="49">
        <v>3</v>
      </c>
      <c r="B175" s="19"/>
      <c r="C175" s="19"/>
      <c r="D175" s="19"/>
      <c r="E175" s="93"/>
      <c r="F175" s="107">
        <f>E175/G3</f>
        <v>0</v>
      </c>
      <c r="G175" s="93"/>
      <c r="H175" s="108">
        <f t="shared" si="4"/>
        <v>0</v>
      </c>
    </row>
    <row r="176" spans="1:8" ht="21" customHeight="1">
      <c r="A176" s="49">
        <v>4</v>
      </c>
      <c r="B176" s="19"/>
      <c r="C176" s="19"/>
      <c r="D176" s="19"/>
      <c r="E176" s="93"/>
      <c r="F176" s="107">
        <f>E176/G3</f>
        <v>0</v>
      </c>
      <c r="G176" s="93"/>
      <c r="H176" s="108">
        <f t="shared" si="4"/>
        <v>0</v>
      </c>
    </row>
    <row r="177" spans="1:8" ht="21" customHeight="1">
      <c r="A177" s="49">
        <v>5</v>
      </c>
      <c r="B177" s="19"/>
      <c r="C177" s="19"/>
      <c r="D177" s="19"/>
      <c r="E177" s="93"/>
      <c r="F177" s="107">
        <f>E177/G3</f>
        <v>0</v>
      </c>
      <c r="G177" s="93"/>
      <c r="H177" s="108">
        <f t="shared" si="4"/>
        <v>0</v>
      </c>
    </row>
    <row r="178" spans="1:8" ht="21" customHeight="1">
      <c r="A178" s="49">
        <v>6</v>
      </c>
      <c r="B178" s="19"/>
      <c r="C178" s="19"/>
      <c r="D178" s="19"/>
      <c r="E178" s="93"/>
      <c r="F178" s="107">
        <f>E178/G3</f>
        <v>0</v>
      </c>
      <c r="G178" s="93"/>
      <c r="H178" s="108">
        <f t="shared" si="4"/>
        <v>0</v>
      </c>
    </row>
    <row r="179" spans="1:8" ht="21" customHeight="1">
      <c r="A179" s="49">
        <v>7</v>
      </c>
      <c r="B179" s="19"/>
      <c r="C179" s="19"/>
      <c r="D179" s="19"/>
      <c r="E179" s="93"/>
      <c r="F179" s="107">
        <f>E179/G3</f>
        <v>0</v>
      </c>
      <c r="G179" s="93"/>
      <c r="H179" s="108">
        <f t="shared" si="4"/>
        <v>0</v>
      </c>
    </row>
    <row r="180" spans="1:8" ht="21" customHeight="1">
      <c r="A180" s="49">
        <v>8</v>
      </c>
      <c r="B180" s="19"/>
      <c r="C180" s="19"/>
      <c r="D180" s="19"/>
      <c r="E180" s="93"/>
      <c r="F180" s="107">
        <f>E180/G3</f>
        <v>0</v>
      </c>
      <c r="G180" s="93"/>
      <c r="H180" s="108">
        <f t="shared" si="4"/>
        <v>0</v>
      </c>
    </row>
    <row r="181" spans="1:8" ht="21" customHeight="1">
      <c r="A181" s="49">
        <v>9</v>
      </c>
      <c r="B181" s="19"/>
      <c r="C181" s="19"/>
      <c r="D181" s="19"/>
      <c r="E181" s="93"/>
      <c r="F181" s="107">
        <f>E181/G3</f>
        <v>0</v>
      </c>
      <c r="G181" s="93"/>
      <c r="H181" s="108">
        <f t="shared" si="4"/>
        <v>0</v>
      </c>
    </row>
    <row r="182" spans="1:8" ht="21" customHeight="1">
      <c r="A182" s="49">
        <v>10</v>
      </c>
      <c r="B182" s="19"/>
      <c r="C182" s="19"/>
      <c r="D182" s="19"/>
      <c r="E182" s="93"/>
      <c r="F182" s="107">
        <f>E182/G3</f>
        <v>0</v>
      </c>
      <c r="G182" s="93"/>
      <c r="H182" s="108">
        <f t="shared" si="4"/>
        <v>0</v>
      </c>
    </row>
    <row r="183" spans="1:8" ht="21" customHeight="1">
      <c r="A183" s="49">
        <v>11</v>
      </c>
      <c r="B183" s="19"/>
      <c r="C183" s="19"/>
      <c r="D183" s="19"/>
      <c r="E183" s="93"/>
      <c r="F183" s="107">
        <f>E183/G3</f>
        <v>0</v>
      </c>
      <c r="G183" s="93"/>
      <c r="H183" s="108">
        <f t="shared" si="4"/>
        <v>0</v>
      </c>
    </row>
    <row r="184" spans="1:8" ht="21" customHeight="1">
      <c r="A184" s="49">
        <v>12</v>
      </c>
      <c r="B184" s="19"/>
      <c r="C184" s="19"/>
      <c r="D184" s="19"/>
      <c r="E184" s="93"/>
      <c r="F184" s="107">
        <f>E184/G3</f>
        <v>0</v>
      </c>
      <c r="G184" s="93"/>
      <c r="H184" s="108">
        <f t="shared" si="4"/>
        <v>0</v>
      </c>
    </row>
    <row r="185" spans="1:8" ht="21" customHeight="1">
      <c r="A185" s="49">
        <v>13</v>
      </c>
      <c r="B185" s="19"/>
      <c r="C185" s="19"/>
      <c r="D185" s="19"/>
      <c r="E185" s="93"/>
      <c r="F185" s="107">
        <f>E185/G3</f>
        <v>0</v>
      </c>
      <c r="G185" s="93"/>
      <c r="H185" s="108">
        <f t="shared" si="4"/>
        <v>0</v>
      </c>
    </row>
    <row r="186" spans="1:8" ht="21" customHeight="1">
      <c r="A186" s="49">
        <v>14</v>
      </c>
      <c r="B186" s="19"/>
      <c r="C186" s="19"/>
      <c r="D186" s="19"/>
      <c r="E186" s="93"/>
      <c r="F186" s="107">
        <f>E186/G3</f>
        <v>0</v>
      </c>
      <c r="G186" s="93"/>
      <c r="H186" s="108">
        <f t="shared" si="4"/>
        <v>0</v>
      </c>
    </row>
    <row r="187" spans="1:8" ht="21" customHeight="1">
      <c r="A187" s="49">
        <v>15</v>
      </c>
      <c r="B187" s="19"/>
      <c r="C187" s="19"/>
      <c r="D187" s="19"/>
      <c r="E187" s="93"/>
      <c r="F187" s="107">
        <f>E187/G3</f>
        <v>0</v>
      </c>
      <c r="G187" s="93"/>
      <c r="H187" s="108">
        <f t="shared" si="4"/>
        <v>0</v>
      </c>
    </row>
    <row r="188" spans="1:8" ht="21" customHeight="1">
      <c r="A188" s="49">
        <v>16</v>
      </c>
      <c r="B188" s="19"/>
      <c r="C188" s="19"/>
      <c r="D188" s="19"/>
      <c r="E188" s="93"/>
      <c r="F188" s="107">
        <f>E188/G3</f>
        <v>0</v>
      </c>
      <c r="G188" s="93"/>
      <c r="H188" s="108">
        <f t="shared" si="4"/>
        <v>0</v>
      </c>
    </row>
    <row r="189" spans="1:8" ht="21" customHeight="1">
      <c r="A189" s="49">
        <v>17</v>
      </c>
      <c r="B189" s="19"/>
      <c r="C189" s="19"/>
      <c r="D189" s="19"/>
      <c r="E189" s="93"/>
      <c r="F189" s="107">
        <f>E189/G3</f>
        <v>0</v>
      </c>
      <c r="G189" s="93"/>
      <c r="H189" s="108">
        <f t="shared" si="4"/>
        <v>0</v>
      </c>
    </row>
    <row r="190" spans="1:8" ht="21" customHeight="1">
      <c r="A190" s="49">
        <v>18</v>
      </c>
      <c r="B190" s="19"/>
      <c r="C190" s="19"/>
      <c r="D190" s="19"/>
      <c r="E190" s="93"/>
      <c r="F190" s="107">
        <f>E190/G3</f>
        <v>0</v>
      </c>
      <c r="G190" s="93"/>
      <c r="H190" s="108">
        <f t="shared" si="4"/>
        <v>0</v>
      </c>
    </row>
    <row r="191" spans="1:8" ht="21" customHeight="1">
      <c r="A191" s="49">
        <v>19</v>
      </c>
      <c r="B191" s="19"/>
      <c r="C191" s="19"/>
      <c r="D191" s="19"/>
      <c r="E191" s="93"/>
      <c r="F191" s="107">
        <f>E191/G3</f>
        <v>0</v>
      </c>
      <c r="G191" s="93"/>
      <c r="H191" s="108">
        <f t="shared" si="4"/>
        <v>0</v>
      </c>
    </row>
    <row r="192" spans="1:8" ht="21" customHeight="1">
      <c r="A192" s="49">
        <v>20</v>
      </c>
      <c r="B192" s="19"/>
      <c r="C192" s="19"/>
      <c r="D192" s="19"/>
      <c r="E192" s="93"/>
      <c r="F192" s="107">
        <f>E192/G3</f>
        <v>0</v>
      </c>
      <c r="G192" s="93"/>
      <c r="H192" s="108">
        <f t="shared" si="4"/>
        <v>0</v>
      </c>
    </row>
    <row r="193" spans="1:8" ht="21" customHeight="1">
      <c r="A193" s="49">
        <v>21</v>
      </c>
      <c r="B193" s="19"/>
      <c r="C193" s="19"/>
      <c r="D193" s="19"/>
      <c r="E193" s="93"/>
      <c r="F193" s="107">
        <f>E193/G3</f>
        <v>0</v>
      </c>
      <c r="G193" s="93"/>
      <c r="H193" s="108">
        <f t="shared" si="4"/>
        <v>0</v>
      </c>
    </row>
    <row r="194" spans="1:8" ht="21" customHeight="1">
      <c r="A194" s="49">
        <v>22</v>
      </c>
      <c r="B194" s="19"/>
      <c r="C194" s="19"/>
      <c r="D194" s="19"/>
      <c r="E194" s="93"/>
      <c r="F194" s="107">
        <f>E194/G3</f>
        <v>0</v>
      </c>
      <c r="G194" s="93"/>
      <c r="H194" s="108">
        <f t="shared" si="4"/>
        <v>0</v>
      </c>
    </row>
    <row r="195" spans="1:8" ht="21" customHeight="1">
      <c r="A195" s="49">
        <v>23</v>
      </c>
      <c r="B195" s="19"/>
      <c r="C195" s="19"/>
      <c r="D195" s="19"/>
      <c r="E195" s="93"/>
      <c r="F195" s="107">
        <f>E195/G3</f>
        <v>0</v>
      </c>
      <c r="G195" s="93"/>
      <c r="H195" s="108">
        <f t="shared" si="4"/>
        <v>0</v>
      </c>
    </row>
    <row r="196" spans="1:8" ht="21" customHeight="1">
      <c r="A196" s="49">
        <v>24</v>
      </c>
      <c r="B196" s="19"/>
      <c r="C196" s="19"/>
      <c r="D196" s="19"/>
      <c r="E196" s="93"/>
      <c r="F196" s="107">
        <f>E196/G3</f>
        <v>0</v>
      </c>
      <c r="G196" s="93"/>
      <c r="H196" s="108">
        <f t="shared" si="4"/>
        <v>0</v>
      </c>
    </row>
    <row r="197" spans="1:8" ht="21" customHeight="1">
      <c r="A197" s="49">
        <v>25</v>
      </c>
      <c r="B197" s="19"/>
      <c r="C197" s="19"/>
      <c r="D197" s="19">
        <f>SUM(D173:D196)</f>
        <v>3</v>
      </c>
      <c r="E197" s="93"/>
      <c r="F197" s="107">
        <f>E197/G3</f>
        <v>0</v>
      </c>
      <c r="G197" s="93"/>
      <c r="H197" s="108">
        <f t="shared" si="4"/>
        <v>0</v>
      </c>
    </row>
    <row r="198" spans="1:8" ht="21" customHeight="1" thickBot="1">
      <c r="A198" s="398" t="s">
        <v>4</v>
      </c>
      <c r="B198" s="399"/>
      <c r="C198" s="399"/>
      <c r="D198" s="400"/>
      <c r="E198" s="112">
        <f>SUM(E173:E197)</f>
        <v>0</v>
      </c>
      <c r="F198" s="113">
        <f>E198/G3</f>
        <v>0</v>
      </c>
      <c r="G198" s="112">
        <f>SUM(G173:G197)</f>
        <v>500</v>
      </c>
      <c r="H198" s="126">
        <f>SUM(H173:H197)</f>
        <v>500</v>
      </c>
    </row>
    <row r="200" spans="1:8">
      <c r="A200" s="382" t="s">
        <v>7</v>
      </c>
      <c r="B200" s="382"/>
      <c r="C200" s="401" t="s">
        <v>377</v>
      </c>
      <c r="D200" s="401"/>
      <c r="E200" s="401" t="s">
        <v>378</v>
      </c>
      <c r="F200" s="401"/>
      <c r="G200" s="401"/>
      <c r="H200" s="52"/>
    </row>
    <row r="211" spans="1:8" ht="17.25" customHeight="1">
      <c r="A211" s="383" t="s">
        <v>329</v>
      </c>
      <c r="B211" s="403"/>
      <c r="C211" s="403"/>
      <c r="D211" s="403"/>
      <c r="E211" s="403"/>
      <c r="F211" s="52"/>
      <c r="G211" s="52"/>
      <c r="H211" s="52"/>
    </row>
    <row r="212" spans="1:8" ht="17.25" customHeight="1">
      <c r="A212" s="383" t="s">
        <v>498</v>
      </c>
      <c r="B212" s="403"/>
      <c r="C212" s="403"/>
      <c r="D212" s="403"/>
      <c r="E212" s="403"/>
      <c r="F212" s="404" t="s">
        <v>293</v>
      </c>
      <c r="G212" s="404"/>
      <c r="H212" s="52"/>
    </row>
    <row r="213" spans="1:8" ht="17.25" customHeight="1" thickBot="1">
      <c r="A213" s="397" t="s">
        <v>292</v>
      </c>
      <c r="B213" s="397"/>
      <c r="C213" s="397"/>
      <c r="D213" s="397"/>
      <c r="E213" s="397"/>
      <c r="F213" s="53" t="s">
        <v>91</v>
      </c>
      <c r="G213" s="376">
        <f>تسعير!E34</f>
        <v>3.6889904170881982</v>
      </c>
      <c r="H213" s="52"/>
    </row>
    <row r="214" spans="1:8" ht="21" customHeight="1">
      <c r="A214" s="50" t="s">
        <v>0</v>
      </c>
      <c r="B214" s="51" t="s">
        <v>77</v>
      </c>
      <c r="C214" s="90" t="s">
        <v>76</v>
      </c>
      <c r="D214" s="51" t="s">
        <v>79</v>
      </c>
      <c r="E214" s="51" t="s">
        <v>13</v>
      </c>
      <c r="F214" s="54" t="s">
        <v>83</v>
      </c>
      <c r="G214" s="54" t="s">
        <v>14</v>
      </c>
      <c r="H214" s="55" t="s">
        <v>78</v>
      </c>
    </row>
    <row r="215" spans="1:8" ht="21" customHeight="1">
      <c r="A215" s="49">
        <v>1</v>
      </c>
      <c r="B215" s="87" t="s">
        <v>296</v>
      </c>
      <c r="C215" s="89" t="s">
        <v>294</v>
      </c>
      <c r="D215" s="88">
        <v>6</v>
      </c>
      <c r="E215" s="93">
        <v>330</v>
      </c>
      <c r="F215" s="107">
        <f>E215/G3</f>
        <v>89.455369271594989</v>
      </c>
      <c r="G215" s="93"/>
      <c r="H215" s="108">
        <f>G215+F215</f>
        <v>89.455369271594989</v>
      </c>
    </row>
    <row r="216" spans="1:8" ht="21" customHeight="1">
      <c r="A216" s="49">
        <v>2</v>
      </c>
      <c r="B216" s="87" t="s">
        <v>296</v>
      </c>
      <c r="C216" s="89" t="s">
        <v>295</v>
      </c>
      <c r="D216" s="88">
        <v>6</v>
      </c>
      <c r="E216" s="93">
        <v>155</v>
      </c>
      <c r="F216" s="107">
        <f>E216/G3</f>
        <v>42.016915869991585</v>
      </c>
      <c r="G216" s="93"/>
      <c r="H216" s="108">
        <f t="shared" ref="H216:H239" si="5">G216+F216</f>
        <v>42.016915869991585</v>
      </c>
    </row>
    <row r="217" spans="1:8" ht="21" customHeight="1">
      <c r="A217" s="49">
        <v>3</v>
      </c>
      <c r="B217" s="87" t="s">
        <v>296</v>
      </c>
      <c r="C217" s="60" t="s">
        <v>478</v>
      </c>
      <c r="D217" s="88">
        <v>6</v>
      </c>
      <c r="E217" s="93">
        <v>340</v>
      </c>
      <c r="F217" s="107">
        <f>E217/G3</f>
        <v>92.166138037400898</v>
      </c>
      <c r="G217" s="93"/>
      <c r="H217" s="108">
        <f t="shared" si="5"/>
        <v>92.166138037400898</v>
      </c>
    </row>
    <row r="218" spans="1:8" ht="21" customHeight="1">
      <c r="A218" s="49">
        <v>4</v>
      </c>
      <c r="B218" s="87"/>
      <c r="C218" s="60"/>
      <c r="D218" s="88"/>
      <c r="E218" s="93"/>
      <c r="F218" s="107">
        <f>E218/G3</f>
        <v>0</v>
      </c>
      <c r="G218" s="93"/>
      <c r="H218" s="108">
        <f t="shared" si="5"/>
        <v>0</v>
      </c>
    </row>
    <row r="219" spans="1:8" ht="21" customHeight="1">
      <c r="A219" s="49">
        <v>5</v>
      </c>
      <c r="B219" s="19"/>
      <c r="C219" s="60"/>
      <c r="D219" s="19"/>
      <c r="E219" s="93"/>
      <c r="F219" s="107">
        <f>E219/G3</f>
        <v>0</v>
      </c>
      <c r="G219" s="93"/>
      <c r="H219" s="108">
        <f t="shared" si="5"/>
        <v>0</v>
      </c>
    </row>
    <row r="220" spans="1:8" ht="21" customHeight="1">
      <c r="A220" s="49">
        <v>6</v>
      </c>
      <c r="B220" s="19"/>
      <c r="C220" s="19"/>
      <c r="D220" s="19"/>
      <c r="E220" s="93"/>
      <c r="F220" s="107">
        <f>E220/G3</f>
        <v>0</v>
      </c>
      <c r="G220" s="93"/>
      <c r="H220" s="108">
        <f t="shared" si="5"/>
        <v>0</v>
      </c>
    </row>
    <row r="221" spans="1:8" ht="21" customHeight="1">
      <c r="A221" s="49">
        <v>7</v>
      </c>
      <c r="B221" s="19"/>
      <c r="C221" s="19"/>
      <c r="D221" s="19"/>
      <c r="E221" s="93"/>
      <c r="F221" s="107">
        <f>E221/G3</f>
        <v>0</v>
      </c>
      <c r="G221" s="93"/>
      <c r="H221" s="108">
        <f t="shared" si="5"/>
        <v>0</v>
      </c>
    </row>
    <row r="222" spans="1:8" ht="21" customHeight="1">
      <c r="A222" s="49">
        <v>8</v>
      </c>
      <c r="B222" s="19"/>
      <c r="C222" s="19"/>
      <c r="D222" s="19"/>
      <c r="E222" s="93"/>
      <c r="F222" s="107">
        <f>E222/G3</f>
        <v>0</v>
      </c>
      <c r="G222" s="93"/>
      <c r="H222" s="108">
        <f t="shared" si="5"/>
        <v>0</v>
      </c>
    </row>
    <row r="223" spans="1:8" ht="21" customHeight="1">
      <c r="A223" s="49">
        <v>9</v>
      </c>
      <c r="B223" s="19"/>
      <c r="C223" s="19"/>
      <c r="D223" s="19"/>
      <c r="E223" s="93"/>
      <c r="F223" s="107">
        <f>E223/G3</f>
        <v>0</v>
      </c>
      <c r="G223" s="93"/>
      <c r="H223" s="108">
        <f t="shared" si="5"/>
        <v>0</v>
      </c>
    </row>
    <row r="224" spans="1:8" ht="21" customHeight="1">
      <c r="A224" s="49">
        <v>10</v>
      </c>
      <c r="B224" s="19"/>
      <c r="C224" s="19"/>
      <c r="D224" s="19"/>
      <c r="E224" s="93"/>
      <c r="F224" s="107">
        <f>E224/G3</f>
        <v>0</v>
      </c>
      <c r="G224" s="93"/>
      <c r="H224" s="108">
        <f t="shared" si="5"/>
        <v>0</v>
      </c>
    </row>
    <row r="225" spans="1:8" ht="21" customHeight="1">
      <c r="A225" s="49">
        <v>11</v>
      </c>
      <c r="B225" s="19"/>
      <c r="C225" s="19"/>
      <c r="D225" s="19"/>
      <c r="E225" s="93"/>
      <c r="F225" s="107">
        <f>E225/G3</f>
        <v>0</v>
      </c>
      <c r="G225" s="93"/>
      <c r="H225" s="108">
        <f t="shared" si="5"/>
        <v>0</v>
      </c>
    </row>
    <row r="226" spans="1:8" ht="21" customHeight="1">
      <c r="A226" s="49">
        <v>12</v>
      </c>
      <c r="B226" s="19"/>
      <c r="C226" s="19"/>
      <c r="D226" s="19"/>
      <c r="E226" s="93"/>
      <c r="F226" s="107">
        <f>E226/G3</f>
        <v>0</v>
      </c>
      <c r="G226" s="93"/>
      <c r="H226" s="108">
        <f t="shared" si="5"/>
        <v>0</v>
      </c>
    </row>
    <row r="227" spans="1:8" ht="21" customHeight="1">
      <c r="A227" s="49">
        <v>13</v>
      </c>
      <c r="B227" s="19"/>
      <c r="C227" s="19"/>
      <c r="D227" s="19"/>
      <c r="E227" s="93"/>
      <c r="F227" s="107">
        <f>E227/G3</f>
        <v>0</v>
      </c>
      <c r="G227" s="93"/>
      <c r="H227" s="108">
        <f t="shared" si="5"/>
        <v>0</v>
      </c>
    </row>
    <row r="228" spans="1:8" ht="21" customHeight="1">
      <c r="A228" s="49">
        <v>14</v>
      </c>
      <c r="B228" s="19"/>
      <c r="C228" s="19"/>
      <c r="D228" s="19"/>
      <c r="E228" s="93"/>
      <c r="F228" s="107">
        <f>E228/G3</f>
        <v>0</v>
      </c>
      <c r="G228" s="93"/>
      <c r="H228" s="108">
        <f t="shared" si="5"/>
        <v>0</v>
      </c>
    </row>
    <row r="229" spans="1:8" ht="21" customHeight="1">
      <c r="A229" s="49">
        <v>15</v>
      </c>
      <c r="B229" s="19"/>
      <c r="C229" s="19"/>
      <c r="D229" s="19"/>
      <c r="E229" s="93"/>
      <c r="F229" s="107">
        <f>E229/G3</f>
        <v>0</v>
      </c>
      <c r="G229" s="93"/>
      <c r="H229" s="108">
        <f t="shared" si="5"/>
        <v>0</v>
      </c>
    </row>
    <row r="230" spans="1:8" ht="21" customHeight="1">
      <c r="A230" s="49">
        <v>16</v>
      </c>
      <c r="B230" s="19"/>
      <c r="C230" s="19"/>
      <c r="D230" s="19"/>
      <c r="E230" s="93"/>
      <c r="F230" s="107">
        <f>E230/G3</f>
        <v>0</v>
      </c>
      <c r="G230" s="93"/>
      <c r="H230" s="108">
        <f t="shared" si="5"/>
        <v>0</v>
      </c>
    </row>
    <row r="231" spans="1:8" ht="21" customHeight="1">
      <c r="A231" s="49">
        <v>17</v>
      </c>
      <c r="B231" s="19"/>
      <c r="C231" s="19"/>
      <c r="D231" s="19"/>
      <c r="E231" s="93"/>
      <c r="F231" s="107">
        <f>E231/G3</f>
        <v>0</v>
      </c>
      <c r="G231" s="93"/>
      <c r="H231" s="108">
        <f t="shared" si="5"/>
        <v>0</v>
      </c>
    </row>
    <row r="232" spans="1:8" ht="21" customHeight="1">
      <c r="A232" s="49">
        <v>18</v>
      </c>
      <c r="B232" s="19"/>
      <c r="C232" s="19"/>
      <c r="D232" s="19"/>
      <c r="E232" s="93"/>
      <c r="F232" s="107">
        <f>E232/G3</f>
        <v>0</v>
      </c>
      <c r="G232" s="93"/>
      <c r="H232" s="108">
        <f t="shared" si="5"/>
        <v>0</v>
      </c>
    </row>
    <row r="233" spans="1:8" ht="21" customHeight="1">
      <c r="A233" s="49">
        <v>19</v>
      </c>
      <c r="B233" s="19"/>
      <c r="C233" s="19"/>
      <c r="D233" s="19"/>
      <c r="E233" s="93"/>
      <c r="F233" s="107">
        <f>E233/G3</f>
        <v>0</v>
      </c>
      <c r="G233" s="93"/>
      <c r="H233" s="108">
        <f t="shared" si="5"/>
        <v>0</v>
      </c>
    </row>
    <row r="234" spans="1:8" ht="21" customHeight="1">
      <c r="A234" s="49">
        <v>20</v>
      </c>
      <c r="B234" s="19"/>
      <c r="C234" s="19"/>
      <c r="D234" s="19"/>
      <c r="E234" s="93"/>
      <c r="F234" s="107">
        <f>E234/G3</f>
        <v>0</v>
      </c>
      <c r="G234" s="93"/>
      <c r="H234" s="108">
        <f t="shared" si="5"/>
        <v>0</v>
      </c>
    </row>
    <row r="235" spans="1:8" ht="21" customHeight="1">
      <c r="A235" s="49">
        <v>21</v>
      </c>
      <c r="B235" s="19"/>
      <c r="C235" s="19"/>
      <c r="D235" s="19"/>
      <c r="E235" s="93"/>
      <c r="F235" s="107">
        <f>E235/G3</f>
        <v>0</v>
      </c>
      <c r="G235" s="93"/>
      <c r="H235" s="108">
        <f t="shared" si="5"/>
        <v>0</v>
      </c>
    </row>
    <row r="236" spans="1:8" ht="21" customHeight="1">
      <c r="A236" s="49">
        <v>22</v>
      </c>
      <c r="B236" s="19"/>
      <c r="C236" s="19"/>
      <c r="D236" s="19"/>
      <c r="E236" s="93"/>
      <c r="F236" s="107">
        <f>E236/G3</f>
        <v>0</v>
      </c>
      <c r="G236" s="93"/>
      <c r="H236" s="108">
        <f t="shared" si="5"/>
        <v>0</v>
      </c>
    </row>
    <row r="237" spans="1:8" ht="21" customHeight="1">
      <c r="A237" s="49">
        <v>23</v>
      </c>
      <c r="B237" s="19"/>
      <c r="C237" s="19"/>
      <c r="D237" s="19"/>
      <c r="E237" s="93"/>
      <c r="F237" s="107">
        <f>E237/G3</f>
        <v>0</v>
      </c>
      <c r="G237" s="93"/>
      <c r="H237" s="108">
        <f t="shared" si="5"/>
        <v>0</v>
      </c>
    </row>
    <row r="238" spans="1:8" ht="21" customHeight="1">
      <c r="A238" s="49">
        <v>24</v>
      </c>
      <c r="B238" s="19"/>
      <c r="C238" s="19"/>
      <c r="D238" s="19"/>
      <c r="E238" s="93"/>
      <c r="F238" s="107">
        <f>E238/G3</f>
        <v>0</v>
      </c>
      <c r="G238" s="93"/>
      <c r="H238" s="108">
        <f t="shared" si="5"/>
        <v>0</v>
      </c>
    </row>
    <row r="239" spans="1:8" ht="21" customHeight="1">
      <c r="A239" s="49">
        <v>25</v>
      </c>
      <c r="B239" s="19"/>
      <c r="C239" s="19"/>
      <c r="D239" s="19">
        <f>SUM(D215:D238)</f>
        <v>18</v>
      </c>
      <c r="E239" s="93"/>
      <c r="F239" s="107">
        <f>E239/G3</f>
        <v>0</v>
      </c>
      <c r="G239" s="93"/>
      <c r="H239" s="108">
        <f t="shared" si="5"/>
        <v>0</v>
      </c>
    </row>
    <row r="240" spans="1:8" ht="21" customHeight="1" thickBot="1">
      <c r="A240" s="398" t="s">
        <v>4</v>
      </c>
      <c r="B240" s="399"/>
      <c r="C240" s="399"/>
      <c r="D240" s="400"/>
      <c r="E240" s="112">
        <f>SUM(E215:E239)</f>
        <v>825</v>
      </c>
      <c r="F240" s="113">
        <f>E240/G3</f>
        <v>223.63842317898749</v>
      </c>
      <c r="G240" s="112">
        <f>SUM(G215:G239)</f>
        <v>0</v>
      </c>
      <c r="H240" s="126">
        <f>SUM(H215:H239)</f>
        <v>223.63842317898747</v>
      </c>
    </row>
    <row r="242" spans="1:8">
      <c r="A242" s="382" t="s">
        <v>7</v>
      </c>
      <c r="B242" s="382"/>
      <c r="C242" s="401" t="s">
        <v>377</v>
      </c>
      <c r="D242" s="401"/>
      <c r="E242" s="401" t="s">
        <v>378</v>
      </c>
      <c r="F242" s="401"/>
      <c r="G242" s="401"/>
      <c r="H242" s="52"/>
    </row>
    <row r="253" spans="1:8" ht="17.25" customHeight="1">
      <c r="A253" s="383" t="s">
        <v>329</v>
      </c>
      <c r="B253" s="403"/>
      <c r="C253" s="403"/>
      <c r="D253" s="403"/>
      <c r="E253" s="403"/>
      <c r="F253" s="52"/>
      <c r="G253" s="52"/>
      <c r="H253" s="52"/>
    </row>
    <row r="254" spans="1:8" ht="17.25" customHeight="1">
      <c r="A254" s="383" t="s">
        <v>498</v>
      </c>
      <c r="B254" s="403"/>
      <c r="C254" s="403"/>
      <c r="D254" s="403"/>
      <c r="E254" s="403"/>
      <c r="F254" s="404" t="s">
        <v>299</v>
      </c>
      <c r="G254" s="404"/>
      <c r="H254" s="52"/>
    </row>
    <row r="255" spans="1:8" ht="17.25" customHeight="1" thickBot="1">
      <c r="A255" s="397" t="s">
        <v>298</v>
      </c>
      <c r="B255" s="397"/>
      <c r="C255" s="397"/>
      <c r="D255" s="397"/>
      <c r="E255" s="397"/>
      <c r="F255" s="53" t="s">
        <v>91</v>
      </c>
      <c r="G255" s="376">
        <f>تسعير!E34</f>
        <v>3.6889904170881982</v>
      </c>
      <c r="H255" s="52"/>
    </row>
    <row r="256" spans="1:8" ht="21" customHeight="1">
      <c r="A256" s="50" t="s">
        <v>0</v>
      </c>
      <c r="B256" s="51" t="s">
        <v>77</v>
      </c>
      <c r="C256" s="90" t="s">
        <v>76</v>
      </c>
      <c r="D256" s="51" t="s">
        <v>79</v>
      </c>
      <c r="E256" s="51" t="s">
        <v>13</v>
      </c>
      <c r="F256" s="54" t="s">
        <v>83</v>
      </c>
      <c r="G256" s="54" t="s">
        <v>14</v>
      </c>
      <c r="H256" s="55" t="s">
        <v>78</v>
      </c>
    </row>
    <row r="257" spans="1:8" ht="30" customHeight="1">
      <c r="A257" s="49">
        <v>1</v>
      </c>
      <c r="B257" s="87" t="s">
        <v>302</v>
      </c>
      <c r="C257" s="94" t="s">
        <v>300</v>
      </c>
      <c r="D257" s="88">
        <v>1</v>
      </c>
      <c r="E257" s="93">
        <v>700</v>
      </c>
      <c r="F257" s="107">
        <f>E257/G3</f>
        <v>189.75381360641362</v>
      </c>
      <c r="G257" s="93"/>
      <c r="H257" s="108">
        <f t="shared" ref="H257:H263" si="6">G257+F257</f>
        <v>189.75381360641362</v>
      </c>
    </row>
    <row r="258" spans="1:8" ht="30" customHeight="1">
      <c r="A258" s="49">
        <v>2</v>
      </c>
      <c r="B258" s="87" t="s">
        <v>270</v>
      </c>
      <c r="C258" s="94" t="s">
        <v>361</v>
      </c>
      <c r="D258" s="88">
        <v>1</v>
      </c>
      <c r="E258" s="93">
        <v>286</v>
      </c>
      <c r="F258" s="107">
        <f>E258/G3</f>
        <v>77.527986702048992</v>
      </c>
      <c r="G258" s="109"/>
      <c r="H258" s="108">
        <f t="shared" si="6"/>
        <v>77.527986702048992</v>
      </c>
    </row>
    <row r="259" spans="1:8" ht="30" customHeight="1">
      <c r="A259" s="49">
        <v>3</v>
      </c>
      <c r="B259" s="87" t="s">
        <v>238</v>
      </c>
      <c r="C259" s="94" t="s">
        <v>362</v>
      </c>
      <c r="D259" s="88">
        <v>2</v>
      </c>
      <c r="E259" s="93">
        <v>858</v>
      </c>
      <c r="F259" s="107">
        <f>E259/G3</f>
        <v>232.58396010614698</v>
      </c>
      <c r="G259" s="109"/>
      <c r="H259" s="108">
        <f t="shared" si="6"/>
        <v>232.58396010614698</v>
      </c>
    </row>
    <row r="260" spans="1:8" ht="30" customHeight="1">
      <c r="A260" s="49">
        <v>4</v>
      </c>
      <c r="B260" s="87" t="s">
        <v>303</v>
      </c>
      <c r="C260" s="110" t="s">
        <v>363</v>
      </c>
      <c r="D260" s="88">
        <v>1</v>
      </c>
      <c r="E260" s="93">
        <v>572</v>
      </c>
      <c r="F260" s="107">
        <f>E260/G3</f>
        <v>155.05597340409798</v>
      </c>
      <c r="G260" s="109"/>
      <c r="H260" s="108">
        <f t="shared" si="6"/>
        <v>155.05597340409798</v>
      </c>
    </row>
    <row r="261" spans="1:8" ht="30" customHeight="1">
      <c r="A261" s="49">
        <v>5</v>
      </c>
      <c r="B261" s="87" t="s">
        <v>304</v>
      </c>
      <c r="C261" s="94" t="s">
        <v>364</v>
      </c>
      <c r="D261" s="88">
        <v>1</v>
      </c>
      <c r="E261" s="93">
        <v>1430</v>
      </c>
      <c r="F261" s="107">
        <f>E261/G3</f>
        <v>387.63993351024499</v>
      </c>
      <c r="G261" s="109"/>
      <c r="H261" s="108">
        <f t="shared" si="6"/>
        <v>387.63993351024499</v>
      </c>
    </row>
    <row r="262" spans="1:8" ht="30" customHeight="1">
      <c r="A262" s="49">
        <v>6</v>
      </c>
      <c r="B262" s="87" t="s">
        <v>305</v>
      </c>
      <c r="C262" s="94" t="s">
        <v>301</v>
      </c>
      <c r="D262" s="88">
        <v>1</v>
      </c>
      <c r="E262" s="93">
        <v>858</v>
      </c>
      <c r="F262" s="107">
        <f>E262/G3</f>
        <v>232.58396010614698</v>
      </c>
      <c r="G262" s="109"/>
      <c r="H262" s="108">
        <f t="shared" si="6"/>
        <v>232.58396010614698</v>
      </c>
    </row>
    <row r="263" spans="1:8" ht="30" customHeight="1">
      <c r="A263" s="49">
        <v>7</v>
      </c>
      <c r="B263" s="87" t="s">
        <v>306</v>
      </c>
      <c r="C263" s="94" t="s">
        <v>364</v>
      </c>
      <c r="D263" s="88">
        <v>1</v>
      </c>
      <c r="E263" s="93">
        <v>858</v>
      </c>
      <c r="F263" s="107">
        <f>E263/G3</f>
        <v>232.58396010614698</v>
      </c>
      <c r="G263" s="109"/>
      <c r="H263" s="108">
        <f t="shared" si="6"/>
        <v>232.58396010614698</v>
      </c>
    </row>
    <row r="264" spans="1:8" ht="21" customHeight="1">
      <c r="A264" s="49">
        <v>8</v>
      </c>
      <c r="B264" s="19"/>
      <c r="C264" s="65" t="s">
        <v>513</v>
      </c>
      <c r="D264" s="19"/>
      <c r="E264" s="93"/>
      <c r="F264" s="107">
        <f>E264/G3</f>
        <v>0</v>
      </c>
      <c r="G264" s="93"/>
      <c r="H264" s="108">
        <f t="shared" ref="H264:H281" si="7">G264+F264</f>
        <v>0</v>
      </c>
    </row>
    <row r="265" spans="1:8" ht="21" customHeight="1">
      <c r="A265" s="49">
        <v>9</v>
      </c>
      <c r="B265" s="19"/>
      <c r="C265" s="19" t="s">
        <v>514</v>
      </c>
      <c r="D265" s="19"/>
      <c r="E265" s="93"/>
      <c r="F265" s="107">
        <f>E265/G3</f>
        <v>0</v>
      </c>
      <c r="G265" s="93"/>
      <c r="H265" s="108">
        <f t="shared" si="7"/>
        <v>0</v>
      </c>
    </row>
    <row r="266" spans="1:8" ht="21" customHeight="1">
      <c r="A266" s="49">
        <v>10</v>
      </c>
      <c r="B266" s="19"/>
      <c r="C266" s="19" t="s">
        <v>515</v>
      </c>
      <c r="D266" s="19"/>
      <c r="E266" s="93"/>
      <c r="F266" s="107">
        <f>E266/G3</f>
        <v>0</v>
      </c>
      <c r="G266" s="93"/>
      <c r="H266" s="108">
        <f t="shared" si="7"/>
        <v>0</v>
      </c>
    </row>
    <row r="267" spans="1:8" ht="21" customHeight="1">
      <c r="A267" s="49">
        <v>11</v>
      </c>
      <c r="B267" s="19"/>
      <c r="C267" s="19" t="s">
        <v>516</v>
      </c>
      <c r="D267" s="19"/>
      <c r="E267" s="93"/>
      <c r="F267" s="107">
        <f>E267/G3</f>
        <v>0</v>
      </c>
      <c r="G267" s="93"/>
      <c r="H267" s="108">
        <f t="shared" si="7"/>
        <v>0</v>
      </c>
    </row>
    <row r="268" spans="1:8" ht="21" customHeight="1">
      <c r="A268" s="49">
        <v>12</v>
      </c>
      <c r="B268" s="19"/>
      <c r="C268" s="19" t="s">
        <v>514</v>
      </c>
      <c r="D268" s="19"/>
      <c r="E268" s="93"/>
      <c r="F268" s="107">
        <f>E268/G3</f>
        <v>0</v>
      </c>
      <c r="G268" s="93"/>
      <c r="H268" s="108">
        <f t="shared" si="7"/>
        <v>0</v>
      </c>
    </row>
    <row r="269" spans="1:8" ht="21" customHeight="1">
      <c r="A269" s="49">
        <v>13</v>
      </c>
      <c r="B269" s="19"/>
      <c r="C269" s="19" t="s">
        <v>514</v>
      </c>
      <c r="D269" s="19"/>
      <c r="E269" s="93"/>
      <c r="F269" s="107">
        <f>E269/G3</f>
        <v>0</v>
      </c>
      <c r="G269" s="93"/>
      <c r="H269" s="108">
        <f t="shared" si="7"/>
        <v>0</v>
      </c>
    </row>
    <row r="270" spans="1:8" ht="21" customHeight="1">
      <c r="A270" s="49">
        <v>14</v>
      </c>
      <c r="B270" s="19"/>
      <c r="C270" s="19"/>
      <c r="D270" s="19"/>
      <c r="E270" s="93"/>
      <c r="F270" s="107">
        <f>E270/G3</f>
        <v>0</v>
      </c>
      <c r="G270" s="93"/>
      <c r="H270" s="108">
        <f t="shared" si="7"/>
        <v>0</v>
      </c>
    </row>
    <row r="271" spans="1:8" ht="21" customHeight="1">
      <c r="A271" s="49">
        <v>15</v>
      </c>
      <c r="B271" s="19"/>
      <c r="C271" s="19"/>
      <c r="D271" s="19"/>
      <c r="E271" s="93"/>
      <c r="F271" s="107">
        <f>E271/G3</f>
        <v>0</v>
      </c>
      <c r="G271" s="93"/>
      <c r="H271" s="108">
        <f t="shared" si="7"/>
        <v>0</v>
      </c>
    </row>
    <row r="272" spans="1:8" ht="21" customHeight="1">
      <c r="A272" s="49">
        <v>16</v>
      </c>
      <c r="B272" s="19"/>
      <c r="C272" s="19"/>
      <c r="D272" s="19"/>
      <c r="E272" s="93"/>
      <c r="F272" s="107">
        <f>E272/G3</f>
        <v>0</v>
      </c>
      <c r="G272" s="93"/>
      <c r="H272" s="108">
        <f t="shared" si="7"/>
        <v>0</v>
      </c>
    </row>
    <row r="273" spans="1:8" ht="21" customHeight="1">
      <c r="A273" s="49">
        <v>17</v>
      </c>
      <c r="B273" s="19"/>
      <c r="C273" s="19"/>
      <c r="D273" s="19"/>
      <c r="E273" s="93"/>
      <c r="F273" s="107">
        <f>E273/G3</f>
        <v>0</v>
      </c>
      <c r="G273" s="93"/>
      <c r="H273" s="108">
        <f t="shared" si="7"/>
        <v>0</v>
      </c>
    </row>
    <row r="274" spans="1:8" ht="21" customHeight="1">
      <c r="A274" s="49">
        <v>18</v>
      </c>
      <c r="B274" s="19"/>
      <c r="C274" s="19"/>
      <c r="D274" s="19"/>
      <c r="E274" s="93"/>
      <c r="F274" s="107">
        <f>E274/G3</f>
        <v>0</v>
      </c>
      <c r="G274" s="93"/>
      <c r="H274" s="108">
        <f t="shared" si="7"/>
        <v>0</v>
      </c>
    </row>
    <row r="275" spans="1:8" ht="21" customHeight="1">
      <c r="A275" s="49">
        <v>19</v>
      </c>
      <c r="B275" s="19"/>
      <c r="C275" s="19"/>
      <c r="D275" s="19"/>
      <c r="E275" s="93"/>
      <c r="F275" s="107">
        <f>E275/G3</f>
        <v>0</v>
      </c>
      <c r="G275" s="93"/>
      <c r="H275" s="108">
        <f t="shared" si="7"/>
        <v>0</v>
      </c>
    </row>
    <row r="276" spans="1:8" ht="21" customHeight="1">
      <c r="A276" s="49">
        <v>20</v>
      </c>
      <c r="B276" s="19"/>
      <c r="C276" s="19"/>
      <c r="D276" s="19"/>
      <c r="E276" s="93"/>
      <c r="F276" s="107">
        <f>E276/G3</f>
        <v>0</v>
      </c>
      <c r="G276" s="93"/>
      <c r="H276" s="108">
        <f t="shared" si="7"/>
        <v>0</v>
      </c>
    </row>
    <row r="277" spans="1:8" ht="21" customHeight="1">
      <c r="A277" s="49">
        <v>21</v>
      </c>
      <c r="B277" s="19"/>
      <c r="C277" s="19"/>
      <c r="D277" s="19"/>
      <c r="E277" s="93"/>
      <c r="F277" s="107">
        <f>E277/G3</f>
        <v>0</v>
      </c>
      <c r="G277" s="93"/>
      <c r="H277" s="108">
        <f t="shared" si="7"/>
        <v>0</v>
      </c>
    </row>
    <row r="278" spans="1:8" ht="21" customHeight="1">
      <c r="A278" s="49">
        <v>22</v>
      </c>
      <c r="B278" s="19"/>
      <c r="C278" s="19"/>
      <c r="D278" s="19"/>
      <c r="E278" s="93"/>
      <c r="F278" s="107">
        <f>E278/G3</f>
        <v>0</v>
      </c>
      <c r="G278" s="93"/>
      <c r="H278" s="108">
        <f t="shared" si="7"/>
        <v>0</v>
      </c>
    </row>
    <row r="279" spans="1:8" ht="21" customHeight="1">
      <c r="A279" s="49">
        <v>23</v>
      </c>
      <c r="B279" s="19"/>
      <c r="C279" s="19"/>
      <c r="D279" s="19"/>
      <c r="E279" s="93"/>
      <c r="F279" s="107">
        <f>E279/G3</f>
        <v>0</v>
      </c>
      <c r="G279" s="93"/>
      <c r="H279" s="108">
        <f t="shared" si="7"/>
        <v>0</v>
      </c>
    </row>
    <row r="280" spans="1:8" ht="21" customHeight="1">
      <c r="A280" s="49">
        <v>24</v>
      </c>
      <c r="B280" s="19"/>
      <c r="C280" s="19"/>
      <c r="D280" s="19"/>
      <c r="E280" s="93"/>
      <c r="F280" s="107">
        <f>E280/G3</f>
        <v>0</v>
      </c>
      <c r="G280" s="93"/>
      <c r="H280" s="108">
        <f t="shared" si="7"/>
        <v>0</v>
      </c>
    </row>
    <row r="281" spans="1:8" ht="21" customHeight="1">
      <c r="A281" s="49">
        <v>25</v>
      </c>
      <c r="B281" s="19"/>
      <c r="C281" s="19"/>
      <c r="D281" s="19">
        <f>SUM(D257:D280)</f>
        <v>8</v>
      </c>
      <c r="E281" s="93"/>
      <c r="F281" s="107">
        <f>E281/G3</f>
        <v>0</v>
      </c>
      <c r="G281" s="93"/>
      <c r="H281" s="108">
        <f t="shared" si="7"/>
        <v>0</v>
      </c>
    </row>
    <row r="282" spans="1:8" ht="21" customHeight="1" thickBot="1">
      <c r="A282" s="398" t="s">
        <v>4</v>
      </c>
      <c r="B282" s="399"/>
      <c r="C282" s="399"/>
      <c r="D282" s="400"/>
      <c r="E282" s="112">
        <f>SUM(E257:E281)</f>
        <v>5562</v>
      </c>
      <c r="F282" s="118">
        <f>E282/G3</f>
        <v>1507.7295875412465</v>
      </c>
      <c r="G282" s="121">
        <f>SUM(G257:G281)</f>
        <v>0</v>
      </c>
      <c r="H282" s="119">
        <f>SUM(H257:H281)</f>
        <v>1507.7295875412465</v>
      </c>
    </row>
    <row r="284" spans="1:8">
      <c r="A284" s="382" t="s">
        <v>7</v>
      </c>
      <c r="B284" s="382"/>
      <c r="C284" s="401" t="s">
        <v>377</v>
      </c>
      <c r="D284" s="401"/>
      <c r="E284" s="401" t="s">
        <v>378</v>
      </c>
      <c r="F284" s="401"/>
      <c r="G284" s="401"/>
      <c r="H284" s="52"/>
    </row>
    <row r="295" spans="1:8" ht="17.25" customHeight="1">
      <c r="A295" s="383" t="s">
        <v>312</v>
      </c>
      <c r="B295" s="403"/>
      <c r="C295" s="403"/>
      <c r="D295" s="403"/>
      <c r="E295" s="403"/>
      <c r="F295" s="52"/>
      <c r="G295" s="52"/>
      <c r="H295" s="52"/>
    </row>
    <row r="296" spans="1:8" ht="17.25" customHeight="1">
      <c r="A296" s="383" t="s">
        <v>498</v>
      </c>
      <c r="B296" s="403"/>
      <c r="C296" s="403"/>
      <c r="D296" s="403"/>
      <c r="E296" s="403"/>
      <c r="F296" s="404" t="s">
        <v>309</v>
      </c>
      <c r="G296" s="404"/>
      <c r="H296" s="52"/>
    </row>
    <row r="297" spans="1:8" ht="17.25" customHeight="1" thickBot="1">
      <c r="A297" s="397" t="s">
        <v>308</v>
      </c>
      <c r="B297" s="397"/>
      <c r="C297" s="397"/>
      <c r="D297" s="397"/>
      <c r="E297" s="397"/>
      <c r="F297" s="53" t="s">
        <v>91</v>
      </c>
      <c r="G297" s="376">
        <f>تسعير!E34</f>
        <v>3.6889904170881982</v>
      </c>
      <c r="H297" s="52"/>
    </row>
    <row r="298" spans="1:8" ht="21" customHeight="1" thickBot="1">
      <c r="A298" s="102" t="s">
        <v>0</v>
      </c>
      <c r="B298" s="90" t="s">
        <v>77</v>
      </c>
      <c r="C298" s="90" t="s">
        <v>76</v>
      </c>
      <c r="D298" s="90" t="s">
        <v>79</v>
      </c>
      <c r="E298" s="90" t="s">
        <v>13</v>
      </c>
      <c r="F298" s="145" t="s">
        <v>83</v>
      </c>
      <c r="G298" s="145" t="s">
        <v>14</v>
      </c>
      <c r="H298" s="146" t="s">
        <v>78</v>
      </c>
    </row>
    <row r="299" spans="1:8" ht="30" customHeight="1">
      <c r="A299" s="147">
        <v>1</v>
      </c>
      <c r="B299" s="148" t="s">
        <v>178</v>
      </c>
      <c r="C299" s="149" t="s">
        <v>310</v>
      </c>
      <c r="D299" s="150">
        <v>2</v>
      </c>
      <c r="E299" s="151">
        <v>300</v>
      </c>
      <c r="F299" s="152">
        <f>E299/G3</f>
        <v>81.323062974177262</v>
      </c>
      <c r="G299" s="151"/>
      <c r="H299" s="153">
        <f>G299+F299</f>
        <v>81.323062974177262</v>
      </c>
    </row>
    <row r="300" spans="1:8" ht="30" customHeight="1">
      <c r="A300" s="49">
        <v>2</v>
      </c>
      <c r="B300" s="87" t="s">
        <v>200</v>
      </c>
      <c r="C300" s="89" t="s">
        <v>311</v>
      </c>
      <c r="D300" s="88">
        <v>1</v>
      </c>
      <c r="E300" s="93">
        <v>100</v>
      </c>
      <c r="F300" s="107">
        <f>E300/G3</f>
        <v>27.107687658059088</v>
      </c>
      <c r="G300" s="93"/>
      <c r="H300" s="108">
        <f t="shared" ref="H300:H323" si="8">G300+F300</f>
        <v>27.107687658059088</v>
      </c>
    </row>
    <row r="301" spans="1:8" ht="21" customHeight="1">
      <c r="A301" s="49">
        <v>3</v>
      </c>
      <c r="B301" s="19"/>
      <c r="C301" s="65"/>
      <c r="D301" s="19"/>
      <c r="E301" s="93"/>
      <c r="F301" s="107">
        <f>E301/G3</f>
        <v>0</v>
      </c>
      <c r="G301" s="93"/>
      <c r="H301" s="108">
        <f t="shared" si="8"/>
        <v>0</v>
      </c>
    </row>
    <row r="302" spans="1:8" ht="21" customHeight="1">
      <c r="A302" s="49">
        <v>4</v>
      </c>
      <c r="B302" s="19"/>
      <c r="C302" s="19"/>
      <c r="D302" s="19"/>
      <c r="E302" s="93"/>
      <c r="F302" s="107">
        <f>E302/G3</f>
        <v>0</v>
      </c>
      <c r="G302" s="93"/>
      <c r="H302" s="108">
        <f t="shared" si="8"/>
        <v>0</v>
      </c>
    </row>
    <row r="303" spans="1:8" ht="21" customHeight="1">
      <c r="A303" s="49">
        <v>5</v>
      </c>
      <c r="B303" s="19"/>
      <c r="C303" s="19"/>
      <c r="D303" s="19"/>
      <c r="E303" s="93"/>
      <c r="F303" s="107">
        <f>E303/G3</f>
        <v>0</v>
      </c>
      <c r="G303" s="93"/>
      <c r="H303" s="108">
        <f t="shared" si="8"/>
        <v>0</v>
      </c>
    </row>
    <row r="304" spans="1:8" ht="21" customHeight="1">
      <c r="A304" s="49">
        <v>6</v>
      </c>
      <c r="B304" s="19"/>
      <c r="C304" s="19"/>
      <c r="D304" s="19"/>
      <c r="E304" s="93"/>
      <c r="F304" s="107">
        <f>E304/G3</f>
        <v>0</v>
      </c>
      <c r="G304" s="93"/>
      <c r="H304" s="108">
        <f t="shared" si="8"/>
        <v>0</v>
      </c>
    </row>
    <row r="305" spans="1:8" ht="21" customHeight="1">
      <c r="A305" s="49">
        <v>7</v>
      </c>
      <c r="B305" s="19"/>
      <c r="C305" s="19"/>
      <c r="D305" s="19"/>
      <c r="E305" s="93"/>
      <c r="F305" s="107">
        <f>E305/G3</f>
        <v>0</v>
      </c>
      <c r="G305" s="93"/>
      <c r="H305" s="108">
        <f t="shared" si="8"/>
        <v>0</v>
      </c>
    </row>
    <row r="306" spans="1:8" ht="21" customHeight="1">
      <c r="A306" s="49">
        <v>8</v>
      </c>
      <c r="B306" s="19"/>
      <c r="C306" s="19"/>
      <c r="D306" s="19"/>
      <c r="E306" s="93"/>
      <c r="F306" s="107">
        <f>E306/G3</f>
        <v>0</v>
      </c>
      <c r="G306" s="93"/>
      <c r="H306" s="108">
        <f t="shared" si="8"/>
        <v>0</v>
      </c>
    </row>
    <row r="307" spans="1:8" ht="21" customHeight="1">
      <c r="A307" s="49">
        <v>9</v>
      </c>
      <c r="B307" s="19"/>
      <c r="C307" s="19"/>
      <c r="D307" s="19"/>
      <c r="E307" s="93"/>
      <c r="F307" s="107">
        <f>E307/G3</f>
        <v>0</v>
      </c>
      <c r="G307" s="93"/>
      <c r="H307" s="108">
        <f t="shared" si="8"/>
        <v>0</v>
      </c>
    </row>
    <row r="308" spans="1:8" ht="21" customHeight="1">
      <c r="A308" s="49">
        <v>10</v>
      </c>
      <c r="B308" s="19"/>
      <c r="C308" s="19"/>
      <c r="D308" s="19"/>
      <c r="E308" s="93"/>
      <c r="F308" s="107">
        <f>E308/G3</f>
        <v>0</v>
      </c>
      <c r="G308" s="93"/>
      <c r="H308" s="108">
        <f t="shared" si="8"/>
        <v>0</v>
      </c>
    </row>
    <row r="309" spans="1:8" ht="21" customHeight="1">
      <c r="A309" s="49">
        <v>11</v>
      </c>
      <c r="B309" s="19"/>
      <c r="C309" s="19"/>
      <c r="D309" s="19"/>
      <c r="E309" s="93"/>
      <c r="F309" s="107">
        <f>E309/G3</f>
        <v>0</v>
      </c>
      <c r="G309" s="93"/>
      <c r="H309" s="108">
        <f t="shared" si="8"/>
        <v>0</v>
      </c>
    </row>
    <row r="310" spans="1:8" ht="21" customHeight="1">
      <c r="A310" s="49">
        <v>12</v>
      </c>
      <c r="B310" s="19"/>
      <c r="C310" s="19"/>
      <c r="D310" s="19"/>
      <c r="E310" s="93"/>
      <c r="F310" s="107">
        <f>E310/G3</f>
        <v>0</v>
      </c>
      <c r="G310" s="93"/>
      <c r="H310" s="108">
        <f t="shared" si="8"/>
        <v>0</v>
      </c>
    </row>
    <row r="311" spans="1:8" ht="21" customHeight="1">
      <c r="A311" s="49">
        <v>13</v>
      </c>
      <c r="B311" s="19"/>
      <c r="C311" s="19"/>
      <c r="D311" s="19"/>
      <c r="E311" s="93"/>
      <c r="F311" s="107">
        <f>E311/G3</f>
        <v>0</v>
      </c>
      <c r="G311" s="93"/>
      <c r="H311" s="108">
        <f t="shared" si="8"/>
        <v>0</v>
      </c>
    </row>
    <row r="312" spans="1:8" ht="21" customHeight="1">
      <c r="A312" s="49">
        <v>14</v>
      </c>
      <c r="B312" s="19"/>
      <c r="C312" s="19"/>
      <c r="D312" s="19"/>
      <c r="E312" s="93"/>
      <c r="F312" s="107">
        <f>E312/G3</f>
        <v>0</v>
      </c>
      <c r="G312" s="93"/>
      <c r="H312" s="108">
        <f t="shared" si="8"/>
        <v>0</v>
      </c>
    </row>
    <row r="313" spans="1:8" ht="21" customHeight="1">
      <c r="A313" s="49">
        <v>15</v>
      </c>
      <c r="B313" s="19"/>
      <c r="C313" s="19"/>
      <c r="D313" s="19"/>
      <c r="E313" s="93"/>
      <c r="F313" s="107">
        <f>E313/G3</f>
        <v>0</v>
      </c>
      <c r="G313" s="93"/>
      <c r="H313" s="108">
        <f t="shared" si="8"/>
        <v>0</v>
      </c>
    </row>
    <row r="314" spans="1:8" ht="21" customHeight="1">
      <c r="A314" s="49">
        <v>16</v>
      </c>
      <c r="B314" s="19"/>
      <c r="C314" s="19"/>
      <c r="D314" s="19"/>
      <c r="E314" s="93"/>
      <c r="F314" s="107">
        <f>E314/G3</f>
        <v>0</v>
      </c>
      <c r="G314" s="93"/>
      <c r="H314" s="108">
        <f t="shared" si="8"/>
        <v>0</v>
      </c>
    </row>
    <row r="315" spans="1:8" ht="21" customHeight="1">
      <c r="A315" s="49">
        <v>17</v>
      </c>
      <c r="B315" s="19"/>
      <c r="C315" s="19"/>
      <c r="D315" s="19"/>
      <c r="E315" s="93"/>
      <c r="F315" s="107">
        <f>E315/G3</f>
        <v>0</v>
      </c>
      <c r="G315" s="93"/>
      <c r="H315" s="108">
        <f t="shared" si="8"/>
        <v>0</v>
      </c>
    </row>
    <row r="316" spans="1:8" ht="21" customHeight="1">
      <c r="A316" s="49">
        <v>18</v>
      </c>
      <c r="B316" s="19"/>
      <c r="C316" s="19"/>
      <c r="D316" s="19"/>
      <c r="E316" s="93"/>
      <c r="F316" s="107">
        <f>E316/G3</f>
        <v>0</v>
      </c>
      <c r="G316" s="93"/>
      <c r="H316" s="108">
        <f t="shared" si="8"/>
        <v>0</v>
      </c>
    </row>
    <row r="317" spans="1:8" ht="21" customHeight="1">
      <c r="A317" s="49">
        <v>19</v>
      </c>
      <c r="B317" s="19"/>
      <c r="C317" s="19"/>
      <c r="D317" s="19"/>
      <c r="E317" s="93"/>
      <c r="F317" s="107">
        <f>E317/G3</f>
        <v>0</v>
      </c>
      <c r="G317" s="93"/>
      <c r="H317" s="108">
        <f t="shared" si="8"/>
        <v>0</v>
      </c>
    </row>
    <row r="318" spans="1:8" ht="21" customHeight="1">
      <c r="A318" s="49">
        <v>20</v>
      </c>
      <c r="B318" s="19"/>
      <c r="C318" s="19"/>
      <c r="D318" s="19"/>
      <c r="E318" s="93"/>
      <c r="F318" s="107">
        <f>E318/G3</f>
        <v>0</v>
      </c>
      <c r="G318" s="93"/>
      <c r="H318" s="108">
        <f t="shared" si="8"/>
        <v>0</v>
      </c>
    </row>
    <row r="319" spans="1:8" ht="21" customHeight="1">
      <c r="A319" s="49">
        <v>21</v>
      </c>
      <c r="B319" s="19"/>
      <c r="C319" s="19"/>
      <c r="D319" s="19"/>
      <c r="E319" s="93"/>
      <c r="F319" s="107">
        <f>E319/G3</f>
        <v>0</v>
      </c>
      <c r="G319" s="93"/>
      <c r="H319" s="108">
        <f t="shared" si="8"/>
        <v>0</v>
      </c>
    </row>
    <row r="320" spans="1:8" ht="21" customHeight="1">
      <c r="A320" s="49">
        <v>22</v>
      </c>
      <c r="B320" s="19"/>
      <c r="C320" s="19"/>
      <c r="D320" s="19"/>
      <c r="E320" s="93"/>
      <c r="F320" s="107">
        <f>E320/G3</f>
        <v>0</v>
      </c>
      <c r="G320" s="93"/>
      <c r="H320" s="108">
        <f t="shared" si="8"/>
        <v>0</v>
      </c>
    </row>
    <row r="321" spans="1:8" ht="21" customHeight="1">
      <c r="A321" s="49">
        <v>23</v>
      </c>
      <c r="B321" s="19"/>
      <c r="C321" s="19"/>
      <c r="D321" s="19"/>
      <c r="E321" s="93"/>
      <c r="F321" s="107">
        <f>E321/G3</f>
        <v>0</v>
      </c>
      <c r="G321" s="93"/>
      <c r="H321" s="108">
        <f t="shared" si="8"/>
        <v>0</v>
      </c>
    </row>
    <row r="322" spans="1:8" ht="21" customHeight="1">
      <c r="A322" s="49">
        <v>24</v>
      </c>
      <c r="B322" s="19"/>
      <c r="C322" s="19"/>
      <c r="D322" s="19"/>
      <c r="E322" s="93"/>
      <c r="F322" s="107">
        <f>E322/G3</f>
        <v>0</v>
      </c>
      <c r="G322" s="93"/>
      <c r="H322" s="108">
        <f t="shared" si="8"/>
        <v>0</v>
      </c>
    </row>
    <row r="323" spans="1:8" ht="21" customHeight="1">
      <c r="A323" s="49">
        <v>25</v>
      </c>
      <c r="B323" s="19"/>
      <c r="C323" s="19"/>
      <c r="D323" s="19">
        <f>SUM(D299:D322)</f>
        <v>3</v>
      </c>
      <c r="E323" s="93"/>
      <c r="F323" s="107">
        <f>E323/G3</f>
        <v>0</v>
      </c>
      <c r="G323" s="93"/>
      <c r="H323" s="108">
        <f t="shared" si="8"/>
        <v>0</v>
      </c>
    </row>
    <row r="324" spans="1:8" ht="21" customHeight="1" thickBot="1">
      <c r="A324" s="398" t="s">
        <v>4</v>
      </c>
      <c r="B324" s="399"/>
      <c r="C324" s="399"/>
      <c r="D324" s="400"/>
      <c r="E324" s="112">
        <f>SUM(E299:E323)</f>
        <v>400</v>
      </c>
      <c r="F324" s="113">
        <f>E324/G3</f>
        <v>108.43075063223635</v>
      </c>
      <c r="G324" s="112">
        <f>SUM(G299:G323)</f>
        <v>0</v>
      </c>
      <c r="H324" s="126">
        <f>SUM(H299:H323)</f>
        <v>108.43075063223635</v>
      </c>
    </row>
    <row r="326" spans="1:8">
      <c r="A326" s="382" t="s">
        <v>7</v>
      </c>
      <c r="B326" s="382"/>
      <c r="C326" s="401" t="s">
        <v>377</v>
      </c>
      <c r="D326" s="401"/>
      <c r="E326" s="401" t="s">
        <v>378</v>
      </c>
      <c r="F326" s="401"/>
      <c r="G326" s="401"/>
      <c r="H326" s="52"/>
    </row>
    <row r="337" spans="1:8" ht="17.25" customHeight="1">
      <c r="A337" s="383" t="s">
        <v>312</v>
      </c>
      <c r="B337" s="403"/>
      <c r="C337" s="403"/>
      <c r="D337" s="403"/>
      <c r="E337" s="403"/>
      <c r="F337" s="52"/>
      <c r="G337" s="52"/>
      <c r="H337" s="52"/>
    </row>
    <row r="338" spans="1:8" ht="17.25" customHeight="1">
      <c r="A338" s="383" t="s">
        <v>498</v>
      </c>
      <c r="B338" s="403"/>
      <c r="C338" s="403"/>
      <c r="D338" s="403"/>
      <c r="E338" s="403"/>
      <c r="F338" s="404" t="s">
        <v>315</v>
      </c>
      <c r="G338" s="404"/>
      <c r="H338" s="52"/>
    </row>
    <row r="339" spans="1:8" ht="17.25" customHeight="1" thickBot="1">
      <c r="A339" s="397" t="s">
        <v>314</v>
      </c>
      <c r="B339" s="397"/>
      <c r="C339" s="397"/>
      <c r="D339" s="397"/>
      <c r="E339" s="397"/>
      <c r="F339" s="53" t="s">
        <v>91</v>
      </c>
      <c r="G339" s="376">
        <f>تسعير!E34</f>
        <v>3.6889904170881982</v>
      </c>
      <c r="H339" s="52"/>
    </row>
    <row r="340" spans="1:8" ht="21" customHeight="1">
      <c r="A340" s="50" t="s">
        <v>0</v>
      </c>
      <c r="B340" s="51" t="s">
        <v>77</v>
      </c>
      <c r="C340" s="90" t="s">
        <v>76</v>
      </c>
      <c r="D340" s="51" t="s">
        <v>79</v>
      </c>
      <c r="E340" s="51" t="s">
        <v>13</v>
      </c>
      <c r="F340" s="54" t="s">
        <v>83</v>
      </c>
      <c r="G340" s="54" t="s">
        <v>14</v>
      </c>
      <c r="H340" s="55" t="s">
        <v>78</v>
      </c>
    </row>
    <row r="341" spans="1:8" ht="30" customHeight="1">
      <c r="A341" s="49">
        <v>1</v>
      </c>
      <c r="B341" s="87" t="s">
        <v>222</v>
      </c>
      <c r="C341" s="94" t="s">
        <v>316</v>
      </c>
      <c r="D341" s="88">
        <v>1</v>
      </c>
      <c r="E341" s="124">
        <v>4605</v>
      </c>
      <c r="F341" s="107">
        <f>E341/G3</f>
        <v>1248.309016653621</v>
      </c>
      <c r="G341" s="93"/>
      <c r="H341" s="122">
        <f>G341+F341</f>
        <v>1248.309016653621</v>
      </c>
    </row>
    <row r="342" spans="1:8" ht="30" customHeight="1">
      <c r="A342" s="49">
        <v>2</v>
      </c>
      <c r="B342" s="87" t="s">
        <v>190</v>
      </c>
      <c r="C342" s="94" t="s">
        <v>317</v>
      </c>
      <c r="D342" s="88">
        <v>1</v>
      </c>
      <c r="E342" s="124">
        <v>4106</v>
      </c>
      <c r="F342" s="107">
        <f>E342/G3</f>
        <v>1113.0416552399063</v>
      </c>
      <c r="G342" s="93"/>
      <c r="H342" s="122">
        <f t="shared" ref="H342:H365" si="9">G342+F342</f>
        <v>1113.0416552399063</v>
      </c>
    </row>
    <row r="343" spans="1:8" ht="30" customHeight="1">
      <c r="A343" s="49">
        <v>3</v>
      </c>
      <c r="B343" s="87" t="s">
        <v>223</v>
      </c>
      <c r="C343" s="94" t="s">
        <v>318</v>
      </c>
      <c r="D343" s="88">
        <v>1</v>
      </c>
      <c r="E343" s="124">
        <v>5033</v>
      </c>
      <c r="F343" s="107">
        <f>E343/G3</f>
        <v>1364.329919830114</v>
      </c>
      <c r="G343" s="93"/>
      <c r="H343" s="122">
        <f t="shared" si="9"/>
        <v>1364.329919830114</v>
      </c>
    </row>
    <row r="344" spans="1:8" ht="30" customHeight="1">
      <c r="A344" s="49">
        <v>4</v>
      </c>
      <c r="B344" s="87" t="s">
        <v>224</v>
      </c>
      <c r="C344" s="94" t="s">
        <v>319</v>
      </c>
      <c r="D344" s="88">
        <v>1</v>
      </c>
      <c r="E344" s="124">
        <v>5248</v>
      </c>
      <c r="F344" s="107">
        <f>E344/G3</f>
        <v>1422.6114482949411</v>
      </c>
      <c r="G344" s="93"/>
      <c r="H344" s="122">
        <f t="shared" si="9"/>
        <v>1422.6114482949411</v>
      </c>
    </row>
    <row r="345" spans="1:8" ht="30" customHeight="1">
      <c r="A345" s="49">
        <v>5</v>
      </c>
      <c r="B345" s="87" t="s">
        <v>225</v>
      </c>
      <c r="C345" s="94" t="s">
        <v>320</v>
      </c>
      <c r="D345" s="88">
        <v>1</v>
      </c>
      <c r="E345" s="124">
        <v>4675</v>
      </c>
      <c r="F345" s="107">
        <f>E345/G3</f>
        <v>1267.2843980142625</v>
      </c>
      <c r="G345" s="93"/>
      <c r="H345" s="122">
        <f t="shared" si="9"/>
        <v>1267.2843980142625</v>
      </c>
    </row>
    <row r="346" spans="1:8" ht="30" customHeight="1">
      <c r="A346" s="49">
        <v>6</v>
      </c>
      <c r="B346" s="87" t="s">
        <v>221</v>
      </c>
      <c r="C346" s="94" t="s">
        <v>321</v>
      </c>
      <c r="D346" s="88">
        <v>1</v>
      </c>
      <c r="E346" s="124">
        <v>1340</v>
      </c>
      <c r="F346" s="107">
        <f>E346/G3</f>
        <v>363.24301461799178</v>
      </c>
      <c r="G346" s="93"/>
      <c r="H346" s="122">
        <f t="shared" si="9"/>
        <v>363.24301461799178</v>
      </c>
    </row>
    <row r="347" spans="1:8" ht="30" customHeight="1">
      <c r="A347" s="49">
        <v>7</v>
      </c>
      <c r="B347" s="87" t="s">
        <v>222</v>
      </c>
      <c r="C347" s="94" t="s">
        <v>322</v>
      </c>
      <c r="D347" s="88">
        <v>1</v>
      </c>
      <c r="E347" s="124">
        <v>1340</v>
      </c>
      <c r="F347" s="107">
        <f>E347/G3</f>
        <v>363.24301461799178</v>
      </c>
      <c r="G347" s="93"/>
      <c r="H347" s="122">
        <f t="shared" si="9"/>
        <v>363.24301461799178</v>
      </c>
    </row>
    <row r="348" spans="1:8" ht="30" customHeight="1">
      <c r="A348" s="49">
        <v>8</v>
      </c>
      <c r="B348" s="87" t="s">
        <v>190</v>
      </c>
      <c r="C348" s="94" t="s">
        <v>323</v>
      </c>
      <c r="D348" s="88">
        <v>1</v>
      </c>
      <c r="E348" s="124">
        <v>1340</v>
      </c>
      <c r="F348" s="107">
        <f>E348/G3</f>
        <v>363.24301461799178</v>
      </c>
      <c r="G348" s="93"/>
      <c r="H348" s="122">
        <f t="shared" si="9"/>
        <v>363.24301461799178</v>
      </c>
    </row>
    <row r="349" spans="1:8" ht="30" customHeight="1">
      <c r="A349" s="49">
        <v>9</v>
      </c>
      <c r="B349" s="87" t="s">
        <v>223</v>
      </c>
      <c r="C349" s="94" t="s">
        <v>324</v>
      </c>
      <c r="D349" s="88">
        <v>1</v>
      </c>
      <c r="E349" s="124">
        <v>1490</v>
      </c>
      <c r="F349" s="107">
        <f>E349/G3</f>
        <v>403.90454610508044</v>
      </c>
      <c r="G349" s="93"/>
      <c r="H349" s="122">
        <f t="shared" si="9"/>
        <v>403.90454610508044</v>
      </c>
    </row>
    <row r="350" spans="1:8" ht="30" customHeight="1">
      <c r="A350" s="49">
        <v>10</v>
      </c>
      <c r="B350" s="87" t="s">
        <v>224</v>
      </c>
      <c r="C350" s="94" t="s">
        <v>325</v>
      </c>
      <c r="D350" s="88">
        <v>1</v>
      </c>
      <c r="E350" s="124">
        <v>1340</v>
      </c>
      <c r="F350" s="107">
        <f>E350/G3</f>
        <v>363.24301461799178</v>
      </c>
      <c r="G350" s="93"/>
      <c r="H350" s="122">
        <f t="shared" si="9"/>
        <v>363.24301461799178</v>
      </c>
    </row>
    <row r="351" spans="1:8" ht="30" customHeight="1">
      <c r="A351" s="49">
        <v>11</v>
      </c>
      <c r="B351" s="87" t="s">
        <v>225</v>
      </c>
      <c r="C351" s="94" t="s">
        <v>326</v>
      </c>
      <c r="D351" s="88">
        <v>1</v>
      </c>
      <c r="E351" s="124">
        <v>1340</v>
      </c>
      <c r="F351" s="107">
        <f>E351/G3</f>
        <v>363.24301461799178</v>
      </c>
      <c r="G351" s="93"/>
      <c r="H351" s="122">
        <f t="shared" si="9"/>
        <v>363.24301461799178</v>
      </c>
    </row>
    <row r="352" spans="1:8" ht="15.75" customHeight="1">
      <c r="A352" s="49">
        <v>12</v>
      </c>
      <c r="B352" s="19"/>
      <c r="C352" s="333" t="s">
        <v>483</v>
      </c>
      <c r="D352" s="19">
        <v>34</v>
      </c>
      <c r="E352" s="124"/>
      <c r="F352" s="114">
        <f>E352/G3</f>
        <v>0</v>
      </c>
      <c r="G352" s="93"/>
      <c r="H352" s="123">
        <f t="shared" si="9"/>
        <v>0</v>
      </c>
    </row>
    <row r="353" spans="1:8" ht="15.75" customHeight="1">
      <c r="A353" s="49">
        <v>13</v>
      </c>
      <c r="B353" s="19"/>
      <c r="C353" s="19"/>
      <c r="D353" s="19"/>
      <c r="E353" s="124"/>
      <c r="F353" s="114">
        <f>E353/G3</f>
        <v>0</v>
      </c>
      <c r="G353" s="93"/>
      <c r="H353" s="123">
        <f t="shared" si="9"/>
        <v>0</v>
      </c>
    </row>
    <row r="354" spans="1:8" ht="15.75" customHeight="1">
      <c r="A354" s="49">
        <v>14</v>
      </c>
      <c r="B354" s="19"/>
      <c r="C354" s="19"/>
      <c r="D354" s="19"/>
      <c r="E354" s="124"/>
      <c r="F354" s="114">
        <f>E354/G3</f>
        <v>0</v>
      </c>
      <c r="G354" s="93"/>
      <c r="H354" s="123">
        <f t="shared" si="9"/>
        <v>0</v>
      </c>
    </row>
    <row r="355" spans="1:8" ht="15" customHeight="1">
      <c r="A355" s="49">
        <v>15</v>
      </c>
      <c r="B355" s="19"/>
      <c r="C355" s="19"/>
      <c r="D355" s="19"/>
      <c r="E355" s="124"/>
      <c r="F355" s="114">
        <f>E355/G3</f>
        <v>0</v>
      </c>
      <c r="G355" s="93"/>
      <c r="H355" s="123">
        <f t="shared" si="9"/>
        <v>0</v>
      </c>
    </row>
    <row r="356" spans="1:8" ht="15" customHeight="1">
      <c r="A356" s="49">
        <v>16</v>
      </c>
      <c r="B356" s="19"/>
      <c r="C356" s="19"/>
      <c r="D356" s="19"/>
      <c r="E356" s="124"/>
      <c r="F356" s="114">
        <f>E356/G3</f>
        <v>0</v>
      </c>
      <c r="G356" s="93"/>
      <c r="H356" s="123">
        <f t="shared" si="9"/>
        <v>0</v>
      </c>
    </row>
    <row r="357" spans="1:8" ht="15" customHeight="1">
      <c r="A357" s="49">
        <v>17</v>
      </c>
      <c r="B357" s="19"/>
      <c r="C357" s="19"/>
      <c r="D357" s="19"/>
      <c r="E357" s="124"/>
      <c r="F357" s="114">
        <f>E357/G3</f>
        <v>0</v>
      </c>
      <c r="G357" s="93"/>
      <c r="H357" s="123">
        <f t="shared" si="9"/>
        <v>0</v>
      </c>
    </row>
    <row r="358" spans="1:8" ht="15" customHeight="1">
      <c r="A358" s="49">
        <v>18</v>
      </c>
      <c r="B358" s="19"/>
      <c r="C358" s="19"/>
      <c r="D358" s="19"/>
      <c r="E358" s="124"/>
      <c r="F358" s="114">
        <f>E358/G3</f>
        <v>0</v>
      </c>
      <c r="G358" s="93"/>
      <c r="H358" s="123">
        <f t="shared" si="9"/>
        <v>0</v>
      </c>
    </row>
    <row r="359" spans="1:8" ht="15" customHeight="1">
      <c r="A359" s="49">
        <v>19</v>
      </c>
      <c r="B359" s="19"/>
      <c r="C359" s="19"/>
      <c r="D359" s="19"/>
      <c r="E359" s="124"/>
      <c r="F359" s="114">
        <f>E359/G3</f>
        <v>0</v>
      </c>
      <c r="G359" s="93"/>
      <c r="H359" s="123">
        <f t="shared" si="9"/>
        <v>0</v>
      </c>
    </row>
    <row r="360" spans="1:8" ht="15" customHeight="1">
      <c r="A360" s="49">
        <v>20</v>
      </c>
      <c r="B360" s="19"/>
      <c r="C360" s="19"/>
      <c r="D360" s="19"/>
      <c r="E360" s="124"/>
      <c r="F360" s="114">
        <f>E360/G3</f>
        <v>0</v>
      </c>
      <c r="G360" s="93"/>
      <c r="H360" s="123">
        <f t="shared" si="9"/>
        <v>0</v>
      </c>
    </row>
    <row r="361" spans="1:8" ht="15" customHeight="1">
      <c r="A361" s="49">
        <v>21</v>
      </c>
      <c r="B361" s="19"/>
      <c r="C361" s="19"/>
      <c r="D361" s="19"/>
      <c r="E361" s="124"/>
      <c r="F361" s="114">
        <f>E361/G3</f>
        <v>0</v>
      </c>
      <c r="G361" s="93"/>
      <c r="H361" s="123">
        <f t="shared" si="9"/>
        <v>0</v>
      </c>
    </row>
    <row r="362" spans="1:8" ht="15" customHeight="1">
      <c r="A362" s="49">
        <v>22</v>
      </c>
      <c r="B362" s="19"/>
      <c r="C362" s="19"/>
      <c r="D362" s="19"/>
      <c r="E362" s="124"/>
      <c r="F362" s="114">
        <f>E362/G3</f>
        <v>0</v>
      </c>
      <c r="G362" s="93"/>
      <c r="H362" s="123">
        <f t="shared" si="9"/>
        <v>0</v>
      </c>
    </row>
    <row r="363" spans="1:8" ht="21" customHeight="1">
      <c r="A363" s="49">
        <v>23</v>
      </c>
      <c r="B363" s="19"/>
      <c r="C363" s="19"/>
      <c r="D363" s="19"/>
      <c r="E363" s="124"/>
      <c r="F363" s="114">
        <f>E363/G3</f>
        <v>0</v>
      </c>
      <c r="G363" s="93"/>
      <c r="H363" s="123">
        <f t="shared" si="9"/>
        <v>0</v>
      </c>
    </row>
    <row r="364" spans="1:8" ht="21" customHeight="1">
      <c r="A364" s="49">
        <v>24</v>
      </c>
      <c r="B364" s="19"/>
      <c r="C364" s="19"/>
      <c r="D364" s="19"/>
      <c r="E364" s="124"/>
      <c r="F364" s="114">
        <f>E364/G3</f>
        <v>0</v>
      </c>
      <c r="G364" s="93"/>
      <c r="H364" s="123">
        <f t="shared" si="9"/>
        <v>0</v>
      </c>
    </row>
    <row r="365" spans="1:8" ht="21" customHeight="1">
      <c r="A365" s="49">
        <v>25</v>
      </c>
      <c r="B365" s="19"/>
      <c r="C365" s="19"/>
      <c r="D365" s="19">
        <f>SUM(D341:D364)</f>
        <v>45</v>
      </c>
      <c r="E365" s="124"/>
      <c r="F365" s="114">
        <f>E365/G3</f>
        <v>0</v>
      </c>
      <c r="G365" s="93"/>
      <c r="H365" s="123">
        <f t="shared" si="9"/>
        <v>0</v>
      </c>
    </row>
    <row r="366" spans="1:8" ht="21" customHeight="1" thickBot="1">
      <c r="A366" s="398" t="s">
        <v>4</v>
      </c>
      <c r="B366" s="399"/>
      <c r="C366" s="399"/>
      <c r="D366" s="400"/>
      <c r="E366" s="125">
        <f>SUM(E341:E365)</f>
        <v>31857</v>
      </c>
      <c r="F366" s="118">
        <f>E366/G3</f>
        <v>8635.696057227884</v>
      </c>
      <c r="G366" s="112">
        <f>SUM(G341:G365)</f>
        <v>0</v>
      </c>
      <c r="H366" s="154">
        <f>SUM(H341:H365)</f>
        <v>8635.6960572278858</v>
      </c>
    </row>
    <row r="368" spans="1:8">
      <c r="A368" s="382" t="s">
        <v>7</v>
      </c>
      <c r="B368" s="382"/>
      <c r="C368" s="401" t="s">
        <v>377</v>
      </c>
      <c r="D368" s="401"/>
      <c r="E368" s="401" t="s">
        <v>378</v>
      </c>
      <c r="F368" s="401"/>
      <c r="G368" s="401"/>
      <c r="H368" s="52"/>
    </row>
    <row r="372" spans="1:8" ht="3" customHeight="1"/>
    <row r="373" spans="1:8" ht="3" customHeight="1"/>
    <row r="374" spans="1:8" ht="3" customHeight="1"/>
    <row r="375" spans="1:8" ht="3" customHeight="1"/>
    <row r="376" spans="1:8" ht="3" customHeight="1"/>
    <row r="377" spans="1:8" ht="3" customHeight="1"/>
    <row r="379" spans="1:8" ht="17.25" customHeight="1">
      <c r="A379" s="383" t="s">
        <v>329</v>
      </c>
      <c r="B379" s="403"/>
      <c r="C379" s="403"/>
      <c r="D379" s="403"/>
      <c r="E379" s="403"/>
      <c r="F379" s="52"/>
      <c r="G379" s="52"/>
      <c r="H379" s="52"/>
    </row>
    <row r="380" spans="1:8" ht="17.25" customHeight="1">
      <c r="A380" s="383" t="s">
        <v>498</v>
      </c>
      <c r="B380" s="403"/>
      <c r="C380" s="403"/>
      <c r="D380" s="403"/>
      <c r="E380" s="403"/>
      <c r="F380" s="404" t="s">
        <v>330</v>
      </c>
      <c r="G380" s="404"/>
      <c r="H380" s="52"/>
    </row>
    <row r="381" spans="1:8" ht="17.25" customHeight="1" thickBot="1">
      <c r="A381" s="397" t="s">
        <v>328</v>
      </c>
      <c r="B381" s="397"/>
      <c r="C381" s="397"/>
      <c r="D381" s="397"/>
      <c r="E381" s="397"/>
      <c r="F381" s="53" t="s">
        <v>91</v>
      </c>
      <c r="G381" s="376">
        <f>تسعير!E34</f>
        <v>3.6889904170881982</v>
      </c>
      <c r="H381" s="52"/>
    </row>
    <row r="382" spans="1:8" ht="21" customHeight="1">
      <c r="A382" s="50" t="s">
        <v>0</v>
      </c>
      <c r="B382" s="51" t="s">
        <v>77</v>
      </c>
      <c r="C382" s="90" t="s">
        <v>76</v>
      </c>
      <c r="D382" s="51" t="s">
        <v>79</v>
      </c>
      <c r="E382" s="51" t="s">
        <v>13</v>
      </c>
      <c r="F382" s="54" t="s">
        <v>83</v>
      </c>
      <c r="G382" s="54" t="s">
        <v>14</v>
      </c>
      <c r="H382" s="55" t="s">
        <v>78</v>
      </c>
    </row>
    <row r="383" spans="1:8" ht="30" customHeight="1">
      <c r="A383" s="49">
        <v>1</v>
      </c>
      <c r="B383" s="87" t="s">
        <v>267</v>
      </c>
      <c r="C383" s="94" t="s">
        <v>479</v>
      </c>
      <c r="D383" s="106">
        <v>1</v>
      </c>
      <c r="E383" s="124">
        <v>82</v>
      </c>
      <c r="F383" s="293">
        <f>E383/G3</f>
        <v>22.228303879608454</v>
      </c>
      <c r="G383" s="124"/>
      <c r="H383" s="312">
        <f>G383+F383</f>
        <v>22.228303879608454</v>
      </c>
    </row>
    <row r="384" spans="1:8" ht="30" customHeight="1">
      <c r="A384" s="49">
        <v>2</v>
      </c>
      <c r="B384" s="87" t="s">
        <v>332</v>
      </c>
      <c r="C384" s="94" t="s">
        <v>331</v>
      </c>
      <c r="D384" s="106">
        <v>1</v>
      </c>
      <c r="E384" s="124">
        <v>114</v>
      </c>
      <c r="F384" s="293">
        <f>E384/G3</f>
        <v>30.902763930187362</v>
      </c>
      <c r="G384" s="124"/>
      <c r="H384" s="312">
        <f t="shared" ref="H384:H407" si="10">G384+F384</f>
        <v>30.902763930187362</v>
      </c>
    </row>
    <row r="385" spans="1:8" ht="20.25" customHeight="1">
      <c r="A385" s="49">
        <v>3</v>
      </c>
      <c r="B385" s="87" t="s">
        <v>336</v>
      </c>
      <c r="C385" s="89" t="s">
        <v>481</v>
      </c>
      <c r="D385" s="106">
        <v>1</v>
      </c>
      <c r="E385" s="124">
        <v>383</v>
      </c>
      <c r="F385" s="293">
        <f>E385/G3</f>
        <v>103.82244373036632</v>
      </c>
      <c r="G385" s="124"/>
      <c r="H385" s="312">
        <f t="shared" si="10"/>
        <v>103.82244373036632</v>
      </c>
    </row>
    <row r="386" spans="1:8" ht="20.25" customHeight="1">
      <c r="A386" s="49">
        <v>4</v>
      </c>
      <c r="B386" s="87" t="s">
        <v>337</v>
      </c>
      <c r="C386" s="89" t="s">
        <v>482</v>
      </c>
      <c r="D386" s="106">
        <v>1</v>
      </c>
      <c r="E386" s="124">
        <v>1135</v>
      </c>
      <c r="F386" s="293">
        <f>E386/G3</f>
        <v>307.67225491897068</v>
      </c>
      <c r="G386" s="124"/>
      <c r="H386" s="312">
        <f t="shared" si="10"/>
        <v>307.67225491897068</v>
      </c>
    </row>
    <row r="387" spans="1:8" ht="20.25" customHeight="1">
      <c r="A387" s="49">
        <v>5</v>
      </c>
      <c r="B387" s="87" t="s">
        <v>338</v>
      </c>
      <c r="C387" s="89" t="s">
        <v>333</v>
      </c>
      <c r="D387" s="106">
        <v>1</v>
      </c>
      <c r="E387" s="124">
        <v>14</v>
      </c>
      <c r="F387" s="293">
        <f>E387/G3</f>
        <v>3.7950762721282723</v>
      </c>
      <c r="G387" s="124"/>
      <c r="H387" s="312">
        <f t="shared" si="10"/>
        <v>3.7950762721282723</v>
      </c>
    </row>
    <row r="388" spans="1:8" ht="30" customHeight="1">
      <c r="A388" s="49">
        <v>6</v>
      </c>
      <c r="B388" s="87" t="s">
        <v>339</v>
      </c>
      <c r="C388" s="89" t="s">
        <v>334</v>
      </c>
      <c r="D388" s="106">
        <v>3</v>
      </c>
      <c r="E388" s="124">
        <v>260</v>
      </c>
      <c r="F388" s="293">
        <f>E388/G3</f>
        <v>70.479987910953625</v>
      </c>
      <c r="G388" s="124"/>
      <c r="H388" s="312">
        <f t="shared" si="10"/>
        <v>70.479987910953625</v>
      </c>
    </row>
    <row r="389" spans="1:8" ht="30" customHeight="1">
      <c r="A389" s="49">
        <v>7</v>
      </c>
      <c r="B389" s="87"/>
      <c r="C389" s="89"/>
      <c r="D389" s="106"/>
      <c r="E389" s="124"/>
      <c r="F389" s="293">
        <f>E389/G3</f>
        <v>0</v>
      </c>
      <c r="G389" s="124"/>
      <c r="H389" s="312">
        <f t="shared" si="10"/>
        <v>0</v>
      </c>
    </row>
    <row r="390" spans="1:8" ht="30" customHeight="1">
      <c r="A390" s="49">
        <v>8</v>
      </c>
      <c r="B390" s="87" t="s">
        <v>186</v>
      </c>
      <c r="C390" s="89" t="s">
        <v>335</v>
      </c>
      <c r="D390" s="106">
        <v>1</v>
      </c>
      <c r="E390" s="124">
        <v>26</v>
      </c>
      <c r="F390" s="293">
        <f>E390/G3</f>
        <v>7.0479987910953632</v>
      </c>
      <c r="G390" s="124"/>
      <c r="H390" s="312">
        <f t="shared" si="10"/>
        <v>7.0479987910953632</v>
      </c>
    </row>
    <row r="391" spans="1:8" ht="30" customHeight="1">
      <c r="A391" s="49">
        <v>9</v>
      </c>
      <c r="B391" s="87" t="s">
        <v>272</v>
      </c>
      <c r="C391" s="332" t="s">
        <v>480</v>
      </c>
      <c r="D391" s="106">
        <v>5</v>
      </c>
      <c r="E391" s="124">
        <v>270</v>
      </c>
      <c r="F391" s="293">
        <f>E391/G3</f>
        <v>73.190756676759534</v>
      </c>
      <c r="G391" s="124"/>
      <c r="H391" s="312">
        <f t="shared" si="10"/>
        <v>73.190756676759534</v>
      </c>
    </row>
    <row r="392" spans="1:8" ht="20.25" customHeight="1">
      <c r="A392" s="49">
        <v>10</v>
      </c>
      <c r="B392" s="87" t="s">
        <v>176</v>
      </c>
      <c r="C392" s="95" t="s">
        <v>340</v>
      </c>
      <c r="D392" s="106">
        <v>3</v>
      </c>
      <c r="E392" s="124">
        <v>1381</v>
      </c>
      <c r="F392" s="293">
        <f>E392/G3</f>
        <v>374.35716655779601</v>
      </c>
      <c r="G392" s="124"/>
      <c r="H392" s="312">
        <f t="shared" si="10"/>
        <v>374.35716655779601</v>
      </c>
    </row>
    <row r="393" spans="1:8" ht="20.25" customHeight="1">
      <c r="A393" s="49">
        <v>11</v>
      </c>
      <c r="B393" s="87" t="s">
        <v>342</v>
      </c>
      <c r="C393" s="95" t="s">
        <v>341</v>
      </c>
      <c r="D393" s="106">
        <v>6</v>
      </c>
      <c r="E393" s="124">
        <v>2798</v>
      </c>
      <c r="F393" s="293">
        <f>E393/G3</f>
        <v>758.47310067249327</v>
      </c>
      <c r="G393" s="124"/>
      <c r="H393" s="312">
        <f t="shared" si="10"/>
        <v>758.47310067249327</v>
      </c>
    </row>
    <row r="394" spans="1:8" ht="20.25" customHeight="1">
      <c r="A394" s="49">
        <v>12</v>
      </c>
      <c r="B394" s="87" t="s">
        <v>350</v>
      </c>
      <c r="C394" s="94" t="s">
        <v>343</v>
      </c>
      <c r="D394" s="106">
        <v>1</v>
      </c>
      <c r="E394" s="124">
        <v>558</v>
      </c>
      <c r="F394" s="293">
        <f>E394/G3</f>
        <v>151.26089713196973</v>
      </c>
      <c r="G394" s="124"/>
      <c r="H394" s="312">
        <f t="shared" si="10"/>
        <v>151.26089713196973</v>
      </c>
    </row>
    <row r="395" spans="1:8" ht="20.25" customHeight="1">
      <c r="A395" s="49">
        <v>13</v>
      </c>
      <c r="B395" s="87" t="s">
        <v>351</v>
      </c>
      <c r="C395" s="94" t="s">
        <v>344</v>
      </c>
      <c r="D395" s="106">
        <v>1</v>
      </c>
      <c r="E395" s="124">
        <v>722</v>
      </c>
      <c r="F395" s="293">
        <f>E395/G3</f>
        <v>195.71750489118662</v>
      </c>
      <c r="G395" s="124"/>
      <c r="H395" s="312">
        <f t="shared" si="10"/>
        <v>195.71750489118662</v>
      </c>
    </row>
    <row r="396" spans="1:8" ht="20.25" customHeight="1">
      <c r="A396" s="49">
        <v>14</v>
      </c>
      <c r="B396" s="87" t="s">
        <v>352</v>
      </c>
      <c r="C396" s="94" t="s">
        <v>345</v>
      </c>
      <c r="D396" s="106">
        <v>1</v>
      </c>
      <c r="E396" s="124">
        <v>642</v>
      </c>
      <c r="F396" s="293">
        <f>E396/G3</f>
        <v>174.03135476473935</v>
      </c>
      <c r="G396" s="124"/>
      <c r="H396" s="312">
        <f t="shared" si="10"/>
        <v>174.03135476473935</v>
      </c>
    </row>
    <row r="397" spans="1:8" ht="20.25" customHeight="1">
      <c r="A397" s="49">
        <v>15</v>
      </c>
      <c r="B397" s="87" t="s">
        <v>353</v>
      </c>
      <c r="C397" s="97" t="s">
        <v>346</v>
      </c>
      <c r="D397" s="106">
        <v>1</v>
      </c>
      <c r="E397" s="124">
        <v>490</v>
      </c>
      <c r="F397" s="293">
        <f>E397/G3</f>
        <v>132.82766952448952</v>
      </c>
      <c r="G397" s="124"/>
      <c r="H397" s="312">
        <f t="shared" si="10"/>
        <v>132.82766952448952</v>
      </c>
    </row>
    <row r="398" spans="1:8" ht="30" customHeight="1">
      <c r="A398" s="49">
        <v>16</v>
      </c>
      <c r="B398" s="87" t="s">
        <v>354</v>
      </c>
      <c r="C398" s="97" t="s">
        <v>347</v>
      </c>
      <c r="D398" s="106">
        <v>1</v>
      </c>
      <c r="E398" s="124">
        <v>30</v>
      </c>
      <c r="F398" s="293">
        <f>E398/G3</f>
        <v>8.1323062974177258</v>
      </c>
      <c r="G398" s="124"/>
      <c r="H398" s="312">
        <f t="shared" si="10"/>
        <v>8.1323062974177258</v>
      </c>
    </row>
    <row r="399" spans="1:8" ht="30" customHeight="1">
      <c r="A399" s="49">
        <v>17</v>
      </c>
      <c r="B399" s="87" t="s">
        <v>354</v>
      </c>
      <c r="C399" s="97" t="s">
        <v>348</v>
      </c>
      <c r="D399" s="106">
        <v>1</v>
      </c>
      <c r="E399" s="124">
        <v>30</v>
      </c>
      <c r="F399" s="293">
        <f>E399/G3</f>
        <v>8.1323062974177258</v>
      </c>
      <c r="G399" s="124"/>
      <c r="H399" s="312">
        <f t="shared" si="10"/>
        <v>8.1323062974177258</v>
      </c>
    </row>
    <row r="400" spans="1:8" ht="30" customHeight="1">
      <c r="A400" s="49">
        <v>18</v>
      </c>
      <c r="B400" s="87" t="s">
        <v>354</v>
      </c>
      <c r="C400" s="97" t="s">
        <v>349</v>
      </c>
      <c r="D400" s="106">
        <v>1</v>
      </c>
      <c r="E400" s="124">
        <v>30</v>
      </c>
      <c r="F400" s="293">
        <f>E400/G3</f>
        <v>8.1323062974177258</v>
      </c>
      <c r="G400" s="124"/>
      <c r="H400" s="312">
        <f t="shared" si="10"/>
        <v>8.1323062974177258</v>
      </c>
    </row>
    <row r="401" spans="1:8" ht="18.75" customHeight="1">
      <c r="A401" s="49">
        <v>19</v>
      </c>
      <c r="B401" s="87"/>
      <c r="C401" s="97"/>
      <c r="D401" s="106"/>
      <c r="E401" s="124"/>
      <c r="F401" s="293">
        <f>E401/G3</f>
        <v>0</v>
      </c>
      <c r="G401" s="124"/>
      <c r="H401" s="312">
        <f t="shared" si="10"/>
        <v>0</v>
      </c>
    </row>
    <row r="402" spans="1:8" ht="18.75" customHeight="1">
      <c r="A402" s="49">
        <v>20</v>
      </c>
      <c r="B402" s="87"/>
      <c r="C402" s="98" t="s">
        <v>359</v>
      </c>
      <c r="D402" s="106">
        <v>6</v>
      </c>
      <c r="E402" s="343">
        <v>254.54</v>
      </c>
      <c r="F402" s="293">
        <f>E402/G3</f>
        <v>68.999908164823609</v>
      </c>
      <c r="G402" s="124"/>
      <c r="H402" s="312">
        <f t="shared" si="10"/>
        <v>68.999908164823609</v>
      </c>
    </row>
    <row r="403" spans="1:8" ht="30" customHeight="1">
      <c r="A403" s="49">
        <v>21</v>
      </c>
      <c r="B403" s="87"/>
      <c r="C403" s="96" t="s">
        <v>360</v>
      </c>
      <c r="D403" s="106">
        <v>4</v>
      </c>
      <c r="E403" s="124">
        <v>858</v>
      </c>
      <c r="F403" s="293">
        <f>E403/G3</f>
        <v>232.58396010614698</v>
      </c>
      <c r="G403" s="124"/>
      <c r="H403" s="312">
        <f t="shared" si="10"/>
        <v>232.58396010614698</v>
      </c>
    </row>
    <row r="404" spans="1:8" ht="21" customHeight="1">
      <c r="A404" s="49">
        <v>22</v>
      </c>
      <c r="B404" s="87"/>
      <c r="C404" s="19" t="s">
        <v>517</v>
      </c>
      <c r="D404" s="106"/>
      <c r="E404" s="124"/>
      <c r="F404" s="293">
        <f>E404/G3</f>
        <v>0</v>
      </c>
      <c r="G404" s="124"/>
      <c r="H404" s="312">
        <f t="shared" si="10"/>
        <v>0</v>
      </c>
    </row>
    <row r="405" spans="1:8" ht="21" customHeight="1">
      <c r="A405" s="49">
        <v>23</v>
      </c>
      <c r="B405" s="87"/>
      <c r="C405" s="19" t="s">
        <v>514</v>
      </c>
      <c r="D405" s="106"/>
      <c r="E405" s="124"/>
      <c r="F405" s="293">
        <f>E405/G3</f>
        <v>0</v>
      </c>
      <c r="G405" s="124"/>
      <c r="H405" s="312">
        <f t="shared" si="10"/>
        <v>0</v>
      </c>
    </row>
    <row r="406" spans="1:8" ht="21" customHeight="1">
      <c r="A406" s="49">
        <v>24</v>
      </c>
      <c r="B406" s="19"/>
      <c r="C406" s="19"/>
      <c r="D406" s="93"/>
      <c r="E406" s="124"/>
      <c r="F406" s="293">
        <f>E406/G3</f>
        <v>0</v>
      </c>
      <c r="G406" s="124"/>
      <c r="H406" s="312">
        <f t="shared" si="10"/>
        <v>0</v>
      </c>
    </row>
    <row r="407" spans="1:8" ht="21" customHeight="1">
      <c r="A407" s="49">
        <v>25</v>
      </c>
      <c r="B407" s="19"/>
      <c r="C407" s="19"/>
      <c r="D407" s="93">
        <f>SUM(D383:D406)</f>
        <v>40</v>
      </c>
      <c r="E407" s="124"/>
      <c r="F407" s="293">
        <f>E407/G3</f>
        <v>0</v>
      </c>
      <c r="G407" s="124"/>
      <c r="H407" s="312">
        <f t="shared" si="10"/>
        <v>0</v>
      </c>
    </row>
    <row r="408" spans="1:8" ht="21" customHeight="1" thickBot="1">
      <c r="A408" s="398" t="s">
        <v>4</v>
      </c>
      <c r="B408" s="399"/>
      <c r="C408" s="399"/>
      <c r="D408" s="400"/>
      <c r="E408" s="125">
        <f>SUM(E383:E407)</f>
        <v>10077.540000000001</v>
      </c>
      <c r="F408" s="125">
        <f>E408/G3</f>
        <v>2731.7880668159683</v>
      </c>
      <c r="G408" s="125">
        <f>SUM(G383:G407)</f>
        <v>0</v>
      </c>
      <c r="H408" s="312">
        <f>SUM(H383:H407)</f>
        <v>2731.7880668159683</v>
      </c>
    </row>
    <row r="410" spans="1:8">
      <c r="A410" s="382" t="s">
        <v>7</v>
      </c>
      <c r="B410" s="382"/>
      <c r="C410" s="401" t="s">
        <v>377</v>
      </c>
      <c r="D410" s="401"/>
      <c r="E410" s="401" t="s">
        <v>378</v>
      </c>
      <c r="F410" s="401"/>
      <c r="G410" s="401"/>
      <c r="H410" s="52"/>
    </row>
  </sheetData>
  <mergeCells count="89">
    <mergeCell ref="A1:E1"/>
    <mergeCell ref="A2:E2"/>
    <mergeCell ref="A3:E3"/>
    <mergeCell ref="A30:D30"/>
    <mergeCell ref="J1:M1"/>
    <mergeCell ref="J7:N7"/>
    <mergeCell ref="J8:N8"/>
    <mergeCell ref="J9:N9"/>
    <mergeCell ref="J10:N10"/>
    <mergeCell ref="J2:N2"/>
    <mergeCell ref="J3:M3"/>
    <mergeCell ref="J4:M4"/>
    <mergeCell ref="J5:N5"/>
    <mergeCell ref="J6:M6"/>
    <mergeCell ref="A32:B32"/>
    <mergeCell ref="C32:D32"/>
    <mergeCell ref="E32:G32"/>
    <mergeCell ref="A43:E43"/>
    <mergeCell ref="A44:E44"/>
    <mergeCell ref="F44:G44"/>
    <mergeCell ref="A45:E45"/>
    <mergeCell ref="A72:D72"/>
    <mergeCell ref="A87:E87"/>
    <mergeCell ref="A114:D114"/>
    <mergeCell ref="A116:B116"/>
    <mergeCell ref="C116:D116"/>
    <mergeCell ref="E116:G116"/>
    <mergeCell ref="A85:E85"/>
    <mergeCell ref="A86:E86"/>
    <mergeCell ref="A74:B74"/>
    <mergeCell ref="C74:D74"/>
    <mergeCell ref="E74:G74"/>
    <mergeCell ref="F86:G86"/>
    <mergeCell ref="A127:E127"/>
    <mergeCell ref="A128:E128"/>
    <mergeCell ref="A129:E129"/>
    <mergeCell ref="A156:D156"/>
    <mergeCell ref="A158:B158"/>
    <mergeCell ref="C158:D158"/>
    <mergeCell ref="E158:G158"/>
    <mergeCell ref="F128:G128"/>
    <mergeCell ref="A169:E169"/>
    <mergeCell ref="A170:E170"/>
    <mergeCell ref="A171:E171"/>
    <mergeCell ref="A198:D198"/>
    <mergeCell ref="A200:B200"/>
    <mergeCell ref="C200:D200"/>
    <mergeCell ref="E200:G200"/>
    <mergeCell ref="F170:G170"/>
    <mergeCell ref="A211:E211"/>
    <mergeCell ref="A212:E212"/>
    <mergeCell ref="A213:E213"/>
    <mergeCell ref="A240:D240"/>
    <mergeCell ref="A242:B242"/>
    <mergeCell ref="C242:D242"/>
    <mergeCell ref="E242:G242"/>
    <mergeCell ref="F212:G212"/>
    <mergeCell ref="A253:E253"/>
    <mergeCell ref="A254:E254"/>
    <mergeCell ref="A255:E255"/>
    <mergeCell ref="A282:D282"/>
    <mergeCell ref="A284:B284"/>
    <mergeCell ref="C284:D284"/>
    <mergeCell ref="E284:G284"/>
    <mergeCell ref="F254:G254"/>
    <mergeCell ref="A295:E295"/>
    <mergeCell ref="A296:E296"/>
    <mergeCell ref="A297:E297"/>
    <mergeCell ref="A324:D324"/>
    <mergeCell ref="A326:B326"/>
    <mergeCell ref="C326:D326"/>
    <mergeCell ref="E326:G326"/>
    <mergeCell ref="F296:G296"/>
    <mergeCell ref="A337:E337"/>
    <mergeCell ref="A338:E338"/>
    <mergeCell ref="A339:E339"/>
    <mergeCell ref="A366:D366"/>
    <mergeCell ref="A368:B368"/>
    <mergeCell ref="C368:D368"/>
    <mergeCell ref="E368:G368"/>
    <mergeCell ref="F338:G338"/>
    <mergeCell ref="A379:E379"/>
    <mergeCell ref="A380:E380"/>
    <mergeCell ref="A381:E381"/>
    <mergeCell ref="A408:D408"/>
    <mergeCell ref="A410:B410"/>
    <mergeCell ref="C410:D410"/>
    <mergeCell ref="E410:G410"/>
    <mergeCell ref="F380:G380"/>
  </mergeCells>
  <hyperlinks>
    <hyperlink ref="J1:L1" location="'ريز فرهنگي'!A1" display="برگزاري جشن نوروز"/>
    <hyperlink ref="A3:E3" location="'ريز فرهنگي'!A1" display="هزينه فرهنگي: برگزاري جشن نوروز"/>
    <hyperlink ref="J2:L2" location="'ريز فرهنگي'!A45" display="برگزاري مراسم ارتحال امام"/>
    <hyperlink ref="A45:E45" location="'ريز فرهنگي'!A1" display="هزينه فرهنگي: برگزاري مراسم ارتحال امام"/>
    <hyperlink ref="A87:E87" location="'ريز فرهنگي'!A1" display="هزينه فرهنگي سه:"/>
    <hyperlink ref="A129:E129" location="'ريز فرهنگي'!A1" display="هزينه فرهنگي: برگزاري مراسم ارتحال امام"/>
    <hyperlink ref="A171:E171" location="'ريز فرهنگي'!A1" display="هزينه فرهنگي: برگزاري مراسم ارتحال امام"/>
    <hyperlink ref="A213:E213" location="'ريز فرهنگي'!A1" display="هزينه فرهنگي: برگزاري مراسم ارتحال امام"/>
    <hyperlink ref="A255:E255" location="'ريز فرهنگي'!A1" display="هزينه فرهنگي: برگزاري مراسم ارتحال امام"/>
    <hyperlink ref="A297:E297" location="'ريز فرهنگي'!A1" display="هزينه فرهنگي: برگزاري مراسم ارتحال امام"/>
    <hyperlink ref="A339:E339" location="'ريز فرهنگي'!A1" display="هزينه فرهنگي: برگزاري مراسم ارتحال امام"/>
    <hyperlink ref="A381:E381" location="'ريز فرهنگي'!A1" display="هزينه فرهنگي: برگزاري مراسم ارتحال امام"/>
    <hyperlink ref="J3:L3" location="'ريز فرهنگي'!A87" display="هزينه سه:"/>
    <hyperlink ref="J4:L4" location="'ريز فرهنگي'!A129" display="هزينه چهار:"/>
    <hyperlink ref="J5:L5" location="'ريز فرهنگي'!A171" display="هزينه پنج:"/>
    <hyperlink ref="J6:L6" location="'ريز فرهنگي'!A213" display="هزينه شش:"/>
    <hyperlink ref="J7:L7" location="'ريز فرهنگي'!A255" display="هزينه هفت:"/>
    <hyperlink ref="J9:L9" location="'ريز فرهنگي'!A339" display="هزينه نه:"/>
    <hyperlink ref="J8:L8" location="'ريز فرهنگي'!A297" display="هزينه هشت:"/>
    <hyperlink ref="J10:L10" location="'ريز فرهنگي'!A381" display="هزينه ده:"/>
  </hyperlinks>
  <pageMargins left="0.39370078740157483" right="0.59055118110236227" top="0.39370078740157483"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sheetPr>
    <tabColor rgb="FF92D050"/>
  </sheetPr>
  <dimension ref="A1:H23"/>
  <sheetViews>
    <sheetView rightToLeft="1" zoomScale="110" zoomScaleNormal="110" workbookViewId="0">
      <selection activeCell="G11" sqref="G11"/>
    </sheetView>
  </sheetViews>
  <sheetFormatPr defaultRowHeight="15"/>
  <cols>
    <col min="1" max="1" width="3.7109375" customWidth="1"/>
    <col min="2" max="7" width="11.85546875" customWidth="1"/>
    <col min="8" max="8" width="17.7109375" customWidth="1"/>
    <col min="9" max="10" width="7.7109375" customWidth="1"/>
    <col min="11" max="11" width="10.7109375" customWidth="1"/>
    <col min="12" max="12" width="15.42578125" customWidth="1"/>
  </cols>
  <sheetData>
    <row r="1" spans="1:8" ht="24" customHeight="1">
      <c r="A1" s="412" t="s">
        <v>493</v>
      </c>
      <c r="B1" s="413"/>
      <c r="C1" s="413"/>
      <c r="D1" s="409"/>
    </row>
    <row r="2" spans="1:8" ht="24" customHeight="1">
      <c r="A2" s="412" t="s">
        <v>442</v>
      </c>
      <c r="B2" s="414"/>
      <c r="C2" s="414"/>
    </row>
    <row r="3" spans="1:8" ht="18.75" customHeight="1">
      <c r="A3" s="412" t="s">
        <v>498</v>
      </c>
      <c r="B3" s="414"/>
      <c r="C3" s="414"/>
      <c r="D3" s="409"/>
      <c r="G3" s="342" t="s">
        <v>492</v>
      </c>
    </row>
    <row r="4" spans="1:8" ht="15.75" thickBot="1"/>
    <row r="5" spans="1:8" ht="30" customHeight="1">
      <c r="A5" s="276" t="s">
        <v>108</v>
      </c>
      <c r="B5" s="277" t="s">
        <v>109</v>
      </c>
      <c r="C5" s="277" t="s">
        <v>451</v>
      </c>
      <c r="D5" s="273" t="s">
        <v>452</v>
      </c>
      <c r="E5" s="341" t="s">
        <v>491</v>
      </c>
      <c r="F5" s="273" t="s">
        <v>453</v>
      </c>
      <c r="G5" s="273"/>
      <c r="H5" s="274" t="s">
        <v>110</v>
      </c>
    </row>
    <row r="6" spans="1:8" ht="27" customHeight="1">
      <c r="A6" s="275">
        <v>1</v>
      </c>
      <c r="B6" s="278" t="s">
        <v>454</v>
      </c>
      <c r="C6" s="338"/>
      <c r="D6" s="338"/>
      <c r="E6" s="339"/>
      <c r="F6" s="338"/>
      <c r="G6" s="338"/>
      <c r="H6" s="271"/>
    </row>
    <row r="7" spans="1:8" ht="27" customHeight="1">
      <c r="A7" s="275">
        <v>2</v>
      </c>
      <c r="B7" s="278" t="s">
        <v>455</v>
      </c>
      <c r="C7" s="338"/>
      <c r="D7" s="338"/>
      <c r="E7" s="339"/>
      <c r="F7" s="338"/>
      <c r="G7" s="338"/>
      <c r="H7" s="271"/>
    </row>
    <row r="8" spans="1:8" ht="27" customHeight="1">
      <c r="A8" s="275">
        <v>3</v>
      </c>
      <c r="B8" s="278" t="s">
        <v>456</v>
      </c>
      <c r="C8" s="338"/>
      <c r="D8" s="338"/>
      <c r="E8" s="339"/>
      <c r="F8" s="338"/>
      <c r="G8" s="338"/>
      <c r="H8" s="271"/>
    </row>
    <row r="9" spans="1:8" ht="27" customHeight="1">
      <c r="A9" s="275">
        <v>4</v>
      </c>
      <c r="B9" s="278" t="s">
        <v>443</v>
      </c>
      <c r="C9" s="338"/>
      <c r="D9" s="338"/>
      <c r="E9" s="339"/>
      <c r="F9" s="338"/>
      <c r="G9" s="338"/>
      <c r="H9" s="271"/>
    </row>
    <row r="10" spans="1:8" ht="27" customHeight="1">
      <c r="A10" s="275">
        <v>5</v>
      </c>
      <c r="B10" s="278" t="s">
        <v>444</v>
      </c>
      <c r="C10" s="338"/>
      <c r="D10" s="338"/>
      <c r="E10" s="339">
        <v>483</v>
      </c>
      <c r="F10" s="338"/>
      <c r="G10" s="338"/>
      <c r="H10" s="271"/>
    </row>
    <row r="11" spans="1:8" ht="27" customHeight="1">
      <c r="A11" s="275">
        <v>6</v>
      </c>
      <c r="B11" s="278" t="s">
        <v>445</v>
      </c>
      <c r="C11" s="338"/>
      <c r="D11" s="338"/>
      <c r="E11" s="339">
        <v>0</v>
      </c>
      <c r="F11" s="338"/>
      <c r="G11" s="338"/>
      <c r="H11" s="271"/>
    </row>
    <row r="12" spans="1:8" ht="27" customHeight="1">
      <c r="A12" s="275">
        <v>7</v>
      </c>
      <c r="B12" s="278" t="s">
        <v>446</v>
      </c>
      <c r="C12" s="339">
        <v>18000</v>
      </c>
      <c r="D12" s="338">
        <v>7800</v>
      </c>
      <c r="E12" s="339">
        <v>338</v>
      </c>
      <c r="F12" s="338">
        <v>13788</v>
      </c>
      <c r="G12" s="338"/>
      <c r="H12" s="271"/>
    </row>
    <row r="13" spans="1:8" ht="27" customHeight="1">
      <c r="A13" s="275">
        <v>8</v>
      </c>
      <c r="B13" s="278" t="s">
        <v>447</v>
      </c>
      <c r="C13" s="339"/>
      <c r="D13" s="339">
        <v>0</v>
      </c>
      <c r="E13" s="339"/>
      <c r="F13" s="338">
        <v>0</v>
      </c>
      <c r="G13" s="338"/>
      <c r="H13" s="271"/>
    </row>
    <row r="14" spans="1:8" ht="27" customHeight="1">
      <c r="A14" s="275">
        <v>9</v>
      </c>
      <c r="B14" s="278" t="s">
        <v>457</v>
      </c>
      <c r="C14" s="338">
        <v>11186</v>
      </c>
      <c r="D14" s="338">
        <v>0</v>
      </c>
      <c r="E14" s="339"/>
      <c r="F14" s="338">
        <v>0</v>
      </c>
      <c r="G14" s="338"/>
      <c r="H14" s="336"/>
    </row>
    <row r="15" spans="1:8" ht="27" customHeight="1">
      <c r="A15" s="275">
        <v>10</v>
      </c>
      <c r="B15" s="278" t="s">
        <v>448</v>
      </c>
      <c r="C15" s="338">
        <v>4623</v>
      </c>
      <c r="D15" s="338">
        <v>7800</v>
      </c>
      <c r="E15" s="339"/>
      <c r="F15" s="338">
        <v>13788</v>
      </c>
      <c r="G15" s="338"/>
      <c r="H15" s="336"/>
    </row>
    <row r="16" spans="1:8" ht="27" customHeight="1">
      <c r="A16" s="275">
        <v>11</v>
      </c>
      <c r="B16" s="278" t="s">
        <v>449</v>
      </c>
      <c r="C16" s="338">
        <v>1203</v>
      </c>
      <c r="D16" s="338"/>
      <c r="E16" s="339"/>
      <c r="F16" s="338">
        <v>0</v>
      </c>
      <c r="G16" s="338"/>
      <c r="H16" s="336"/>
    </row>
    <row r="17" spans="1:8" ht="27" customHeight="1">
      <c r="A17" s="275">
        <v>12</v>
      </c>
      <c r="B17" s="278" t="s">
        <v>450</v>
      </c>
      <c r="C17" s="338"/>
      <c r="D17" s="338"/>
      <c r="E17" s="339"/>
      <c r="F17" s="338">
        <v>0</v>
      </c>
      <c r="G17" s="338"/>
      <c r="H17" s="336" t="s">
        <v>509</v>
      </c>
    </row>
    <row r="18" spans="1:8" ht="30" customHeight="1" thickBot="1">
      <c r="A18" s="416" t="s">
        <v>463</v>
      </c>
      <c r="B18" s="417"/>
      <c r="C18" s="340">
        <f>SUM(C6:C17)</f>
        <v>35012</v>
      </c>
      <c r="D18" s="340">
        <f>SUM(D6:D17)</f>
        <v>15600</v>
      </c>
      <c r="E18" s="340">
        <f>SUM(E6:E17)</f>
        <v>821</v>
      </c>
      <c r="F18" s="340">
        <f>SUM(F6:F17)</f>
        <v>27576</v>
      </c>
      <c r="G18" s="340">
        <f>SUM(G6:G17)</f>
        <v>0</v>
      </c>
      <c r="H18" s="272"/>
    </row>
    <row r="19" spans="1:8" ht="27" customHeight="1" thickBot="1">
      <c r="A19" s="418" t="s">
        <v>459</v>
      </c>
      <c r="B19" s="419"/>
      <c r="C19" s="420">
        <f>G18+F18+E18+D18+C18</f>
        <v>79009</v>
      </c>
      <c r="D19" s="421"/>
      <c r="E19" s="421"/>
      <c r="F19" s="421"/>
      <c r="G19" s="421"/>
      <c r="H19" s="422"/>
    </row>
    <row r="22" spans="1:8">
      <c r="B22" s="415" t="s">
        <v>462</v>
      </c>
      <c r="C22" s="415"/>
      <c r="F22" s="415" t="s">
        <v>460</v>
      </c>
      <c r="G22" s="415"/>
      <c r="H22" s="415"/>
    </row>
    <row r="23" spans="1:8">
      <c r="F23" s="415" t="s">
        <v>461</v>
      </c>
      <c r="G23" s="415"/>
      <c r="H23" s="3"/>
    </row>
  </sheetData>
  <mergeCells count="9">
    <mergeCell ref="A1:D1"/>
    <mergeCell ref="A3:D3"/>
    <mergeCell ref="A2:C2"/>
    <mergeCell ref="B22:C22"/>
    <mergeCell ref="F23:G23"/>
    <mergeCell ref="A18:B18"/>
    <mergeCell ref="A19:B19"/>
    <mergeCell ref="C19:H19"/>
    <mergeCell ref="F22:H22"/>
  </mergeCells>
  <pageMargins left="0.37" right="0.41" top="0.54"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sheetPr>
    <tabColor rgb="FF92D050"/>
  </sheetPr>
  <dimension ref="A1:F92"/>
  <sheetViews>
    <sheetView rightToLeft="1" zoomScale="110" zoomScaleNormal="110" workbookViewId="0">
      <selection activeCell="D42" sqref="D42"/>
    </sheetView>
  </sheetViews>
  <sheetFormatPr defaultRowHeight="15"/>
  <cols>
    <col min="1" max="1" width="4.7109375" customWidth="1"/>
    <col min="2" max="2" width="13.7109375" customWidth="1"/>
    <col min="3" max="3" width="36.140625" customWidth="1"/>
    <col min="4" max="6" width="13.7109375" customWidth="1"/>
  </cols>
  <sheetData>
    <row r="1" spans="1:6" ht="17.25">
      <c r="A1" s="423" t="s">
        <v>380</v>
      </c>
      <c r="B1" s="424"/>
      <c r="C1" s="424"/>
      <c r="D1" s="424"/>
      <c r="E1" s="17"/>
      <c r="F1" s="17"/>
    </row>
    <row r="2" spans="1:6" ht="17.25">
      <c r="A2" s="423" t="s">
        <v>498</v>
      </c>
      <c r="B2" s="424"/>
      <c r="C2" s="424"/>
      <c r="D2" s="424"/>
      <c r="E2" s="17"/>
      <c r="F2" s="17"/>
    </row>
    <row r="3" spans="1:6" ht="17.25" customHeight="1" thickBot="1">
      <c r="A3" s="5"/>
      <c r="B3" s="5"/>
      <c r="C3" s="5"/>
      <c r="D3" s="18"/>
      <c r="E3" s="18"/>
      <c r="F3" s="18"/>
    </row>
    <row r="4" spans="1:6" ht="16.5" customHeight="1">
      <c r="A4" s="23" t="s">
        <v>0</v>
      </c>
      <c r="B4" s="24" t="s">
        <v>11</v>
      </c>
      <c r="C4" s="24" t="s">
        <v>12</v>
      </c>
      <c r="D4" s="24" t="s">
        <v>13</v>
      </c>
      <c r="E4" s="24" t="s">
        <v>14</v>
      </c>
      <c r="F4" s="25" t="s">
        <v>15</v>
      </c>
    </row>
    <row r="5" spans="1:6" ht="20.25" customHeight="1">
      <c r="A5" s="82">
        <v>1</v>
      </c>
      <c r="B5" s="93"/>
      <c r="C5" s="58" t="s">
        <v>93</v>
      </c>
      <c r="D5" s="114">
        <f>'ريز جاري'!E30</f>
        <v>0</v>
      </c>
      <c r="E5" s="114">
        <f>'ريز جاري'!G30</f>
        <v>0</v>
      </c>
      <c r="F5" s="115">
        <f>D5/تسعير!E34+E5</f>
        <v>0</v>
      </c>
    </row>
    <row r="6" spans="1:6" ht="30" customHeight="1">
      <c r="A6" s="82">
        <v>2</v>
      </c>
      <c r="B6" s="330" t="s">
        <v>379</v>
      </c>
      <c r="C6" s="58" t="s">
        <v>368</v>
      </c>
      <c r="D6" s="114">
        <f>'ريز جاري'!E72</f>
        <v>0</v>
      </c>
      <c r="E6" s="114">
        <f>'ريز جاري'!G72</f>
        <v>28570</v>
      </c>
      <c r="F6" s="115">
        <f>D6/تسعير!E34+E6</f>
        <v>28570</v>
      </c>
    </row>
    <row r="7" spans="1:6" ht="20.25" customHeight="1">
      <c r="A7" s="82">
        <v>3</v>
      </c>
      <c r="B7" s="93">
        <v>911321417</v>
      </c>
      <c r="C7" s="58" t="s">
        <v>370</v>
      </c>
      <c r="D7" s="114">
        <f>'ريز جاري'!E156</f>
        <v>798</v>
      </c>
      <c r="E7" s="114">
        <f>'ريز جاري'!G156</f>
        <v>0</v>
      </c>
      <c r="F7" s="115">
        <f>D7/تسعير!E34+E7</f>
        <v>216.31934751131152</v>
      </c>
    </row>
    <row r="8" spans="1:6" ht="20.25" customHeight="1">
      <c r="A8" s="82">
        <v>4</v>
      </c>
      <c r="B8" s="93">
        <v>911321416</v>
      </c>
      <c r="C8" s="58" t="s">
        <v>371</v>
      </c>
      <c r="D8" s="114">
        <f>'ريز جاري'!E198</f>
        <v>150</v>
      </c>
      <c r="E8" s="114">
        <f>'ريز جاري'!G198</f>
        <v>0</v>
      </c>
      <c r="F8" s="115">
        <f>D8/تسعير!E34+E8</f>
        <v>40.661531487088631</v>
      </c>
    </row>
    <row r="9" spans="1:6" ht="20.25" customHeight="1">
      <c r="A9" s="82">
        <v>5</v>
      </c>
      <c r="B9" s="93"/>
      <c r="C9" s="58" t="s">
        <v>86</v>
      </c>
      <c r="D9" s="114">
        <f>'ريز جاري'!E240</f>
        <v>0</v>
      </c>
      <c r="E9" s="114">
        <f>'ريز جاري'!G240</f>
        <v>0</v>
      </c>
      <c r="F9" s="115">
        <f>D9/تسعير!E34+E9</f>
        <v>0</v>
      </c>
    </row>
    <row r="10" spans="1:6" ht="20.25" customHeight="1">
      <c r="A10" s="82">
        <v>6</v>
      </c>
      <c r="B10" s="93"/>
      <c r="C10" s="58" t="s">
        <v>87</v>
      </c>
      <c r="D10" s="114">
        <f>'ريز جاري'!E282</f>
        <v>0</v>
      </c>
      <c r="E10" s="114">
        <f>'ريز جاري'!G282</f>
        <v>0</v>
      </c>
      <c r="F10" s="115">
        <f>D10/تسعير!E34+E10</f>
        <v>0</v>
      </c>
    </row>
    <row r="11" spans="1:6" ht="20.25" customHeight="1">
      <c r="A11" s="82">
        <v>7</v>
      </c>
      <c r="B11" s="93">
        <v>911321419</v>
      </c>
      <c r="C11" s="58" t="s">
        <v>94</v>
      </c>
      <c r="D11" s="114">
        <f>'ريز جاري'!E324</f>
        <v>14009</v>
      </c>
      <c r="E11" s="114">
        <f>'ريز جاري'!G324</f>
        <v>0</v>
      </c>
      <c r="F11" s="115">
        <f>D11/تسعير!E34+E11</f>
        <v>3797.5159640174979</v>
      </c>
    </row>
    <row r="12" spans="1:6" ht="20.25" customHeight="1">
      <c r="A12" s="82">
        <v>8</v>
      </c>
      <c r="B12" s="93">
        <v>9113214111</v>
      </c>
      <c r="C12" s="58" t="s">
        <v>372</v>
      </c>
      <c r="D12" s="114">
        <f>'ريز جاري'!E366</f>
        <v>2642.6</v>
      </c>
      <c r="E12" s="114">
        <f>'ريز جاري'!G366</f>
        <v>0</v>
      </c>
      <c r="F12" s="115">
        <f>D12/تسعير!E34+E12</f>
        <v>716.3477540518694</v>
      </c>
    </row>
    <row r="13" spans="1:6" ht="20.25" customHeight="1">
      <c r="A13" s="82">
        <v>9</v>
      </c>
      <c r="B13" s="93">
        <v>911321412</v>
      </c>
      <c r="C13" s="58" t="s">
        <v>89</v>
      </c>
      <c r="D13" s="114">
        <f>'ريز جاري'!E408</f>
        <v>1033</v>
      </c>
      <c r="E13" s="114">
        <f>'ريز جاري'!G408</f>
        <v>0</v>
      </c>
      <c r="F13" s="115">
        <f>D13/تسعير!E34+E13</f>
        <v>280.0224135077504</v>
      </c>
    </row>
    <row r="14" spans="1:6" ht="20.25" customHeight="1">
      <c r="A14" s="82">
        <v>10</v>
      </c>
      <c r="B14" s="93"/>
      <c r="C14" s="58" t="s">
        <v>16</v>
      </c>
      <c r="D14" s="114">
        <f>'ريز جاري'!E450</f>
        <v>0</v>
      </c>
      <c r="E14" s="114">
        <f>'ريز جاري'!G450</f>
        <v>0</v>
      </c>
      <c r="F14" s="115">
        <f>D14/تسعير!E34+E14</f>
        <v>0</v>
      </c>
    </row>
    <row r="15" spans="1:6" ht="20.25" customHeight="1">
      <c r="A15" s="82">
        <v>11</v>
      </c>
      <c r="B15" s="93"/>
      <c r="C15" s="58" t="s">
        <v>90</v>
      </c>
      <c r="D15" s="114">
        <f>'ريز جاري'!E492</f>
        <v>0</v>
      </c>
      <c r="E15" s="114">
        <f>'ريز جاري'!G492</f>
        <v>0</v>
      </c>
      <c r="F15" s="115">
        <f>D15/تسعير!E34+E15</f>
        <v>0</v>
      </c>
    </row>
    <row r="16" spans="1:6" ht="20.25" customHeight="1">
      <c r="A16" s="82">
        <v>12</v>
      </c>
      <c r="B16" s="93">
        <v>911321413</v>
      </c>
      <c r="C16" s="58" t="s">
        <v>369</v>
      </c>
      <c r="D16" s="114">
        <f>'ريز جاري'!E114</f>
        <v>4248</v>
      </c>
      <c r="E16" s="114">
        <f>'ريز جاري'!G114</f>
        <v>0</v>
      </c>
      <c r="F16" s="115">
        <f>D16/تسعير!E34+E16</f>
        <v>1151.53457171435</v>
      </c>
    </row>
    <row r="17" spans="1:6" ht="20.25" customHeight="1">
      <c r="A17" s="82">
        <v>13</v>
      </c>
      <c r="B17" s="91"/>
      <c r="C17" s="164" t="s">
        <v>35</v>
      </c>
      <c r="D17" s="298"/>
      <c r="E17" s="298">
        <v>79009</v>
      </c>
      <c r="F17" s="312">
        <f>D17/تسعير!E34+E17</f>
        <v>79009</v>
      </c>
    </row>
    <row r="18" spans="1:6" ht="20.25" customHeight="1">
      <c r="A18" s="82">
        <v>14</v>
      </c>
      <c r="B18" s="19"/>
      <c r="C18" s="19"/>
      <c r="D18" s="116"/>
      <c r="E18" s="116"/>
      <c r="F18" s="312">
        <f>D18/تسعير!E34+E18</f>
        <v>0</v>
      </c>
    </row>
    <row r="19" spans="1:6" ht="9" customHeight="1">
      <c r="A19" s="82">
        <v>15</v>
      </c>
      <c r="B19" s="19"/>
      <c r="C19" s="19"/>
      <c r="D19" s="116"/>
      <c r="E19" s="116"/>
      <c r="F19" s="312">
        <f>D19/تسعير!E34+E19</f>
        <v>0</v>
      </c>
    </row>
    <row r="20" spans="1:6" ht="9" customHeight="1">
      <c r="A20" s="82">
        <v>16</v>
      </c>
      <c r="B20" s="19"/>
      <c r="C20" s="19"/>
      <c r="D20" s="116"/>
      <c r="E20" s="116"/>
      <c r="F20" s="312">
        <f>D20/تسعير!E34+E20</f>
        <v>0</v>
      </c>
    </row>
    <row r="21" spans="1:6" ht="9" customHeight="1">
      <c r="A21" s="82">
        <v>17</v>
      </c>
      <c r="B21" s="19"/>
      <c r="C21" s="19"/>
      <c r="D21" s="116"/>
      <c r="E21" s="116"/>
      <c r="F21" s="312">
        <f>D21/تسعير!E34+E21</f>
        <v>0</v>
      </c>
    </row>
    <row r="22" spans="1:6" ht="9" customHeight="1">
      <c r="A22" s="82">
        <v>18</v>
      </c>
      <c r="B22" s="19"/>
      <c r="C22" s="19"/>
      <c r="D22" s="116"/>
      <c r="E22" s="116"/>
      <c r="F22" s="312">
        <f>D22/تسعير!E34+E22</f>
        <v>0</v>
      </c>
    </row>
    <row r="23" spans="1:6" ht="9" customHeight="1">
      <c r="A23" s="82">
        <v>19</v>
      </c>
      <c r="B23" s="19"/>
      <c r="C23" s="19"/>
      <c r="D23" s="116"/>
      <c r="E23" s="116"/>
      <c r="F23" s="312">
        <f>D23/تسعير!E34+E23</f>
        <v>0</v>
      </c>
    </row>
    <row r="24" spans="1:6" ht="9" customHeight="1">
      <c r="A24" s="82">
        <v>20</v>
      </c>
      <c r="B24" s="19"/>
      <c r="C24" s="19"/>
      <c r="D24" s="116"/>
      <c r="E24" s="116"/>
      <c r="F24" s="312">
        <f>D24/تسعير!E34+E24</f>
        <v>0</v>
      </c>
    </row>
    <row r="25" spans="1:6" ht="9" customHeight="1">
      <c r="A25" s="82">
        <v>21</v>
      </c>
      <c r="B25" s="19"/>
      <c r="C25" s="19"/>
      <c r="D25" s="116"/>
      <c r="E25" s="116"/>
      <c r="F25" s="312">
        <f>D25/تسعير!E34+E25</f>
        <v>0</v>
      </c>
    </row>
    <row r="26" spans="1:6" ht="9" customHeight="1">
      <c r="A26" s="82">
        <v>22</v>
      </c>
      <c r="B26" s="19"/>
      <c r="C26" s="19"/>
      <c r="D26" s="116"/>
      <c r="E26" s="116"/>
      <c r="F26" s="312">
        <f>D26/تسعير!E34+E26</f>
        <v>0</v>
      </c>
    </row>
    <row r="27" spans="1:6" ht="9" customHeight="1">
      <c r="A27" s="82">
        <v>23</v>
      </c>
      <c r="B27" s="19"/>
      <c r="C27" s="19"/>
      <c r="D27" s="116"/>
      <c r="E27" s="116"/>
      <c r="F27" s="312">
        <f>D27/تسعير!E34+E27</f>
        <v>0</v>
      </c>
    </row>
    <row r="28" spans="1:6" ht="9" customHeight="1">
      <c r="A28" s="82">
        <v>24</v>
      </c>
      <c r="B28" s="19"/>
      <c r="C28" s="19"/>
      <c r="D28" s="116"/>
      <c r="E28" s="116"/>
      <c r="F28" s="312">
        <f>D28/تسعير!E34+E28</f>
        <v>0</v>
      </c>
    </row>
    <row r="29" spans="1:6" ht="9" customHeight="1">
      <c r="A29" s="82">
        <v>25</v>
      </c>
      <c r="B29" s="19"/>
      <c r="C29" s="19"/>
      <c r="D29" s="116"/>
      <c r="E29" s="116"/>
      <c r="F29" s="312">
        <f>D29/تسعير!E34+E29</f>
        <v>0</v>
      </c>
    </row>
    <row r="30" spans="1:6" ht="9" customHeight="1">
      <c r="A30" s="82">
        <v>26</v>
      </c>
      <c r="B30" s="19"/>
      <c r="C30" s="19"/>
      <c r="D30" s="116"/>
      <c r="E30" s="116"/>
      <c r="F30" s="312">
        <f>D30/تسعير!E34+E30</f>
        <v>0</v>
      </c>
    </row>
    <row r="31" spans="1:6" ht="9" customHeight="1">
      <c r="A31" s="82">
        <v>27</v>
      </c>
      <c r="B31" s="19"/>
      <c r="C31" s="19"/>
      <c r="D31" s="116"/>
      <c r="E31" s="116"/>
      <c r="F31" s="312">
        <f>D31/تسعير!E34+E31</f>
        <v>0</v>
      </c>
    </row>
    <row r="32" spans="1:6" ht="9" customHeight="1">
      <c r="A32" s="82">
        <v>28</v>
      </c>
      <c r="B32" s="29"/>
      <c r="C32" s="29"/>
      <c r="D32" s="116"/>
      <c r="E32" s="116"/>
      <c r="F32" s="312">
        <f>D32/تسعير!E34+E32</f>
        <v>0</v>
      </c>
    </row>
    <row r="33" spans="1:6" ht="9" customHeight="1">
      <c r="A33" s="82">
        <v>29</v>
      </c>
      <c r="B33" s="19"/>
      <c r="C33" s="19"/>
      <c r="D33" s="116"/>
      <c r="E33" s="116"/>
      <c r="F33" s="312">
        <f>D33/تسعير!E34+E33</f>
        <v>0</v>
      </c>
    </row>
    <row r="34" spans="1:6" ht="9" customHeight="1">
      <c r="A34" s="82">
        <v>30</v>
      </c>
      <c r="B34" s="19"/>
      <c r="C34" s="19"/>
      <c r="D34" s="116"/>
      <c r="E34" s="116"/>
      <c r="F34" s="312">
        <f>D34/تسعير!E34+E34</f>
        <v>0</v>
      </c>
    </row>
    <row r="35" spans="1:6" ht="16.5" customHeight="1" thickBot="1">
      <c r="A35" s="431" t="s">
        <v>17</v>
      </c>
      <c r="B35" s="432"/>
      <c r="C35" s="37"/>
      <c r="D35" s="118">
        <f>SUM(D5:D34)</f>
        <v>22880.6</v>
      </c>
      <c r="E35" s="118">
        <f>SUM(E5:E34)</f>
        <v>107579</v>
      </c>
      <c r="F35" s="119">
        <f>SUM(F5:F34)</f>
        <v>113781.40158228987</v>
      </c>
    </row>
    <row r="36" spans="1:6" ht="16.5" customHeight="1"/>
    <row r="37" spans="1:6" ht="16.5" customHeight="1">
      <c r="A37" s="425" t="s">
        <v>19</v>
      </c>
      <c r="B37" s="425"/>
      <c r="C37" s="85" t="s">
        <v>373</v>
      </c>
      <c r="D37" s="18"/>
      <c r="E37" s="425" t="s">
        <v>499</v>
      </c>
      <c r="F37" s="425"/>
    </row>
    <row r="39" spans="1:6" ht="30" customHeight="1"/>
    <row r="40" spans="1:6" ht="30" customHeight="1"/>
    <row r="41" spans="1:6" ht="30" customHeight="1"/>
    <row r="42" spans="1:6" ht="30" customHeight="1"/>
    <row r="43" spans="1:6" ht="30" customHeight="1"/>
    <row r="44" spans="1:6" ht="30" customHeight="1"/>
    <row r="47" spans="1:6" ht="17.25">
      <c r="A47" s="423" t="s">
        <v>381</v>
      </c>
      <c r="B47" s="424"/>
      <c r="C47" s="424"/>
      <c r="D47" s="424"/>
    </row>
    <row r="48" spans="1:6" ht="17.25">
      <c r="A48" s="429" t="s">
        <v>498</v>
      </c>
      <c r="B48" s="430"/>
      <c r="C48" s="430"/>
      <c r="D48" s="430"/>
    </row>
    <row r="49" spans="1:6" ht="15.75" customHeight="1" thickBot="1">
      <c r="A49" s="16"/>
      <c r="B49" s="36"/>
      <c r="C49" s="36"/>
      <c r="D49" s="36"/>
    </row>
    <row r="50" spans="1:6" ht="16.5" customHeight="1">
      <c r="A50" s="23" t="s">
        <v>0</v>
      </c>
      <c r="B50" s="24" t="s">
        <v>11</v>
      </c>
      <c r="C50" s="24" t="s">
        <v>12</v>
      </c>
      <c r="D50" s="24" t="s">
        <v>13</v>
      </c>
      <c r="E50" s="24" t="s">
        <v>14</v>
      </c>
      <c r="F50" s="25" t="s">
        <v>15</v>
      </c>
    </row>
    <row r="51" spans="1:6" ht="16.5" customHeight="1">
      <c r="A51" s="26">
        <v>1</v>
      </c>
      <c r="B51" s="93"/>
      <c r="C51" s="162" t="s">
        <v>95</v>
      </c>
      <c r="D51" s="114">
        <f>'ريز فرهنگي'!E30</f>
        <v>0</v>
      </c>
      <c r="E51" s="114">
        <f>'ريز فرهنگي'!G30</f>
        <v>0</v>
      </c>
      <c r="F51" s="115">
        <f>D51/تسعير!E34+E51</f>
        <v>0</v>
      </c>
    </row>
    <row r="52" spans="1:6" ht="16.5" customHeight="1">
      <c r="A52" s="26">
        <v>2</v>
      </c>
      <c r="B52" s="294">
        <v>9113214125</v>
      </c>
      <c r="C52" s="295" t="s">
        <v>474</v>
      </c>
      <c r="D52" s="114">
        <f>'ريز فرهنگي'!E72</f>
        <v>2040</v>
      </c>
      <c r="E52" s="114">
        <f>'ريز فرهنگي'!G72</f>
        <v>0</v>
      </c>
      <c r="F52" s="115">
        <f>D52/تسعير!E34+E52</f>
        <v>552.99682822440536</v>
      </c>
    </row>
    <row r="53" spans="1:6" ht="16.5" customHeight="1">
      <c r="A53" s="26">
        <v>3</v>
      </c>
      <c r="B53" s="93">
        <v>9113214144</v>
      </c>
      <c r="C53" s="60" t="s">
        <v>279</v>
      </c>
      <c r="D53" s="114">
        <f>'ريز فرهنگي'!E114</f>
        <v>1001</v>
      </c>
      <c r="E53" s="114">
        <f>'ريز فرهنگي'!G114</f>
        <v>0</v>
      </c>
      <c r="F53" s="115">
        <f>D53/تسعير!E34+E53</f>
        <v>271.34795345717146</v>
      </c>
    </row>
    <row r="54" spans="1:6" ht="16.5" customHeight="1">
      <c r="A54" s="26">
        <v>4</v>
      </c>
      <c r="B54" s="93">
        <v>9113214130</v>
      </c>
      <c r="C54" s="60" t="s">
        <v>282</v>
      </c>
      <c r="D54" s="114">
        <f>'ريز فرهنگي'!E156</f>
        <v>400</v>
      </c>
      <c r="E54" s="114">
        <f>'ريز فرهنگي'!G156</f>
        <v>0</v>
      </c>
      <c r="F54" s="115">
        <f>D54/تسعير!E34+E54</f>
        <v>108.43075063223635</v>
      </c>
    </row>
    <row r="55" spans="1:6" ht="30" customHeight="1">
      <c r="A55" s="26">
        <v>5</v>
      </c>
      <c r="B55" s="93">
        <v>9113214141</v>
      </c>
      <c r="C55" s="111" t="s">
        <v>287</v>
      </c>
      <c r="D55" s="114">
        <f>'ريز فرهنگي'!E198</f>
        <v>0</v>
      </c>
      <c r="E55" s="114">
        <f>'ريز فرهنگي'!G198</f>
        <v>500</v>
      </c>
      <c r="F55" s="115">
        <f>D55/تسعير!E34+E55</f>
        <v>500</v>
      </c>
    </row>
    <row r="56" spans="1:6" ht="16.5" customHeight="1">
      <c r="A56" s="26">
        <v>6</v>
      </c>
      <c r="B56" s="93">
        <v>9113214153</v>
      </c>
      <c r="C56" s="60" t="s">
        <v>291</v>
      </c>
      <c r="D56" s="114">
        <f>'ريز فرهنگي'!E240</f>
        <v>825</v>
      </c>
      <c r="E56" s="114">
        <f>'ريز فرهنگي'!G240</f>
        <v>0</v>
      </c>
      <c r="F56" s="115">
        <f>D56/تسعير!E34+E56</f>
        <v>223.63842317898749</v>
      </c>
    </row>
    <row r="57" spans="1:6" ht="30" customHeight="1">
      <c r="A57" s="26">
        <v>7</v>
      </c>
      <c r="B57" s="93">
        <v>9113214133</v>
      </c>
      <c r="C57" s="111" t="s">
        <v>297</v>
      </c>
      <c r="D57" s="114">
        <f>'ريز فرهنگي'!E282</f>
        <v>5562</v>
      </c>
      <c r="E57" s="114">
        <f>'ريز فرهنگي'!G282</f>
        <v>0</v>
      </c>
      <c r="F57" s="115">
        <f>D57/تسعير!E34+E57</f>
        <v>1507.7295875412465</v>
      </c>
    </row>
    <row r="58" spans="1:6" ht="30" customHeight="1">
      <c r="A58" s="26">
        <v>8</v>
      </c>
      <c r="B58" s="93">
        <v>9113214147</v>
      </c>
      <c r="C58" s="111" t="s">
        <v>307</v>
      </c>
      <c r="D58" s="114">
        <f>'ريز فرهنگي'!E324</f>
        <v>400</v>
      </c>
      <c r="E58" s="114">
        <f>'ريز فرهنگي'!G324</f>
        <v>0</v>
      </c>
      <c r="F58" s="115">
        <f>D58/تسعير!E34+E58</f>
        <v>108.43075063223635</v>
      </c>
    </row>
    <row r="59" spans="1:6" ht="30" customHeight="1">
      <c r="A59" s="26">
        <v>9</v>
      </c>
      <c r="B59" s="93">
        <v>9113214145</v>
      </c>
      <c r="C59" s="111" t="s">
        <v>313</v>
      </c>
      <c r="D59" s="114">
        <f>'ريز فرهنگي'!E366</f>
        <v>31857</v>
      </c>
      <c r="E59" s="114">
        <f>'ريز فرهنگي'!G366</f>
        <v>0</v>
      </c>
      <c r="F59" s="115">
        <f>D59/تسعير!E34+E59</f>
        <v>8635.696057227884</v>
      </c>
    </row>
    <row r="60" spans="1:6" ht="30" customHeight="1">
      <c r="A60" s="26">
        <v>10</v>
      </c>
      <c r="B60" s="93">
        <v>9113214126</v>
      </c>
      <c r="C60" s="111" t="s">
        <v>327</v>
      </c>
      <c r="D60" s="114">
        <f>'ريز فرهنگي'!E408</f>
        <v>10077.540000000001</v>
      </c>
      <c r="E60" s="114">
        <f>'ريز فرهنگي'!G408</f>
        <v>0</v>
      </c>
      <c r="F60" s="115">
        <f>D60/تسعير!E34+E60</f>
        <v>2731.7880668159683</v>
      </c>
    </row>
    <row r="61" spans="1:6" ht="16.5" customHeight="1">
      <c r="A61" s="26">
        <v>11</v>
      </c>
      <c r="B61" s="20"/>
      <c r="C61" s="163"/>
      <c r="D61" s="116"/>
      <c r="E61" s="116"/>
      <c r="F61" s="312">
        <f>D61/تسعير!E34+E61</f>
        <v>0</v>
      </c>
    </row>
    <row r="62" spans="1:6" ht="12" customHeight="1">
      <c r="A62" s="26">
        <v>12</v>
      </c>
      <c r="B62" s="20"/>
      <c r="C62" s="20"/>
      <c r="D62" s="116"/>
      <c r="E62" s="116"/>
      <c r="F62" s="312">
        <f>D62/تسعير!E34+E62</f>
        <v>0</v>
      </c>
    </row>
    <row r="63" spans="1:6" ht="12" customHeight="1">
      <c r="A63" s="26">
        <v>13</v>
      </c>
      <c r="B63" s="20"/>
      <c r="C63" s="20"/>
      <c r="D63" s="116"/>
      <c r="E63" s="116"/>
      <c r="F63" s="312">
        <f>D63/تسعير!E34+E63</f>
        <v>0</v>
      </c>
    </row>
    <row r="64" spans="1:6" ht="12" customHeight="1">
      <c r="A64" s="26">
        <v>14</v>
      </c>
      <c r="B64" s="20"/>
      <c r="C64" s="20"/>
      <c r="D64" s="116"/>
      <c r="E64" s="116"/>
      <c r="F64" s="312">
        <f>D64/تسعير!E34+E64</f>
        <v>0</v>
      </c>
    </row>
    <row r="65" spans="1:6" ht="12" customHeight="1">
      <c r="A65" s="26">
        <v>15</v>
      </c>
      <c r="B65" s="20"/>
      <c r="C65" s="20"/>
      <c r="D65" s="116"/>
      <c r="E65" s="116"/>
      <c r="F65" s="312">
        <f>D65/تسعير!E34+E65</f>
        <v>0</v>
      </c>
    </row>
    <row r="66" spans="1:6" ht="12" customHeight="1">
      <c r="A66" s="26">
        <v>16</v>
      </c>
      <c r="B66" s="20"/>
      <c r="C66" s="20"/>
      <c r="D66" s="116"/>
      <c r="E66" s="116"/>
      <c r="F66" s="312">
        <f>D66/تسعير!E34+E66</f>
        <v>0</v>
      </c>
    </row>
    <row r="67" spans="1:6" ht="12" customHeight="1">
      <c r="A67" s="26">
        <v>17</v>
      </c>
      <c r="B67" s="20"/>
      <c r="C67" s="20"/>
      <c r="D67" s="116"/>
      <c r="E67" s="116"/>
      <c r="F67" s="312">
        <f>D67/تسعير!E34+E67</f>
        <v>0</v>
      </c>
    </row>
    <row r="68" spans="1:6" ht="12" customHeight="1">
      <c r="A68" s="26">
        <v>18</v>
      </c>
      <c r="B68" s="20"/>
      <c r="C68" s="20"/>
      <c r="D68" s="116"/>
      <c r="E68" s="116"/>
      <c r="F68" s="312">
        <f>D68/تسعير!E34+E68</f>
        <v>0</v>
      </c>
    </row>
    <row r="69" spans="1:6" ht="12" customHeight="1">
      <c r="A69" s="26">
        <v>19</v>
      </c>
      <c r="B69" s="20"/>
      <c r="C69" s="20"/>
      <c r="D69" s="116"/>
      <c r="E69" s="116"/>
      <c r="F69" s="312">
        <f>D69/تسعير!E34+E69</f>
        <v>0</v>
      </c>
    </row>
    <row r="70" spans="1:6" ht="12" customHeight="1">
      <c r="A70" s="26">
        <v>20</v>
      </c>
      <c r="B70" s="20"/>
      <c r="C70" s="20"/>
      <c r="D70" s="116"/>
      <c r="E70" s="116"/>
      <c r="F70" s="312">
        <f>D70/تسعير!E34+E70</f>
        <v>0</v>
      </c>
    </row>
    <row r="71" spans="1:6" ht="12" customHeight="1">
      <c r="A71" s="26">
        <v>21</v>
      </c>
      <c r="B71" s="20"/>
      <c r="C71" s="20"/>
      <c r="D71" s="116"/>
      <c r="E71" s="116"/>
      <c r="F71" s="312">
        <f>D71/تسعير!E34+E71</f>
        <v>0</v>
      </c>
    </row>
    <row r="72" spans="1:6" ht="12" customHeight="1">
      <c r="A72" s="26">
        <v>22</v>
      </c>
      <c r="B72" s="20"/>
      <c r="C72" s="20"/>
      <c r="D72" s="116"/>
      <c r="E72" s="116"/>
      <c r="F72" s="312">
        <f>D72/تسعير!E34+E72</f>
        <v>0</v>
      </c>
    </row>
    <row r="73" spans="1:6" ht="12" customHeight="1">
      <c r="A73" s="26">
        <v>23</v>
      </c>
      <c r="B73" s="20"/>
      <c r="C73" s="20"/>
      <c r="D73" s="116"/>
      <c r="E73" s="116"/>
      <c r="F73" s="312">
        <f>D73/تسعير!E34+E73</f>
        <v>0</v>
      </c>
    </row>
    <row r="74" spans="1:6" ht="12" customHeight="1">
      <c r="A74" s="26">
        <v>24</v>
      </c>
      <c r="B74" s="20"/>
      <c r="C74" s="20"/>
      <c r="D74" s="116"/>
      <c r="E74" s="116"/>
      <c r="F74" s="312">
        <f>D74/تسعير!E34+E74</f>
        <v>0</v>
      </c>
    </row>
    <row r="75" spans="1:6" ht="12" customHeight="1">
      <c r="A75" s="26">
        <v>25</v>
      </c>
      <c r="B75" s="20"/>
      <c r="C75" s="20"/>
      <c r="D75" s="116"/>
      <c r="E75" s="116"/>
      <c r="F75" s="312">
        <f>D75/تسعير!E34+E75</f>
        <v>0</v>
      </c>
    </row>
    <row r="76" spans="1:6" ht="12" customHeight="1">
      <c r="A76" s="26">
        <v>26</v>
      </c>
      <c r="B76" s="20"/>
      <c r="C76" s="20"/>
      <c r="D76" s="116"/>
      <c r="E76" s="116"/>
      <c r="F76" s="312">
        <f>D76/تسعير!E34+E76</f>
        <v>0</v>
      </c>
    </row>
    <row r="77" spans="1:6" ht="12" customHeight="1">
      <c r="A77" s="26">
        <v>27</v>
      </c>
      <c r="B77" s="20"/>
      <c r="C77" s="20"/>
      <c r="D77" s="116"/>
      <c r="E77" s="116"/>
      <c r="F77" s="312">
        <f>D77/تسعير!E34+E77</f>
        <v>0</v>
      </c>
    </row>
    <row r="78" spans="1:6" ht="12" customHeight="1">
      <c r="A78" s="26">
        <v>28</v>
      </c>
      <c r="B78" s="20"/>
      <c r="C78" s="20"/>
      <c r="D78" s="116"/>
      <c r="E78" s="116"/>
      <c r="F78" s="312">
        <f>D78/تسعير!E34+E78</f>
        <v>0</v>
      </c>
    </row>
    <row r="79" spans="1:6" ht="12" customHeight="1">
      <c r="A79" s="26">
        <v>29</v>
      </c>
      <c r="B79" s="20"/>
      <c r="C79" s="20"/>
      <c r="D79" s="116"/>
      <c r="E79" s="116"/>
      <c r="F79" s="312">
        <f>D79/تسعير!E34+E79</f>
        <v>0</v>
      </c>
    </row>
    <row r="80" spans="1:6" ht="12" customHeight="1">
      <c r="A80" s="26">
        <v>30</v>
      </c>
      <c r="B80" s="20"/>
      <c r="C80" s="20"/>
      <c r="D80" s="117"/>
      <c r="E80" s="117"/>
      <c r="F80" s="331">
        <f>D80/تسعير!E34+E80</f>
        <v>0</v>
      </c>
    </row>
    <row r="81" spans="1:6" ht="20.25" customHeight="1" thickBot="1">
      <c r="A81" s="426" t="s">
        <v>18</v>
      </c>
      <c r="B81" s="427"/>
      <c r="C81" s="428"/>
      <c r="D81" s="118">
        <f>SUM(D50:D80)</f>
        <v>52162.54</v>
      </c>
      <c r="E81" s="118">
        <f>SUM(E50:E80)</f>
        <v>500</v>
      </c>
      <c r="F81" s="119">
        <f>SUM(F50:F80)</f>
        <v>14640.058417710135</v>
      </c>
    </row>
    <row r="82" spans="1:6" ht="16.5" customHeight="1">
      <c r="A82" s="38"/>
      <c r="B82" s="38"/>
      <c r="C82" s="38"/>
      <c r="D82" s="39"/>
      <c r="E82" s="39"/>
      <c r="F82" s="39"/>
    </row>
    <row r="83" spans="1:6" ht="16.5" customHeight="1">
      <c r="A83" s="425" t="s">
        <v>19</v>
      </c>
      <c r="B83" s="425"/>
      <c r="C83" s="85" t="s">
        <v>374</v>
      </c>
      <c r="D83" s="18"/>
      <c r="E83" s="425" t="s">
        <v>500</v>
      </c>
      <c r="F83" s="425"/>
    </row>
    <row r="84" spans="1:6" ht="16.5" customHeight="1">
      <c r="A84" s="38"/>
      <c r="B84" s="38"/>
      <c r="C84" s="38"/>
      <c r="D84" s="39"/>
      <c r="E84" s="39"/>
      <c r="F84" s="39"/>
    </row>
    <row r="85" spans="1:6" ht="16.5" customHeight="1">
      <c r="A85" s="38"/>
      <c r="B85" s="38"/>
      <c r="C85" s="38"/>
      <c r="D85" s="39"/>
      <c r="E85" s="39"/>
      <c r="F85" s="39"/>
    </row>
    <row r="86" spans="1:6" ht="16.5" customHeight="1">
      <c r="A86" s="38"/>
      <c r="B86" s="38"/>
      <c r="C86" s="38"/>
      <c r="D86" s="39"/>
      <c r="E86" s="39"/>
      <c r="F86" s="39"/>
    </row>
    <row r="92" spans="1:6">
      <c r="A92" s="5"/>
      <c r="B92" s="5"/>
      <c r="C92" s="5"/>
      <c r="D92" s="18"/>
      <c r="E92" s="18"/>
      <c r="F92" s="18"/>
    </row>
  </sheetData>
  <mergeCells count="10">
    <mergeCell ref="A1:D1"/>
    <mergeCell ref="A83:B83"/>
    <mergeCell ref="A81:C81"/>
    <mergeCell ref="E83:F83"/>
    <mergeCell ref="A2:D2"/>
    <mergeCell ref="A37:B37"/>
    <mergeCell ref="E37:F37"/>
    <mergeCell ref="A47:D47"/>
    <mergeCell ref="A48:D48"/>
    <mergeCell ref="A35:B35"/>
  </mergeCells>
  <hyperlinks>
    <hyperlink ref="C5" location="'ليست ريز جاري'!A1" display="هزينه بانكي"/>
    <hyperlink ref="C6" location="'ليست ريز جاري'!A45" display="حقوق بازخريدي و ... كاركنان بومي"/>
    <hyperlink ref="C16" location="'ليست ريز جاري'!A87" display="خريد اقلام مصرفي"/>
    <hyperlink ref="C7" location="'ليست ريز جاري'!A129" display="هزينه آب برق گاز و ساير سوخت ها"/>
    <hyperlink ref="C8" location="'ليست ريز جاري'!A171" display="تعمير و نگهداري خودرو"/>
    <hyperlink ref="C9" location="'ليست ريز جاري'!A213" display="ترميم و نگهداري جزئي ساختمان"/>
    <hyperlink ref="C10" location="'ليست ريز جاري'!A255" display="حمل و نقل و ارتباطات"/>
    <hyperlink ref="C11" location="'ليست ريز جاري'!A297" display="تلفن ، فاكس و اينترنت"/>
    <hyperlink ref="C12" location="'ليست ريز جاري'!A339" display="هزينه اجاره ساختمان نمايندگي"/>
    <hyperlink ref="C13" location="'ليست ريز جاري'!A381" display="كمك هزينه درمان و بيمه كاركنان"/>
    <hyperlink ref="C14" location="'ليست ريز جاري'!A423" display="هزينه هاي خارج از مصوب و تخصيص"/>
    <hyperlink ref="C15" location="'ليست ريز جاري'!A465" display="هزينه هاي پيش بيني نشده"/>
    <hyperlink ref="C51" location="'ليست ريز فرهنگي'!A1" display="برگزاري جشن نوروز"/>
    <hyperlink ref="C52" location="'ليست ريز فرهنگي'!A45" display="برگزاري مراسم ارتحال امام"/>
  </hyperlinks>
  <pageMargins left="0.39370078740157483" right="0.59055118110236227" top="0.39370078740157483" bottom="0.39370078740157483" header="0.31496062992125984" footer="0.31496062992125984"/>
  <pageSetup orientation="portrait" verticalDpi="300" r:id="rId1"/>
</worksheet>
</file>

<file path=xl/worksheets/sheet6.xml><?xml version="1.0" encoding="utf-8"?>
<worksheet xmlns="http://schemas.openxmlformats.org/spreadsheetml/2006/main" xmlns:r="http://schemas.openxmlformats.org/officeDocument/2006/relationships">
  <sheetPr>
    <tabColor rgb="FFFF0000"/>
  </sheetPr>
  <dimension ref="A2:E73"/>
  <sheetViews>
    <sheetView rightToLeft="1" zoomScaleNormal="100" workbookViewId="0">
      <selection activeCell="D58" sqref="D58"/>
    </sheetView>
  </sheetViews>
  <sheetFormatPr defaultRowHeight="15"/>
  <cols>
    <col min="1" max="1" width="31.7109375" customWidth="1"/>
    <col min="2" max="5" width="15.140625" style="5" customWidth="1"/>
  </cols>
  <sheetData>
    <row r="2" spans="1:5" ht="20.25" customHeight="1">
      <c r="A2" s="443" t="s">
        <v>501</v>
      </c>
      <c r="B2" s="443"/>
      <c r="C2" s="443"/>
      <c r="D2" s="443"/>
      <c r="E2" s="443"/>
    </row>
    <row r="3" spans="1:5" ht="20.25" customHeight="1" thickBot="1">
      <c r="A3" s="444" t="s">
        <v>534</v>
      </c>
      <c r="B3" s="445"/>
      <c r="C3" s="445"/>
      <c r="D3" s="445"/>
      <c r="E3" s="445"/>
    </row>
    <row r="4" spans="1:5">
      <c r="A4" s="435" t="s">
        <v>20</v>
      </c>
      <c r="B4" s="438" t="s">
        <v>21</v>
      </c>
      <c r="C4" s="439"/>
      <c r="D4" s="438" t="s">
        <v>24</v>
      </c>
      <c r="E4" s="441"/>
    </row>
    <row r="5" spans="1:5">
      <c r="A5" s="436"/>
      <c r="B5" s="440"/>
      <c r="C5" s="440"/>
      <c r="D5" s="440"/>
      <c r="E5" s="442"/>
    </row>
    <row r="6" spans="1:5" ht="21" customHeight="1">
      <c r="A6" s="437"/>
      <c r="B6" s="40" t="s">
        <v>22</v>
      </c>
      <c r="C6" s="40" t="s">
        <v>23</v>
      </c>
      <c r="D6" s="40" t="s">
        <v>22</v>
      </c>
      <c r="E6" s="41" t="s">
        <v>23</v>
      </c>
    </row>
    <row r="7" spans="1:5" ht="21" customHeight="1">
      <c r="A7" s="73" t="s">
        <v>26</v>
      </c>
      <c r="B7" s="296"/>
      <c r="C7" s="296"/>
      <c r="D7" s="296"/>
      <c r="E7" s="297"/>
    </row>
    <row r="8" spans="1:5" ht="21" customHeight="1">
      <c r="A8" s="31" t="s">
        <v>127</v>
      </c>
      <c r="B8" s="298"/>
      <c r="C8" s="298"/>
      <c r="D8" s="116"/>
      <c r="E8" s="299"/>
    </row>
    <row r="9" spans="1:5" ht="21" customHeight="1">
      <c r="A9" s="31" t="s">
        <v>128</v>
      </c>
      <c r="B9" s="298"/>
      <c r="C9" s="298"/>
      <c r="D9" s="116"/>
      <c r="E9" s="299"/>
    </row>
    <row r="10" spans="1:5" ht="21" customHeight="1">
      <c r="A10" s="32" t="s">
        <v>27</v>
      </c>
      <c r="B10" s="300"/>
      <c r="C10" s="300"/>
      <c r="D10" s="300"/>
      <c r="E10" s="301"/>
    </row>
    <row r="11" spans="1:5" ht="21" customHeight="1">
      <c r="A11" s="31" t="s">
        <v>129</v>
      </c>
      <c r="B11" s="298"/>
      <c r="C11" s="298"/>
      <c r="D11" s="302">
        <v>76843.5</v>
      </c>
      <c r="E11" s="299"/>
    </row>
    <row r="12" spans="1:5" ht="21" customHeight="1">
      <c r="A12" s="30" t="s">
        <v>28</v>
      </c>
      <c r="B12" s="300"/>
      <c r="C12" s="300"/>
      <c r="D12" s="300"/>
      <c r="E12" s="301"/>
    </row>
    <row r="13" spans="1:5" ht="21" customHeight="1">
      <c r="A13" s="31" t="s">
        <v>487</v>
      </c>
      <c r="B13" s="298"/>
      <c r="C13" s="298"/>
      <c r="D13" s="298"/>
      <c r="E13" s="303">
        <v>16058</v>
      </c>
    </row>
    <row r="14" spans="1:5" ht="21" customHeight="1">
      <c r="A14" s="337" t="s">
        <v>488</v>
      </c>
      <c r="B14" s="298"/>
      <c r="C14" s="298"/>
      <c r="D14" s="116">
        <v>16058</v>
      </c>
      <c r="E14" s="299"/>
    </row>
    <row r="15" spans="1:5" ht="21" customHeight="1">
      <c r="A15" s="31" t="s">
        <v>134</v>
      </c>
      <c r="B15" s="298"/>
      <c r="C15" s="298"/>
      <c r="D15" s="116"/>
      <c r="E15" s="299"/>
    </row>
    <row r="16" spans="1:5" ht="21" customHeight="1">
      <c r="A16" s="31" t="s">
        <v>42</v>
      </c>
      <c r="B16" s="298"/>
      <c r="C16" s="298"/>
      <c r="D16" s="116"/>
      <c r="E16" s="299"/>
    </row>
    <row r="17" spans="1:5" ht="21" customHeight="1">
      <c r="A17" s="31" t="s">
        <v>41</v>
      </c>
      <c r="B17" s="298"/>
      <c r="C17" s="298"/>
      <c r="D17" s="116"/>
      <c r="E17" s="299"/>
    </row>
    <row r="18" spans="1:5" ht="21" customHeight="1">
      <c r="A18" s="31" t="s">
        <v>31</v>
      </c>
      <c r="B18" s="298"/>
      <c r="C18" s="298"/>
      <c r="D18" s="114">
        <f>تسعير!D34</f>
        <v>20342.460000000003</v>
      </c>
      <c r="E18" s="299"/>
    </row>
    <row r="19" spans="1:5" ht="21" customHeight="1">
      <c r="A19" s="30" t="s">
        <v>32</v>
      </c>
      <c r="B19" s="300"/>
      <c r="C19" s="300"/>
      <c r="D19" s="300"/>
      <c r="E19" s="301"/>
    </row>
    <row r="20" spans="1:5" ht="21" customHeight="1">
      <c r="A20" s="31" t="s">
        <v>33</v>
      </c>
      <c r="B20" s="298"/>
      <c r="C20" s="298"/>
      <c r="D20" s="114">
        <f>'روكش جاري و فرهنگي'!E35-'روكش جاري و فرهنگي'!F17</f>
        <v>28570</v>
      </c>
      <c r="E20" s="304"/>
    </row>
    <row r="21" spans="1:5" ht="21" customHeight="1">
      <c r="A21" s="31" t="s">
        <v>34</v>
      </c>
      <c r="B21" s="298"/>
      <c r="C21" s="298"/>
      <c r="D21" s="305">
        <f>'روكش جاري و فرهنگي'!E81</f>
        <v>500</v>
      </c>
      <c r="E21" s="299"/>
    </row>
    <row r="22" spans="1:5" ht="21" customHeight="1">
      <c r="A22" s="31" t="s">
        <v>35</v>
      </c>
      <c r="B22" s="298"/>
      <c r="C22" s="298"/>
      <c r="D22" s="114">
        <f>'روكش جاري و فرهنگي'!F17</f>
        <v>79009</v>
      </c>
      <c r="E22" s="299"/>
    </row>
    <row r="23" spans="1:5" ht="21" customHeight="1">
      <c r="A23" s="31" t="s">
        <v>36</v>
      </c>
      <c r="B23" s="298"/>
      <c r="C23" s="298"/>
      <c r="D23" s="116"/>
      <c r="E23" s="299"/>
    </row>
    <row r="24" spans="1:5" ht="21" customHeight="1">
      <c r="A24" s="31" t="s">
        <v>37</v>
      </c>
      <c r="B24" s="298"/>
      <c r="C24" s="298"/>
      <c r="D24" s="116"/>
      <c r="E24" s="299"/>
    </row>
    <row r="25" spans="1:5" ht="21" customHeight="1">
      <c r="A25" s="32" t="s">
        <v>25</v>
      </c>
      <c r="B25" s="300"/>
      <c r="C25" s="300"/>
      <c r="D25" s="300"/>
      <c r="E25" s="301"/>
    </row>
    <row r="26" spans="1:5" ht="21" customHeight="1">
      <c r="A26" s="31" t="s">
        <v>38</v>
      </c>
      <c r="B26" s="298"/>
      <c r="C26" s="298"/>
      <c r="D26" s="298"/>
      <c r="E26" s="303">
        <v>163000</v>
      </c>
    </row>
    <row r="27" spans="1:5" ht="21" customHeight="1">
      <c r="A27" s="31" t="s">
        <v>130</v>
      </c>
      <c r="B27" s="298"/>
      <c r="C27" s="298"/>
      <c r="D27" s="298"/>
      <c r="E27" s="303"/>
    </row>
    <row r="28" spans="1:5" ht="21" customHeight="1">
      <c r="A28" s="30" t="s">
        <v>39</v>
      </c>
      <c r="B28" s="300"/>
      <c r="C28" s="300"/>
      <c r="D28" s="300"/>
      <c r="E28" s="301"/>
    </row>
    <row r="29" spans="1:5" ht="21" customHeight="1">
      <c r="A29" s="31" t="s">
        <v>532</v>
      </c>
      <c r="B29" s="298"/>
      <c r="C29" s="298"/>
      <c r="D29" s="298"/>
      <c r="E29" s="303">
        <v>42265</v>
      </c>
    </row>
    <row r="30" spans="1:5" ht="21" customHeight="1">
      <c r="A30" s="31" t="s">
        <v>51</v>
      </c>
      <c r="B30" s="298"/>
      <c r="C30" s="298"/>
      <c r="D30" s="298"/>
      <c r="E30" s="303"/>
    </row>
    <row r="31" spans="1:5" ht="22.5" customHeight="1" thickBot="1">
      <c r="A31" s="33" t="s">
        <v>40</v>
      </c>
      <c r="B31" s="118">
        <f>SUM(B7:B30)</f>
        <v>0</v>
      </c>
      <c r="C31" s="118">
        <f>SUM(C7:C30)</f>
        <v>0</v>
      </c>
      <c r="D31" s="118">
        <f>SUM(D7:D30)</f>
        <v>221322.96000000002</v>
      </c>
      <c r="E31" s="119">
        <f>SUM(E7:E30)</f>
        <v>221323</v>
      </c>
    </row>
    <row r="33" spans="1:5" ht="22.5" customHeight="1">
      <c r="A33" s="433" t="s">
        <v>502</v>
      </c>
      <c r="B33" s="434"/>
      <c r="C33" s="434"/>
      <c r="D33" s="434"/>
      <c r="E33" s="434"/>
    </row>
    <row r="35" spans="1:5" ht="22.5" customHeight="1">
      <c r="A35" s="446" t="s">
        <v>388</v>
      </c>
      <c r="B35" s="446"/>
      <c r="C35" s="405" t="s">
        <v>389</v>
      </c>
      <c r="D35" s="405"/>
      <c r="E35" s="447"/>
    </row>
    <row r="43" spans="1:5" ht="20.25" customHeight="1">
      <c r="A43" s="448" t="s">
        <v>501</v>
      </c>
      <c r="B43" s="448"/>
      <c r="C43" s="448"/>
      <c r="D43" s="448"/>
      <c r="E43" s="448"/>
    </row>
    <row r="44" spans="1:5" ht="20.25" customHeight="1">
      <c r="A44" s="444" t="s">
        <v>503</v>
      </c>
      <c r="B44" s="445"/>
      <c r="C44" s="445"/>
      <c r="D44" s="445"/>
      <c r="E44" s="445"/>
    </row>
    <row r="45" spans="1:5" ht="20.25" customHeight="1" thickBot="1">
      <c r="A45" s="34"/>
      <c r="B45" s="44"/>
      <c r="C45" s="44"/>
      <c r="D45" s="59" t="s">
        <v>43</v>
      </c>
      <c r="E45" s="377">
        <f>تسعير!E34</f>
        <v>3.6889904170881982</v>
      </c>
    </row>
    <row r="46" spans="1:5">
      <c r="A46" s="435" t="s">
        <v>20</v>
      </c>
      <c r="B46" s="438" t="s">
        <v>21</v>
      </c>
      <c r="C46" s="439"/>
      <c r="D46" s="449" t="s">
        <v>24</v>
      </c>
      <c r="E46" s="450"/>
    </row>
    <row r="47" spans="1:5">
      <c r="A47" s="436"/>
      <c r="B47" s="440"/>
      <c r="C47" s="440"/>
      <c r="D47" s="451"/>
      <c r="E47" s="452"/>
    </row>
    <row r="48" spans="1:5" ht="21" customHeight="1">
      <c r="A48" s="437"/>
      <c r="B48" s="40" t="s">
        <v>22</v>
      </c>
      <c r="C48" s="40" t="s">
        <v>23</v>
      </c>
      <c r="D48" s="40" t="s">
        <v>22</v>
      </c>
      <c r="E48" s="41" t="s">
        <v>23</v>
      </c>
    </row>
    <row r="49" spans="1:5" ht="21" customHeight="1">
      <c r="A49" s="73" t="s">
        <v>26</v>
      </c>
      <c r="B49" s="76"/>
      <c r="C49" s="76"/>
      <c r="D49" s="76"/>
      <c r="E49" s="77"/>
    </row>
    <row r="50" spans="1:5" ht="21" customHeight="1">
      <c r="A50" s="31" t="s">
        <v>123</v>
      </c>
      <c r="B50" s="298"/>
      <c r="C50" s="298"/>
      <c r="D50" s="116"/>
      <c r="E50" s="299"/>
    </row>
    <row r="51" spans="1:5" ht="21" customHeight="1">
      <c r="A51" s="31" t="s">
        <v>124</v>
      </c>
      <c r="B51" s="298"/>
      <c r="C51" s="298"/>
      <c r="D51" s="116"/>
      <c r="E51" s="299"/>
    </row>
    <row r="52" spans="1:5" ht="21" customHeight="1">
      <c r="A52" s="32" t="s">
        <v>27</v>
      </c>
      <c r="B52" s="300"/>
      <c r="C52" s="300"/>
      <c r="D52" s="300"/>
      <c r="E52" s="301"/>
    </row>
    <row r="53" spans="1:5" ht="21" customHeight="1">
      <c r="A53" s="31" t="s">
        <v>125</v>
      </c>
      <c r="B53" s="298"/>
      <c r="C53" s="298"/>
      <c r="D53" s="302"/>
      <c r="E53" s="306"/>
    </row>
    <row r="54" spans="1:5" ht="21" customHeight="1">
      <c r="A54" s="30" t="s">
        <v>28</v>
      </c>
      <c r="B54" s="300"/>
      <c r="C54" s="300"/>
      <c r="D54" s="300"/>
      <c r="E54" s="301"/>
    </row>
    <row r="55" spans="1:5" ht="21" customHeight="1">
      <c r="A55" s="31" t="s">
        <v>46</v>
      </c>
      <c r="B55" s="298"/>
      <c r="C55" s="298"/>
      <c r="D55" s="298"/>
      <c r="E55" s="303"/>
    </row>
    <row r="56" spans="1:5" ht="21" customHeight="1">
      <c r="A56" s="48" t="s">
        <v>29</v>
      </c>
      <c r="B56" s="298"/>
      <c r="C56" s="298"/>
      <c r="D56" s="116"/>
      <c r="E56" s="299"/>
    </row>
    <row r="57" spans="1:5" ht="21" customHeight="1">
      <c r="A57" s="31" t="s">
        <v>30</v>
      </c>
      <c r="B57" s="298"/>
      <c r="C57" s="298"/>
      <c r="D57" s="116"/>
      <c r="E57" s="299"/>
    </row>
    <row r="58" spans="1:5" ht="21" customHeight="1">
      <c r="A58" s="31" t="s">
        <v>42</v>
      </c>
      <c r="B58" s="298"/>
      <c r="C58" s="298"/>
      <c r="D58" s="116"/>
      <c r="E58" s="299"/>
    </row>
    <row r="59" spans="1:5" ht="21" customHeight="1">
      <c r="A59" s="31" t="s">
        <v>41</v>
      </c>
      <c r="B59" s="298"/>
      <c r="C59" s="298"/>
      <c r="D59" s="116"/>
      <c r="E59" s="299"/>
    </row>
    <row r="60" spans="1:5" ht="21" customHeight="1">
      <c r="A60" s="30" t="s">
        <v>32</v>
      </c>
      <c r="B60" s="300"/>
      <c r="C60" s="300"/>
      <c r="D60" s="300"/>
      <c r="E60" s="301"/>
    </row>
    <row r="61" spans="1:5" ht="21" customHeight="1">
      <c r="A61" s="31" t="s">
        <v>33</v>
      </c>
      <c r="B61" s="298"/>
      <c r="C61" s="298"/>
      <c r="D61" s="114">
        <f>'روكش جاري و فرهنگي'!D35</f>
        <v>22880.6</v>
      </c>
      <c r="E61" s="299"/>
    </row>
    <row r="62" spans="1:5" ht="21" customHeight="1">
      <c r="A62" s="31" t="s">
        <v>34</v>
      </c>
      <c r="B62" s="298"/>
      <c r="C62" s="298"/>
      <c r="D62" s="114">
        <f>'روكش جاري و فرهنگي'!D81</f>
        <v>52162.54</v>
      </c>
      <c r="E62" s="299"/>
    </row>
    <row r="63" spans="1:5" ht="21" customHeight="1">
      <c r="A63" s="31" t="s">
        <v>36</v>
      </c>
      <c r="B63" s="298"/>
      <c r="C63" s="298"/>
      <c r="D63" s="116"/>
      <c r="E63" s="299"/>
    </row>
    <row r="64" spans="1:5" ht="21" customHeight="1">
      <c r="A64" s="31" t="s">
        <v>37</v>
      </c>
      <c r="B64" s="298"/>
      <c r="C64" s="298"/>
      <c r="D64" s="116"/>
      <c r="E64" s="299"/>
    </row>
    <row r="65" spans="1:5" ht="21" customHeight="1">
      <c r="A65" s="32" t="s">
        <v>44</v>
      </c>
      <c r="B65" s="300"/>
      <c r="C65" s="300"/>
      <c r="D65" s="300"/>
      <c r="E65" s="301"/>
    </row>
    <row r="66" spans="1:5" ht="21" customHeight="1">
      <c r="A66" s="31" t="s">
        <v>126</v>
      </c>
      <c r="B66" s="298"/>
      <c r="C66" s="303"/>
      <c r="D66" s="298"/>
      <c r="E66" s="303"/>
    </row>
    <row r="67" spans="1:5" ht="21" customHeight="1">
      <c r="A67" s="31" t="s">
        <v>45</v>
      </c>
      <c r="B67" s="298"/>
      <c r="C67" s="298"/>
      <c r="D67" s="298"/>
      <c r="E67" s="115">
        <f>تسعير!F34</f>
        <v>75043.14</v>
      </c>
    </row>
    <row r="68" spans="1:5" ht="21" customHeight="1">
      <c r="A68" s="46" t="s">
        <v>50</v>
      </c>
      <c r="B68" s="307"/>
      <c r="C68" s="307"/>
      <c r="D68" s="307"/>
      <c r="E68" s="308"/>
    </row>
    <row r="69" spans="1:5" ht="22.5" customHeight="1" thickBot="1">
      <c r="A69" s="33" t="s">
        <v>40</v>
      </c>
      <c r="B69" s="118">
        <f>SUM(B49:B67)</f>
        <v>0</v>
      </c>
      <c r="C69" s="118">
        <f>SUM(C49:C67)</f>
        <v>0</v>
      </c>
      <c r="D69" s="118">
        <f>SUM(D49:D67)</f>
        <v>75043.14</v>
      </c>
      <c r="E69" s="119">
        <f>SUM(E49:E67)</f>
        <v>75043.14</v>
      </c>
    </row>
    <row r="71" spans="1:5" ht="22.5" customHeight="1">
      <c r="A71" s="433" t="s">
        <v>504</v>
      </c>
      <c r="B71" s="434"/>
      <c r="C71" s="434"/>
      <c r="D71" s="434"/>
      <c r="E71" s="434"/>
    </row>
    <row r="73" spans="1:5" ht="22.5" customHeight="1">
      <c r="A73" s="446" t="s">
        <v>388</v>
      </c>
      <c r="B73" s="446"/>
      <c r="C73" s="405" t="s">
        <v>389</v>
      </c>
      <c r="D73" s="405"/>
      <c r="E73" s="447"/>
    </row>
  </sheetData>
  <mergeCells count="16">
    <mergeCell ref="A71:E71"/>
    <mergeCell ref="A73:B73"/>
    <mergeCell ref="C73:E73"/>
    <mergeCell ref="C35:E35"/>
    <mergeCell ref="A35:B35"/>
    <mergeCell ref="A43:E43"/>
    <mergeCell ref="A44:E44"/>
    <mergeCell ref="A46:A48"/>
    <mergeCell ref="B46:C47"/>
    <mergeCell ref="D46:E47"/>
    <mergeCell ref="A33:E33"/>
    <mergeCell ref="A4:A6"/>
    <mergeCell ref="B4:C5"/>
    <mergeCell ref="D4:E5"/>
    <mergeCell ref="A2:E2"/>
    <mergeCell ref="A3:E3"/>
  </mergeCells>
  <pageMargins left="0.39370078740157483" right="0.59055118110236227" top="0.39370078740157483" bottom="0.39370078740157483" header="0.31496062992125984" footer="0.31496062992125984"/>
  <pageSetup paperSize="9" orientation="portrait" r:id="rId1"/>
  <legacyDrawing r:id="rId2"/>
</worksheet>
</file>

<file path=xl/worksheets/sheet7.xml><?xml version="1.0" encoding="utf-8"?>
<worksheet xmlns="http://schemas.openxmlformats.org/spreadsheetml/2006/main" xmlns:r="http://schemas.openxmlformats.org/officeDocument/2006/relationships">
  <sheetPr>
    <tabColor rgb="FFFF0000"/>
  </sheetPr>
  <dimension ref="A1:J38"/>
  <sheetViews>
    <sheetView rightToLeft="1" zoomScaleNormal="100" workbookViewId="0">
      <selection activeCell="E3" sqref="E3"/>
    </sheetView>
  </sheetViews>
  <sheetFormatPr defaultRowHeight="15"/>
  <cols>
    <col min="1" max="1" width="32.28515625" customWidth="1"/>
    <col min="2" max="7" width="10.5703125" style="5" customWidth="1"/>
  </cols>
  <sheetData>
    <row r="1" spans="1:10" ht="20.25" customHeight="1">
      <c r="A1" s="443" t="s">
        <v>494</v>
      </c>
      <c r="B1" s="443"/>
      <c r="C1" s="443"/>
      <c r="D1" s="443"/>
    </row>
    <row r="2" spans="1:10" ht="20.25" customHeight="1">
      <c r="A2" s="453" t="s">
        <v>53</v>
      </c>
      <c r="B2" s="453"/>
      <c r="C2" s="453"/>
      <c r="D2" s="453"/>
    </row>
    <row r="3" spans="1:10" ht="20.25" customHeight="1" thickBot="1">
      <c r="A3" s="464" t="s">
        <v>495</v>
      </c>
      <c r="B3" s="464"/>
      <c r="C3" s="465"/>
      <c r="D3" s="465"/>
      <c r="E3" s="374">
        <f>تسعير!E34</f>
        <v>3.6889904170881982</v>
      </c>
    </row>
    <row r="4" spans="1:10" ht="21" customHeight="1">
      <c r="A4" s="462" t="s">
        <v>20</v>
      </c>
      <c r="B4" s="457" t="s">
        <v>47</v>
      </c>
      <c r="C4" s="458"/>
      <c r="D4" s="459" t="s">
        <v>48</v>
      </c>
      <c r="E4" s="460"/>
      <c r="F4" s="457" t="s">
        <v>49</v>
      </c>
      <c r="G4" s="461"/>
    </row>
    <row r="5" spans="1:10" ht="21" customHeight="1">
      <c r="A5" s="463"/>
      <c r="B5" s="42" t="s">
        <v>22</v>
      </c>
      <c r="C5" s="42" t="s">
        <v>23</v>
      </c>
      <c r="D5" s="42" t="s">
        <v>22</v>
      </c>
      <c r="E5" s="42" t="s">
        <v>23</v>
      </c>
      <c r="F5" s="42" t="s">
        <v>22</v>
      </c>
      <c r="G5" s="43" t="s">
        <v>23</v>
      </c>
    </row>
    <row r="6" spans="1:10" ht="21" customHeight="1">
      <c r="A6" s="45" t="s">
        <v>54</v>
      </c>
      <c r="B6" s="56"/>
      <c r="C6" s="56"/>
      <c r="D6" s="56"/>
      <c r="E6" s="56"/>
      <c r="F6" s="56"/>
      <c r="G6" s="57"/>
    </row>
    <row r="7" spans="1:10" ht="21" customHeight="1">
      <c r="A7" s="46" t="s">
        <v>55</v>
      </c>
      <c r="B7" s="114">
        <f>'تراز يوروئي و ارزمحل'!D8</f>
        <v>0</v>
      </c>
      <c r="C7" s="298"/>
      <c r="D7" s="298"/>
      <c r="E7" s="298"/>
      <c r="F7" s="114">
        <f>B7</f>
        <v>0</v>
      </c>
      <c r="G7" s="299"/>
    </row>
    <row r="8" spans="1:10" ht="21" customHeight="1">
      <c r="A8" s="46" t="s">
        <v>121</v>
      </c>
      <c r="B8" s="114">
        <f>'تراز يوروئي و ارزمحل'!D9</f>
        <v>0</v>
      </c>
      <c r="C8" s="298"/>
      <c r="D8" s="298"/>
      <c r="E8" s="298"/>
      <c r="F8" s="114">
        <f>B8</f>
        <v>0</v>
      </c>
      <c r="G8" s="299"/>
    </row>
    <row r="9" spans="1:10" ht="21" customHeight="1">
      <c r="A9" s="46" t="s">
        <v>119</v>
      </c>
      <c r="B9" s="298"/>
      <c r="C9" s="298"/>
      <c r="D9" s="114">
        <f>'تراز يوروئي و ارزمحل'!D50/تسعير!E34</f>
        <v>0</v>
      </c>
      <c r="E9" s="298"/>
      <c r="F9" s="114">
        <f>D9</f>
        <v>0</v>
      </c>
      <c r="G9" s="299"/>
    </row>
    <row r="10" spans="1:10" ht="21" customHeight="1">
      <c r="A10" s="46" t="s">
        <v>120</v>
      </c>
      <c r="B10" s="298"/>
      <c r="C10" s="298"/>
      <c r="D10" s="114">
        <f>'تراز يوروئي و ارزمحل'!D51/تسعير!E34</f>
        <v>0</v>
      </c>
      <c r="E10" s="298"/>
      <c r="F10" s="114">
        <f>D10</f>
        <v>0</v>
      </c>
      <c r="G10" s="299"/>
    </row>
    <row r="11" spans="1:10" ht="21" customHeight="1">
      <c r="A11" s="45" t="s">
        <v>56</v>
      </c>
      <c r="B11" s="300"/>
      <c r="C11" s="300"/>
      <c r="D11" s="300"/>
      <c r="E11" s="300"/>
      <c r="F11" s="300"/>
      <c r="G11" s="309"/>
    </row>
    <row r="12" spans="1:10" ht="21" customHeight="1">
      <c r="A12" s="46" t="s">
        <v>122</v>
      </c>
      <c r="B12" s="310">
        <f>'تراز يوروئي و ارزمحل'!D11</f>
        <v>76843.5</v>
      </c>
      <c r="C12" s="114">
        <f>'تراز يوروئي و ارزمحل'!E11</f>
        <v>0</v>
      </c>
      <c r="D12" s="310">
        <f>'تراز يوروئي و ارزمحل'!D53/تسعير!E34</f>
        <v>0</v>
      </c>
      <c r="E12" s="114">
        <f>'تراز يوروئي و ارزمحل'!E53/'تراز يوروئي و ارزمحل'!E45</f>
        <v>0</v>
      </c>
      <c r="F12" s="310">
        <f>D12+B12-E12-C12</f>
        <v>76843.5</v>
      </c>
      <c r="G12" s="299"/>
      <c r="H12" s="74"/>
      <c r="J12" s="75"/>
    </row>
    <row r="13" spans="1:10" ht="21" customHeight="1">
      <c r="A13" s="45" t="s">
        <v>57</v>
      </c>
      <c r="B13" s="300"/>
      <c r="C13" s="300"/>
      <c r="D13" s="300"/>
      <c r="E13" s="300"/>
      <c r="F13" s="300"/>
      <c r="G13" s="301"/>
    </row>
    <row r="14" spans="1:10" ht="21" customHeight="1">
      <c r="A14" s="31" t="s">
        <v>489</v>
      </c>
      <c r="B14" s="298"/>
      <c r="C14" s="114">
        <f>'تراز يوروئي و ارزمحل'!E13</f>
        <v>16058</v>
      </c>
      <c r="D14" s="298"/>
      <c r="E14" s="114">
        <f>'تراز يوروئي و ارزمحل'!E55/تسعير!E34</f>
        <v>0</v>
      </c>
      <c r="F14" s="298"/>
      <c r="G14" s="115">
        <f>E14+C14</f>
        <v>16058</v>
      </c>
    </row>
    <row r="15" spans="1:10" ht="21" customHeight="1">
      <c r="A15" s="46" t="s">
        <v>490</v>
      </c>
      <c r="B15" s="114">
        <f>'تراز يوروئي و ارزمحل'!D14</f>
        <v>16058</v>
      </c>
      <c r="C15" s="298"/>
      <c r="D15" s="114">
        <f>'تراز يوروئي و ارزمحل'!D56/تسعير!E34</f>
        <v>0</v>
      </c>
      <c r="E15" s="298"/>
      <c r="F15" s="114">
        <f>D15+B15</f>
        <v>16058</v>
      </c>
      <c r="G15" s="299"/>
    </row>
    <row r="16" spans="1:10" ht="21" customHeight="1">
      <c r="A16" s="46" t="s">
        <v>58</v>
      </c>
      <c r="B16" s="114">
        <f>'تراز يوروئي و ارزمحل'!D15</f>
        <v>0</v>
      </c>
      <c r="C16" s="298"/>
      <c r="D16" s="114">
        <f>'تراز يوروئي و ارزمحل'!D57/تسعير!E34</f>
        <v>0</v>
      </c>
      <c r="E16" s="298"/>
      <c r="F16" s="114">
        <f>D16+B16</f>
        <v>0</v>
      </c>
      <c r="G16" s="299"/>
    </row>
    <row r="17" spans="1:7" ht="21" customHeight="1">
      <c r="A17" s="46" t="s">
        <v>59</v>
      </c>
      <c r="B17" s="114">
        <f>'تراز يوروئي و ارزمحل'!D16</f>
        <v>0</v>
      </c>
      <c r="C17" s="298"/>
      <c r="D17" s="114">
        <f>'تراز يوروئي و ارزمحل'!D58/تسعير!E34</f>
        <v>0</v>
      </c>
      <c r="E17" s="298"/>
      <c r="F17" s="114">
        <f>D17+B17</f>
        <v>0</v>
      </c>
      <c r="G17" s="299"/>
    </row>
    <row r="18" spans="1:7" ht="21" customHeight="1">
      <c r="A18" s="46" t="s">
        <v>60</v>
      </c>
      <c r="B18" s="114">
        <f>'تراز يوروئي و ارزمحل'!D17</f>
        <v>0</v>
      </c>
      <c r="C18" s="298"/>
      <c r="D18" s="114">
        <f>'تراز يوروئي و ارزمحل'!D59/تسعير!E34</f>
        <v>0</v>
      </c>
      <c r="E18" s="298"/>
      <c r="F18" s="114">
        <f>D18+B18</f>
        <v>0</v>
      </c>
      <c r="G18" s="299"/>
    </row>
    <row r="19" spans="1:7" ht="21" customHeight="1">
      <c r="A19" s="46" t="s">
        <v>61</v>
      </c>
      <c r="B19" s="114">
        <f>'تراز يوروئي و ارزمحل'!D18</f>
        <v>20342.460000000003</v>
      </c>
      <c r="C19" s="298"/>
      <c r="D19" s="298"/>
      <c r="E19" s="298"/>
      <c r="F19" s="293">
        <f>B19</f>
        <v>20342.460000000003</v>
      </c>
      <c r="G19" s="299"/>
    </row>
    <row r="20" spans="1:7" ht="21" customHeight="1">
      <c r="A20" s="31" t="s">
        <v>62</v>
      </c>
      <c r="B20" s="298"/>
      <c r="C20" s="298"/>
      <c r="D20" s="298"/>
      <c r="E20" s="293">
        <f>'تراز يوروئي و ارزمحل'!E67/تسعير!E34</f>
        <v>20342.460000000003</v>
      </c>
      <c r="F20" s="311"/>
      <c r="G20" s="312">
        <f>E20</f>
        <v>20342.460000000003</v>
      </c>
    </row>
    <row r="21" spans="1:7" ht="21" customHeight="1">
      <c r="A21" s="45" t="s">
        <v>63</v>
      </c>
      <c r="B21" s="300"/>
      <c r="C21" s="300"/>
      <c r="D21" s="300"/>
      <c r="E21" s="300"/>
      <c r="F21" s="300"/>
      <c r="G21" s="301"/>
    </row>
    <row r="22" spans="1:7" ht="21" customHeight="1">
      <c r="A22" s="46" t="s">
        <v>64</v>
      </c>
      <c r="B22" s="293">
        <f>'تراز يوروئي و ارزمحل'!D20</f>
        <v>28570</v>
      </c>
      <c r="C22" s="298"/>
      <c r="D22" s="114">
        <f>'تراز يوروئي و ارزمحل'!D61/تسعير!E34</f>
        <v>6202.4015822898673</v>
      </c>
      <c r="E22" s="298"/>
      <c r="F22" s="114">
        <f>D22+B22</f>
        <v>34772.401582289865</v>
      </c>
      <c r="G22" s="299"/>
    </row>
    <row r="23" spans="1:7" ht="21" customHeight="1">
      <c r="A23" s="46" t="s">
        <v>65</v>
      </c>
      <c r="B23" s="114">
        <f>'تراز يوروئي و ارزمحل'!D21</f>
        <v>500</v>
      </c>
      <c r="C23" s="298"/>
      <c r="D23" s="114">
        <f>'تراز يوروئي و ارزمحل'!D62/تسعير!E34</f>
        <v>14140.058417710135</v>
      </c>
      <c r="E23" s="298"/>
      <c r="F23" s="114">
        <f>D23+B23</f>
        <v>14640.058417710135</v>
      </c>
      <c r="G23" s="299"/>
    </row>
    <row r="24" spans="1:7" ht="21" customHeight="1">
      <c r="A24" s="46" t="s">
        <v>66</v>
      </c>
      <c r="B24" s="114">
        <f>'تراز يوروئي و ارزمحل'!D22</f>
        <v>79009</v>
      </c>
      <c r="C24" s="298"/>
      <c r="D24" s="298"/>
      <c r="E24" s="298"/>
      <c r="F24" s="114">
        <f>B24</f>
        <v>79009</v>
      </c>
      <c r="G24" s="299"/>
    </row>
    <row r="25" spans="1:7" ht="21" customHeight="1">
      <c r="A25" s="46" t="s">
        <v>67</v>
      </c>
      <c r="B25" s="114">
        <f>'تراز يوروئي و ارزمحل'!D23</f>
        <v>0</v>
      </c>
      <c r="C25" s="298"/>
      <c r="D25" s="114">
        <f>'تراز يوروئي و ارزمحل'!D63/تسعير!E34</f>
        <v>0</v>
      </c>
      <c r="E25" s="298"/>
      <c r="F25" s="114">
        <f>D25+B25</f>
        <v>0</v>
      </c>
      <c r="G25" s="299"/>
    </row>
    <row r="26" spans="1:7" ht="21" customHeight="1">
      <c r="A26" s="46" t="s">
        <v>68</v>
      </c>
      <c r="B26" s="114">
        <f>'تراز يوروئي و ارزمحل'!D24</f>
        <v>0</v>
      </c>
      <c r="C26" s="298"/>
      <c r="D26" s="114">
        <f>'تراز يوروئي و ارزمحل'!D64/تسعير!E34</f>
        <v>0</v>
      </c>
      <c r="E26" s="298"/>
      <c r="F26" s="114">
        <f>D26+B26</f>
        <v>0</v>
      </c>
      <c r="G26" s="299"/>
    </row>
    <row r="27" spans="1:7" ht="21" customHeight="1">
      <c r="A27" s="46" t="s">
        <v>69</v>
      </c>
      <c r="B27" s="116"/>
      <c r="C27" s="298"/>
      <c r="D27" s="302"/>
      <c r="E27" s="298"/>
      <c r="F27" s="114">
        <f>D27+B27</f>
        <v>0</v>
      </c>
      <c r="G27" s="299"/>
    </row>
    <row r="28" spans="1:7" ht="21" customHeight="1">
      <c r="A28" s="46" t="s">
        <v>70</v>
      </c>
      <c r="B28" s="116"/>
      <c r="C28" s="298"/>
      <c r="D28" s="302"/>
      <c r="E28" s="298"/>
      <c r="F28" s="114">
        <f>D28+B28</f>
        <v>0</v>
      </c>
      <c r="G28" s="299"/>
    </row>
    <row r="29" spans="1:7" ht="21" customHeight="1">
      <c r="A29" s="32" t="s">
        <v>71</v>
      </c>
      <c r="B29" s="300"/>
      <c r="C29" s="300"/>
      <c r="D29" s="300"/>
      <c r="E29" s="300"/>
      <c r="F29" s="300"/>
      <c r="G29" s="301"/>
    </row>
    <row r="30" spans="1:7" ht="21" customHeight="1">
      <c r="A30" s="46" t="s">
        <v>72</v>
      </c>
      <c r="B30" s="298"/>
      <c r="C30" s="114">
        <f>'تراز يوروئي و ارزمحل'!E26</f>
        <v>163000</v>
      </c>
      <c r="D30" s="298"/>
      <c r="E30" s="298"/>
      <c r="F30" s="298"/>
      <c r="G30" s="312">
        <f>C30</f>
        <v>163000</v>
      </c>
    </row>
    <row r="31" spans="1:7" ht="21" customHeight="1">
      <c r="A31" s="46" t="s">
        <v>73</v>
      </c>
      <c r="B31" s="298"/>
      <c r="C31" s="114">
        <f>'تراز يوروئي و ارزمحل'!E27</f>
        <v>0</v>
      </c>
      <c r="D31" s="298"/>
      <c r="E31" s="298"/>
      <c r="F31" s="298"/>
      <c r="G31" s="115">
        <f>C31</f>
        <v>0</v>
      </c>
    </row>
    <row r="32" spans="1:7" ht="21" customHeight="1">
      <c r="A32" s="45" t="s">
        <v>74</v>
      </c>
      <c r="B32" s="300"/>
      <c r="C32" s="300"/>
      <c r="D32" s="300"/>
      <c r="E32" s="300"/>
      <c r="F32" s="300"/>
      <c r="G32" s="301"/>
    </row>
    <row r="33" spans="1:7" ht="21" customHeight="1">
      <c r="A33" s="72" t="s">
        <v>533</v>
      </c>
      <c r="B33" s="298"/>
      <c r="C33" s="114">
        <f>'تراز يوروئي و ارزمحل'!E29</f>
        <v>42265</v>
      </c>
      <c r="D33" s="298"/>
      <c r="E33" s="114">
        <f>'تراز يوروئي و ارزمحل'!E66/تسعير!E34</f>
        <v>0</v>
      </c>
      <c r="F33" s="311"/>
      <c r="G33" s="115">
        <f>E33+C33</f>
        <v>42265</v>
      </c>
    </row>
    <row r="34" spans="1:7" ht="21" customHeight="1">
      <c r="A34" s="46" t="s">
        <v>75</v>
      </c>
      <c r="B34" s="298"/>
      <c r="C34" s="114">
        <f>'تراز يوروئي و ارزمحل'!E30</f>
        <v>0</v>
      </c>
      <c r="D34" s="298"/>
      <c r="E34" s="114">
        <f>'تراز يوروئي و ارزمحل'!E68/تسعير!E34</f>
        <v>0</v>
      </c>
      <c r="F34" s="298"/>
      <c r="G34" s="115">
        <f>E34+C34</f>
        <v>0</v>
      </c>
    </row>
    <row r="35" spans="1:7" ht="21" customHeight="1" thickBot="1">
      <c r="A35" s="47" t="s">
        <v>4</v>
      </c>
      <c r="B35" s="125">
        <f t="shared" ref="B35:G35" si="0">SUM(B6:B34)</f>
        <v>221322.96000000002</v>
      </c>
      <c r="C35" s="125">
        <f t="shared" si="0"/>
        <v>221323</v>
      </c>
      <c r="D35" s="125">
        <f t="shared" si="0"/>
        <v>20342.460000000003</v>
      </c>
      <c r="E35" s="125">
        <f t="shared" si="0"/>
        <v>20342.460000000003</v>
      </c>
      <c r="F35" s="125">
        <f t="shared" si="0"/>
        <v>241665.41999999998</v>
      </c>
      <c r="G35" s="313">
        <f t="shared" si="0"/>
        <v>241665.46000000002</v>
      </c>
    </row>
    <row r="36" spans="1:7" ht="21" customHeight="1">
      <c r="A36" s="454" t="s">
        <v>530</v>
      </c>
      <c r="B36" s="455"/>
      <c r="C36" s="455"/>
      <c r="D36" s="455"/>
      <c r="E36" s="455"/>
      <c r="F36" s="455"/>
      <c r="G36" s="455"/>
    </row>
    <row r="37" spans="1:7" ht="21" customHeight="1">
      <c r="A37" s="35" t="s">
        <v>52</v>
      </c>
    </row>
    <row r="38" spans="1:7" ht="21" customHeight="1">
      <c r="A38" s="334" t="s">
        <v>388</v>
      </c>
      <c r="D38" s="456" t="s">
        <v>389</v>
      </c>
      <c r="E38" s="456"/>
      <c r="F38" s="456"/>
    </row>
  </sheetData>
  <mergeCells count="9">
    <mergeCell ref="A1:D1"/>
    <mergeCell ref="A2:D2"/>
    <mergeCell ref="A36:G36"/>
    <mergeCell ref="D38:F38"/>
    <mergeCell ref="B4:C4"/>
    <mergeCell ref="D4:E4"/>
    <mergeCell ref="F4:G4"/>
    <mergeCell ref="A4:A5"/>
    <mergeCell ref="A3:D3"/>
  </mergeCells>
  <pageMargins left="0.19685039370078741" right="0.47244094488188981" top="0.39370078740157483" bottom="0.39370078740157483" header="0.31496062992125984" footer="0.31496062992125984"/>
  <pageSetup paperSize="9" orientation="portrait" verticalDpi="1200" r:id="rId1"/>
</worksheet>
</file>

<file path=xl/worksheets/sheet8.xml><?xml version="1.0" encoding="utf-8"?>
<worksheet xmlns="http://schemas.openxmlformats.org/spreadsheetml/2006/main" xmlns:r="http://schemas.openxmlformats.org/officeDocument/2006/relationships">
  <dimension ref="A1:H29"/>
  <sheetViews>
    <sheetView rightToLeft="1" zoomScale="110" zoomScaleNormal="110" workbookViewId="0">
      <selection activeCell="B15" sqref="B15"/>
    </sheetView>
  </sheetViews>
  <sheetFormatPr defaultRowHeight="15"/>
  <cols>
    <col min="1" max="1" width="4.7109375" customWidth="1"/>
    <col min="2" max="2" width="50.7109375" customWidth="1"/>
    <col min="3" max="3" width="10.7109375" customWidth="1"/>
    <col min="4" max="6" width="12.7109375" customWidth="1"/>
    <col min="7" max="7" width="17.7109375" customWidth="1"/>
    <col min="8" max="8" width="12.7109375" customWidth="1"/>
  </cols>
  <sheetData>
    <row r="1" spans="1:8" ht="21" customHeight="1">
      <c r="A1" s="470"/>
      <c r="B1" s="470"/>
      <c r="C1" s="470"/>
      <c r="D1" s="470"/>
      <c r="E1" s="470"/>
      <c r="F1" s="470"/>
      <c r="G1" s="470"/>
      <c r="H1" s="470"/>
    </row>
    <row r="2" spans="1:8" ht="21" customHeight="1">
      <c r="A2" s="470" t="s">
        <v>529</v>
      </c>
      <c r="B2" s="470"/>
      <c r="C2" s="470"/>
      <c r="D2" s="470"/>
      <c r="E2" s="470"/>
      <c r="F2" s="470"/>
      <c r="G2" s="470"/>
      <c r="H2" s="470"/>
    </row>
    <row r="3" spans="1:8" ht="21" customHeight="1">
      <c r="A3" s="470" t="s">
        <v>528</v>
      </c>
      <c r="B3" s="470"/>
      <c r="C3" s="470"/>
      <c r="D3" s="470"/>
      <c r="E3" s="470"/>
      <c r="F3" s="470"/>
      <c r="G3" s="470"/>
      <c r="H3" s="470"/>
    </row>
    <row r="4" spans="1:8" ht="21" customHeight="1" thickBot="1">
      <c r="A4" s="62"/>
      <c r="B4" s="63"/>
      <c r="C4" s="64"/>
      <c r="D4" s="64"/>
      <c r="E4" s="64"/>
      <c r="F4" s="64"/>
      <c r="G4" s="471" t="s">
        <v>111</v>
      </c>
      <c r="H4" s="471"/>
    </row>
    <row r="5" spans="1:8" ht="21" customHeight="1" thickBot="1">
      <c r="A5" s="352" t="s">
        <v>0</v>
      </c>
      <c r="B5" s="353" t="s">
        <v>133</v>
      </c>
      <c r="C5" s="349" t="s">
        <v>112</v>
      </c>
      <c r="D5" s="349" t="s">
        <v>113</v>
      </c>
      <c r="E5" s="349" t="s">
        <v>114</v>
      </c>
      <c r="F5" s="349" t="s">
        <v>115</v>
      </c>
      <c r="G5" s="350" t="s">
        <v>116</v>
      </c>
      <c r="H5" s="351" t="s">
        <v>117</v>
      </c>
    </row>
    <row r="6" spans="1:8" ht="21" customHeight="1">
      <c r="A6" s="369">
        <v>1</v>
      </c>
      <c r="B6" s="370" t="s">
        <v>519</v>
      </c>
      <c r="C6" s="371"/>
      <c r="D6" s="371" t="s">
        <v>523</v>
      </c>
      <c r="E6" s="371" t="s">
        <v>525</v>
      </c>
      <c r="F6" s="372">
        <v>5000</v>
      </c>
      <c r="G6" s="372">
        <v>5000</v>
      </c>
      <c r="H6" s="373" t="s">
        <v>527</v>
      </c>
    </row>
    <row r="7" spans="1:8" ht="21" customHeight="1">
      <c r="A7" s="358">
        <v>2</v>
      </c>
      <c r="B7" s="357" t="s">
        <v>393</v>
      </c>
      <c r="C7" s="354"/>
      <c r="D7" s="354" t="s">
        <v>524</v>
      </c>
      <c r="E7" s="354" t="s">
        <v>526</v>
      </c>
      <c r="F7" s="356">
        <v>19156</v>
      </c>
      <c r="G7" s="356">
        <v>19156</v>
      </c>
      <c r="H7" s="359" t="s">
        <v>527</v>
      </c>
    </row>
    <row r="8" spans="1:8" ht="21" customHeight="1">
      <c r="A8" s="358">
        <v>3</v>
      </c>
      <c r="B8" s="357" t="s">
        <v>520</v>
      </c>
      <c r="C8" s="354"/>
      <c r="D8" s="354">
        <v>26330</v>
      </c>
      <c r="E8" s="354" t="s">
        <v>526</v>
      </c>
      <c r="F8" s="356">
        <v>26478</v>
      </c>
      <c r="G8" s="356">
        <v>26478</v>
      </c>
      <c r="H8" s="359" t="s">
        <v>527</v>
      </c>
    </row>
    <row r="9" spans="1:8" ht="21" customHeight="1">
      <c r="A9" s="358">
        <v>4</v>
      </c>
      <c r="B9" s="357" t="s">
        <v>521</v>
      </c>
      <c r="C9" s="354"/>
      <c r="D9" s="354">
        <v>26330</v>
      </c>
      <c r="E9" s="354" t="s">
        <v>526</v>
      </c>
      <c r="F9" s="356">
        <v>18000</v>
      </c>
      <c r="G9" s="356">
        <v>18000</v>
      </c>
      <c r="H9" s="359" t="s">
        <v>527</v>
      </c>
    </row>
    <row r="10" spans="1:8" ht="21" customHeight="1">
      <c r="A10" s="358">
        <v>5</v>
      </c>
      <c r="B10" s="357" t="s">
        <v>522</v>
      </c>
      <c r="C10" s="354"/>
      <c r="D10" s="354">
        <v>26330</v>
      </c>
      <c r="E10" s="354" t="s">
        <v>526</v>
      </c>
      <c r="F10" s="356">
        <v>6366</v>
      </c>
      <c r="G10" s="356">
        <v>6366</v>
      </c>
      <c r="H10" s="359" t="s">
        <v>527</v>
      </c>
    </row>
    <row r="11" spans="1:8" ht="21" customHeight="1">
      <c r="A11" s="358">
        <v>6</v>
      </c>
      <c r="B11" s="355" t="s">
        <v>390</v>
      </c>
      <c r="C11" s="19">
        <v>657</v>
      </c>
      <c r="D11" s="19" t="s">
        <v>398</v>
      </c>
      <c r="E11" s="164" t="s">
        <v>401</v>
      </c>
      <c r="F11" s="166">
        <v>8814</v>
      </c>
      <c r="G11" s="166">
        <v>8814</v>
      </c>
      <c r="H11" s="359" t="s">
        <v>527</v>
      </c>
    </row>
    <row r="12" spans="1:8" ht="21" customHeight="1">
      <c r="A12" s="358">
        <v>7</v>
      </c>
      <c r="B12" s="46" t="s">
        <v>391</v>
      </c>
      <c r="C12" s="19">
        <v>657</v>
      </c>
      <c r="D12" s="19" t="s">
        <v>398</v>
      </c>
      <c r="E12" s="164" t="s">
        <v>401</v>
      </c>
      <c r="F12" s="166">
        <v>11186</v>
      </c>
      <c r="G12" s="166">
        <v>11186</v>
      </c>
      <c r="H12" s="359" t="s">
        <v>527</v>
      </c>
    </row>
    <row r="13" spans="1:8" ht="21" customHeight="1">
      <c r="A13" s="358">
        <v>8</v>
      </c>
      <c r="B13" s="46" t="s">
        <v>392</v>
      </c>
      <c r="C13" s="19">
        <v>757</v>
      </c>
      <c r="D13" s="19" t="s">
        <v>399</v>
      </c>
      <c r="E13" s="164" t="s">
        <v>402</v>
      </c>
      <c r="F13" s="166">
        <v>8826</v>
      </c>
      <c r="G13" s="166">
        <v>8826</v>
      </c>
      <c r="H13" s="359" t="s">
        <v>527</v>
      </c>
    </row>
    <row r="14" spans="1:8" ht="21" customHeight="1">
      <c r="A14" s="358">
        <v>9</v>
      </c>
      <c r="B14" s="46" t="s">
        <v>391</v>
      </c>
      <c r="C14" s="19">
        <v>757</v>
      </c>
      <c r="D14" s="19" t="s">
        <v>399</v>
      </c>
      <c r="E14" s="164" t="s">
        <v>402</v>
      </c>
      <c r="F14" s="166">
        <v>4623</v>
      </c>
      <c r="G14" s="166">
        <v>4623</v>
      </c>
      <c r="H14" s="359" t="s">
        <v>527</v>
      </c>
    </row>
    <row r="15" spans="1:8" ht="21" customHeight="1">
      <c r="A15" s="358">
        <v>10</v>
      </c>
      <c r="B15" s="46" t="s">
        <v>390</v>
      </c>
      <c r="C15" s="19">
        <v>757</v>
      </c>
      <c r="D15" s="19" t="s">
        <v>399</v>
      </c>
      <c r="E15" s="164" t="s">
        <v>402</v>
      </c>
      <c r="F15" s="166">
        <v>2938</v>
      </c>
      <c r="G15" s="166">
        <v>2938</v>
      </c>
      <c r="H15" s="359" t="s">
        <v>527</v>
      </c>
    </row>
    <row r="16" spans="1:8" ht="21" customHeight="1">
      <c r="A16" s="358">
        <v>11</v>
      </c>
      <c r="B16" s="46" t="s">
        <v>393</v>
      </c>
      <c r="C16" s="19">
        <v>757</v>
      </c>
      <c r="D16" s="19" t="s">
        <v>399</v>
      </c>
      <c r="E16" s="164" t="s">
        <v>402</v>
      </c>
      <c r="F16" s="166">
        <v>4613</v>
      </c>
      <c r="G16" s="166">
        <v>4613</v>
      </c>
      <c r="H16" s="359" t="s">
        <v>527</v>
      </c>
    </row>
    <row r="17" spans="1:8" ht="21" customHeight="1">
      <c r="A17" s="358">
        <v>12</v>
      </c>
      <c r="B17" s="46" t="s">
        <v>392</v>
      </c>
      <c r="C17" s="19">
        <v>838</v>
      </c>
      <c r="D17" s="19" t="s">
        <v>400</v>
      </c>
      <c r="E17" s="164" t="s">
        <v>403</v>
      </c>
      <c r="F17" s="166">
        <v>19848</v>
      </c>
      <c r="G17" s="166">
        <v>19848</v>
      </c>
      <c r="H17" s="359" t="s">
        <v>527</v>
      </c>
    </row>
    <row r="18" spans="1:8" ht="21" customHeight="1">
      <c r="A18" s="358">
        <v>13</v>
      </c>
      <c r="B18" s="46" t="s">
        <v>391</v>
      </c>
      <c r="C18" s="19">
        <v>838</v>
      </c>
      <c r="D18" s="19" t="s">
        <v>400</v>
      </c>
      <c r="E18" s="164" t="s">
        <v>403</v>
      </c>
      <c r="F18" s="166">
        <v>1203</v>
      </c>
      <c r="G18" s="166">
        <v>1203</v>
      </c>
      <c r="H18" s="359" t="s">
        <v>527</v>
      </c>
    </row>
    <row r="19" spans="1:8" ht="21" customHeight="1">
      <c r="A19" s="358">
        <v>14</v>
      </c>
      <c r="B19" s="46" t="s">
        <v>390</v>
      </c>
      <c r="C19" s="19">
        <v>838</v>
      </c>
      <c r="D19" s="19" t="s">
        <v>400</v>
      </c>
      <c r="E19" s="164" t="s">
        <v>403</v>
      </c>
      <c r="F19" s="166">
        <v>5876</v>
      </c>
      <c r="G19" s="166">
        <v>5876</v>
      </c>
      <c r="H19" s="359" t="s">
        <v>527</v>
      </c>
    </row>
    <row r="20" spans="1:8" ht="21" customHeight="1">
      <c r="A20" s="358">
        <v>15</v>
      </c>
      <c r="B20" s="46" t="s">
        <v>394</v>
      </c>
      <c r="C20" s="19">
        <v>838</v>
      </c>
      <c r="D20" s="19" t="s">
        <v>400</v>
      </c>
      <c r="E20" s="164" t="s">
        <v>403</v>
      </c>
      <c r="F20" s="166">
        <v>3300</v>
      </c>
      <c r="G20" s="166">
        <v>3300</v>
      </c>
      <c r="H20" s="359" t="s">
        <v>527</v>
      </c>
    </row>
    <row r="21" spans="1:8" ht="21" customHeight="1">
      <c r="A21" s="358">
        <v>16</v>
      </c>
      <c r="B21" s="46" t="s">
        <v>395</v>
      </c>
      <c r="C21" s="19">
        <v>838</v>
      </c>
      <c r="D21" s="19" t="s">
        <v>400</v>
      </c>
      <c r="E21" s="164" t="s">
        <v>403</v>
      </c>
      <c r="F21" s="166">
        <v>2053</v>
      </c>
      <c r="G21" s="166">
        <v>2053</v>
      </c>
      <c r="H21" s="359" t="s">
        <v>527</v>
      </c>
    </row>
    <row r="22" spans="1:8" ht="21" customHeight="1">
      <c r="A22" s="358">
        <v>17</v>
      </c>
      <c r="B22" s="46" t="s">
        <v>396</v>
      </c>
      <c r="C22" s="19">
        <v>838</v>
      </c>
      <c r="D22" s="19" t="s">
        <v>400</v>
      </c>
      <c r="E22" s="164" t="s">
        <v>403</v>
      </c>
      <c r="F22" s="166">
        <v>9720</v>
      </c>
      <c r="G22" s="166">
        <v>9720</v>
      </c>
      <c r="H22" s="359" t="s">
        <v>527</v>
      </c>
    </row>
    <row r="23" spans="1:8" ht="21" customHeight="1" thickBot="1">
      <c r="A23" s="360">
        <v>18</v>
      </c>
      <c r="B23" s="361" t="s">
        <v>397</v>
      </c>
      <c r="C23" s="362"/>
      <c r="D23" s="362"/>
      <c r="E23" s="363"/>
      <c r="F23" s="364">
        <v>5000</v>
      </c>
      <c r="G23" s="364">
        <v>5000</v>
      </c>
      <c r="H23" s="365" t="s">
        <v>527</v>
      </c>
    </row>
    <row r="24" spans="1:8" ht="21" customHeight="1" thickBot="1">
      <c r="A24" s="472" t="s">
        <v>118</v>
      </c>
      <c r="B24" s="473"/>
      <c r="C24" s="473"/>
      <c r="D24" s="473"/>
      <c r="E24" s="474"/>
      <c r="F24" s="366">
        <f>SUM(F6:F23)</f>
        <v>163000</v>
      </c>
      <c r="G24" s="367">
        <f>SUM(G6:G23)</f>
        <v>163000</v>
      </c>
      <c r="H24" s="368">
        <f>SUM(H11:H23)</f>
        <v>0</v>
      </c>
    </row>
    <row r="25" spans="1:8" ht="21" customHeight="1">
      <c r="A25" s="475" t="s">
        <v>406</v>
      </c>
      <c r="B25" s="475"/>
      <c r="C25" s="475"/>
      <c r="D25" s="475"/>
      <c r="E25" s="475"/>
      <c r="F25" s="475"/>
      <c r="G25" s="475"/>
      <c r="H25" s="475"/>
    </row>
    <row r="26" spans="1:8" ht="21" customHeight="1">
      <c r="A26" s="466" t="s">
        <v>505</v>
      </c>
      <c r="B26" s="466"/>
      <c r="C26" s="466"/>
      <c r="D26" s="466"/>
      <c r="E26" s="466"/>
      <c r="F26" s="466"/>
      <c r="G26" s="466"/>
      <c r="H26" s="466"/>
    </row>
    <row r="27" spans="1:8">
      <c r="A27" s="66"/>
      <c r="B27" s="67"/>
      <c r="C27" s="68"/>
      <c r="D27" s="69"/>
      <c r="E27" s="69"/>
      <c r="F27" s="68"/>
      <c r="G27" s="68"/>
      <c r="H27" s="68"/>
    </row>
    <row r="28" spans="1:8">
      <c r="A28" s="467" t="s">
        <v>404</v>
      </c>
      <c r="B28" s="467"/>
      <c r="C28" s="467"/>
      <c r="D28" s="69"/>
      <c r="E28" s="69"/>
      <c r="F28" s="468" t="s">
        <v>405</v>
      </c>
      <c r="G28" s="469"/>
      <c r="H28" s="469"/>
    </row>
    <row r="29" spans="1:8">
      <c r="A29" s="66"/>
      <c r="B29" s="67"/>
      <c r="C29" s="68"/>
      <c r="D29" s="68"/>
      <c r="E29" s="68"/>
      <c r="F29" s="68"/>
      <c r="G29" s="101" t="s">
        <v>382</v>
      </c>
      <c r="H29" s="68"/>
    </row>
  </sheetData>
  <mergeCells count="9">
    <mergeCell ref="A26:H26"/>
    <mergeCell ref="A28:C28"/>
    <mergeCell ref="F28:H28"/>
    <mergeCell ref="A1:H1"/>
    <mergeCell ref="A2:H2"/>
    <mergeCell ref="A3:H3"/>
    <mergeCell ref="G4:H4"/>
    <mergeCell ref="A24:E24"/>
    <mergeCell ref="A25:H25"/>
  </mergeCells>
  <pageMargins left="0.39370078740157483" right="0.59055118110236227" top="0.39370078740157483" bottom="0.78740157480314965" header="0.31496062992125984" footer="0.31496062992125984"/>
  <pageSetup paperSize="9" orientation="landscape" verticalDpi="1200" r:id="rId1"/>
</worksheet>
</file>

<file path=xl/worksheets/sheet9.xml><?xml version="1.0" encoding="utf-8"?>
<worksheet xmlns="http://schemas.openxmlformats.org/spreadsheetml/2006/main" xmlns:r="http://schemas.openxmlformats.org/officeDocument/2006/relationships">
  <dimension ref="A1:K79"/>
  <sheetViews>
    <sheetView rightToLeft="1" tabSelected="1" zoomScale="90" zoomScaleNormal="90" workbookViewId="0">
      <selection activeCell="E78" sqref="E78"/>
    </sheetView>
  </sheetViews>
  <sheetFormatPr defaultRowHeight="15"/>
  <cols>
    <col min="1" max="1" width="5.7109375" bestFit="1" customWidth="1"/>
    <col min="2" max="2" width="18.7109375" customWidth="1"/>
    <col min="3" max="3" width="51.28515625" customWidth="1"/>
    <col min="4" max="10" width="13.7109375" customWidth="1"/>
    <col min="11" max="11" width="20.85546875" customWidth="1"/>
  </cols>
  <sheetData>
    <row r="1" spans="1:11">
      <c r="A1" s="477" t="s">
        <v>408</v>
      </c>
      <c r="B1" s="477"/>
      <c r="C1" s="477"/>
      <c r="D1" s="477"/>
      <c r="E1" s="477"/>
      <c r="F1" s="477"/>
      <c r="G1" s="477"/>
      <c r="H1" s="477"/>
      <c r="I1" s="477"/>
      <c r="J1" s="477"/>
      <c r="K1" s="477"/>
    </row>
    <row r="2" spans="1:11">
      <c r="A2" s="477"/>
      <c r="B2" s="477"/>
      <c r="C2" s="477"/>
      <c r="D2" s="477"/>
      <c r="E2" s="477"/>
      <c r="F2" s="477"/>
      <c r="G2" s="477"/>
      <c r="H2" s="477"/>
      <c r="I2" s="477"/>
      <c r="J2" s="477"/>
      <c r="K2" s="477"/>
    </row>
    <row r="3" spans="1:11" ht="15.75" thickBot="1">
      <c r="A3" s="478"/>
      <c r="B3" s="478"/>
      <c r="C3" s="478"/>
      <c r="D3" s="478"/>
      <c r="E3" s="478"/>
      <c r="F3" s="478"/>
      <c r="G3" s="478"/>
      <c r="H3" s="478"/>
      <c r="I3" s="478"/>
      <c r="J3" s="478"/>
      <c r="K3" s="478"/>
    </row>
    <row r="4" spans="1:11" ht="18">
      <c r="A4" s="479" t="s">
        <v>135</v>
      </c>
      <c r="B4" s="481" t="s">
        <v>136</v>
      </c>
      <c r="C4" s="483" t="s">
        <v>137</v>
      </c>
      <c r="D4" s="173" t="s">
        <v>138</v>
      </c>
      <c r="E4" s="174" t="s">
        <v>139</v>
      </c>
      <c r="F4" s="175" t="s">
        <v>140</v>
      </c>
      <c r="G4" s="176" t="s">
        <v>141</v>
      </c>
      <c r="H4" s="177" t="s">
        <v>142</v>
      </c>
      <c r="I4" s="174" t="s">
        <v>143</v>
      </c>
      <c r="J4" s="178" t="s">
        <v>132</v>
      </c>
      <c r="K4" s="485" t="s">
        <v>163</v>
      </c>
    </row>
    <row r="5" spans="1:11" ht="18.75" thickBot="1">
      <c r="A5" s="480"/>
      <c r="B5" s="482"/>
      <c r="C5" s="484"/>
      <c r="D5" s="179" t="s">
        <v>131</v>
      </c>
      <c r="E5" s="180" t="s">
        <v>161</v>
      </c>
      <c r="F5" s="181" t="s">
        <v>144</v>
      </c>
      <c r="G5" s="182" t="s">
        <v>145</v>
      </c>
      <c r="H5" s="183" t="s">
        <v>146</v>
      </c>
      <c r="I5" s="180" t="s">
        <v>147</v>
      </c>
      <c r="J5" s="184" t="s">
        <v>141</v>
      </c>
      <c r="K5" s="486"/>
    </row>
    <row r="6" spans="1:11" ht="39" customHeight="1">
      <c r="A6" s="185">
        <v>1</v>
      </c>
      <c r="B6" s="223" t="s">
        <v>379</v>
      </c>
      <c r="C6" s="224" t="s">
        <v>407</v>
      </c>
      <c r="D6" s="189"/>
      <c r="E6" s="190"/>
      <c r="F6" s="191">
        <f>E6/E28</f>
        <v>0</v>
      </c>
      <c r="G6" s="192">
        <v>28570</v>
      </c>
      <c r="H6" s="193">
        <f t="shared" ref="H6:H11" si="0">F6+G6</f>
        <v>28570</v>
      </c>
      <c r="I6" s="190">
        <v>49829</v>
      </c>
      <c r="J6" s="194">
        <f>I6-H6</f>
        <v>21259</v>
      </c>
      <c r="K6" s="195">
        <v>44</v>
      </c>
    </row>
    <row r="7" spans="1:11" ht="24" customHeight="1">
      <c r="A7" s="186">
        <v>2</v>
      </c>
      <c r="B7" s="225">
        <v>911321412</v>
      </c>
      <c r="C7" s="226" t="s">
        <v>155</v>
      </c>
      <c r="D7" s="196"/>
      <c r="E7" s="197">
        <v>1033</v>
      </c>
      <c r="F7" s="198">
        <f>E7/E28</f>
        <v>280.0224135077504</v>
      </c>
      <c r="G7" s="199"/>
      <c r="H7" s="200">
        <f>F7+G7</f>
        <v>280.0224135077504</v>
      </c>
      <c r="I7" s="197">
        <v>1000</v>
      </c>
      <c r="J7" s="201">
        <f>I7-H7</f>
        <v>719.97758649224966</v>
      </c>
      <c r="K7" s="202">
        <v>14</v>
      </c>
    </row>
    <row r="8" spans="1:11" ht="24" customHeight="1">
      <c r="A8" s="186">
        <v>3</v>
      </c>
      <c r="B8" s="225">
        <v>9113214111</v>
      </c>
      <c r="C8" s="226" t="s">
        <v>409</v>
      </c>
      <c r="D8" s="196"/>
      <c r="E8" s="197">
        <v>2642.6</v>
      </c>
      <c r="F8" s="203">
        <f>E8/E28</f>
        <v>716.3477540518694</v>
      </c>
      <c r="G8" s="199"/>
      <c r="H8" s="200">
        <f>F8+G8</f>
        <v>716.3477540518694</v>
      </c>
      <c r="I8" s="197">
        <v>1000</v>
      </c>
      <c r="J8" s="201">
        <f>I8-H8</f>
        <v>283.6522459481306</v>
      </c>
      <c r="K8" s="202">
        <v>3</v>
      </c>
    </row>
    <row r="9" spans="1:11" ht="24" customHeight="1">
      <c r="A9" s="186">
        <v>4</v>
      </c>
      <c r="B9" s="225">
        <v>911321416</v>
      </c>
      <c r="C9" s="226" t="s">
        <v>150</v>
      </c>
      <c r="D9" s="196"/>
      <c r="E9" s="197">
        <v>150</v>
      </c>
      <c r="F9" s="198">
        <f>E9/E28</f>
        <v>40.661531487088631</v>
      </c>
      <c r="G9" s="199"/>
      <c r="H9" s="200">
        <f t="shared" si="0"/>
        <v>40.661531487088631</v>
      </c>
      <c r="I9" s="197">
        <v>2000</v>
      </c>
      <c r="J9" s="201">
        <f t="shared" ref="J9:J26" si="1">I9-H9</f>
        <v>1959.3384685129113</v>
      </c>
      <c r="K9" s="202">
        <v>2</v>
      </c>
    </row>
    <row r="10" spans="1:11" ht="24" customHeight="1">
      <c r="A10" s="186">
        <v>5</v>
      </c>
      <c r="B10" s="225">
        <v>911321417</v>
      </c>
      <c r="C10" s="226" t="s">
        <v>151</v>
      </c>
      <c r="D10" s="196"/>
      <c r="E10" s="197">
        <v>798</v>
      </c>
      <c r="F10" s="203">
        <f>E10/E28</f>
        <v>216.31934751131152</v>
      </c>
      <c r="G10" s="199"/>
      <c r="H10" s="200">
        <f t="shared" si="0"/>
        <v>216.31934751131152</v>
      </c>
      <c r="I10" s="197">
        <v>1000</v>
      </c>
      <c r="J10" s="201">
        <f t="shared" si="1"/>
        <v>783.68065248868845</v>
      </c>
      <c r="K10" s="202">
        <v>26</v>
      </c>
    </row>
    <row r="11" spans="1:11" ht="24" customHeight="1">
      <c r="A11" s="186">
        <v>6</v>
      </c>
      <c r="B11" s="225">
        <v>911321419</v>
      </c>
      <c r="C11" s="226" t="s">
        <v>164</v>
      </c>
      <c r="D11" s="196"/>
      <c r="E11" s="197">
        <v>14009</v>
      </c>
      <c r="F11" s="198">
        <f>E11/E28</f>
        <v>3797.5159640174979</v>
      </c>
      <c r="G11" s="199"/>
      <c r="H11" s="200">
        <f t="shared" si="0"/>
        <v>3797.5159640174979</v>
      </c>
      <c r="I11" s="197">
        <v>7000</v>
      </c>
      <c r="J11" s="201">
        <f t="shared" si="1"/>
        <v>3202.4840359825021</v>
      </c>
      <c r="K11" s="202">
        <v>27</v>
      </c>
    </row>
    <row r="12" spans="1:11" ht="24" customHeight="1">
      <c r="A12" s="186">
        <v>7</v>
      </c>
      <c r="B12" s="225">
        <v>911321413</v>
      </c>
      <c r="C12" s="226" t="s">
        <v>153</v>
      </c>
      <c r="D12" s="196"/>
      <c r="E12" s="197">
        <v>4248</v>
      </c>
      <c r="F12" s="203">
        <f>E12/E28</f>
        <v>1151.53457171435</v>
      </c>
      <c r="G12" s="199"/>
      <c r="H12" s="200">
        <f>F12+G12</f>
        <v>1151.53457171435</v>
      </c>
      <c r="I12" s="197">
        <v>2000</v>
      </c>
      <c r="J12" s="201">
        <f>I12-H12</f>
        <v>848.46542828564998</v>
      </c>
      <c r="K12" s="202">
        <v>39</v>
      </c>
    </row>
    <row r="13" spans="1:11" ht="24" customHeight="1">
      <c r="A13" s="186">
        <v>8</v>
      </c>
      <c r="B13" s="227"/>
      <c r="C13" s="204"/>
      <c r="D13" s="204"/>
      <c r="E13" s="204"/>
      <c r="F13" s="205">
        <f>E13/E28</f>
        <v>0</v>
      </c>
      <c r="G13" s="204"/>
      <c r="H13" s="206">
        <f>G13+F13</f>
        <v>0</v>
      </c>
      <c r="I13" s="204"/>
      <c r="J13" s="205">
        <f>I13-H13</f>
        <v>0</v>
      </c>
      <c r="K13" s="207"/>
    </row>
    <row r="14" spans="1:11" ht="24" customHeight="1">
      <c r="A14" s="186">
        <v>9</v>
      </c>
      <c r="B14" s="227"/>
      <c r="C14" s="204"/>
      <c r="D14" s="204"/>
      <c r="E14" s="204"/>
      <c r="F14" s="205">
        <f>E14/E28</f>
        <v>0</v>
      </c>
      <c r="G14" s="204"/>
      <c r="H14" s="206">
        <f>G14+F14</f>
        <v>0</v>
      </c>
      <c r="I14" s="204"/>
      <c r="J14" s="205">
        <f>I14-H14</f>
        <v>0</v>
      </c>
      <c r="K14" s="207"/>
    </row>
    <row r="15" spans="1:11" ht="24" customHeight="1">
      <c r="A15" s="186">
        <v>10</v>
      </c>
      <c r="B15" s="227"/>
      <c r="C15" s="204"/>
      <c r="D15" s="204"/>
      <c r="E15" s="204"/>
      <c r="F15" s="205">
        <f>E15/E28</f>
        <v>0</v>
      </c>
      <c r="G15" s="204"/>
      <c r="H15" s="206">
        <f>G15+F15</f>
        <v>0</v>
      </c>
      <c r="I15" s="204"/>
      <c r="J15" s="205">
        <f>I15-H15</f>
        <v>0</v>
      </c>
      <c r="K15" s="207"/>
    </row>
    <row r="16" spans="1:11" ht="24" customHeight="1">
      <c r="A16" s="186">
        <v>11</v>
      </c>
      <c r="B16" s="227"/>
      <c r="C16" s="204"/>
      <c r="D16" s="204"/>
      <c r="E16" s="204"/>
      <c r="F16" s="205">
        <f>E16/E28</f>
        <v>0</v>
      </c>
      <c r="G16" s="204"/>
      <c r="H16" s="206">
        <f>G16+F16</f>
        <v>0</v>
      </c>
      <c r="I16" s="204"/>
      <c r="J16" s="205">
        <f>I16-H16</f>
        <v>0</v>
      </c>
      <c r="K16" s="207"/>
    </row>
    <row r="17" spans="1:11" ht="24" customHeight="1">
      <c r="A17" s="186">
        <v>12</v>
      </c>
      <c r="B17" s="228"/>
      <c r="C17" s="226"/>
      <c r="D17" s="196"/>
      <c r="E17" s="197"/>
      <c r="F17" s="203">
        <f>E17/E28</f>
        <v>0</v>
      </c>
      <c r="G17" s="199"/>
      <c r="H17" s="200">
        <f t="shared" ref="H17:H18" si="2">G17+F17</f>
        <v>0</v>
      </c>
      <c r="I17" s="197"/>
      <c r="J17" s="201">
        <f t="shared" si="1"/>
        <v>0</v>
      </c>
      <c r="K17" s="202"/>
    </row>
    <row r="18" spans="1:11" ht="24" customHeight="1">
      <c r="A18" s="186">
        <v>13</v>
      </c>
      <c r="B18" s="228"/>
      <c r="C18" s="226"/>
      <c r="D18" s="196"/>
      <c r="E18" s="197"/>
      <c r="F18" s="203">
        <f>E18/E28</f>
        <v>0</v>
      </c>
      <c r="G18" s="199"/>
      <c r="H18" s="200">
        <f t="shared" si="2"/>
        <v>0</v>
      </c>
      <c r="I18" s="197"/>
      <c r="J18" s="201">
        <f t="shared" si="1"/>
        <v>0</v>
      </c>
      <c r="K18" s="202"/>
    </row>
    <row r="19" spans="1:11" ht="24" customHeight="1">
      <c r="A19" s="186">
        <v>14</v>
      </c>
      <c r="B19" s="228">
        <v>9113214110</v>
      </c>
      <c r="C19" s="226" t="s">
        <v>154</v>
      </c>
      <c r="D19" s="196"/>
      <c r="E19" s="197"/>
      <c r="F19" s="203">
        <f>E19/E28</f>
        <v>0</v>
      </c>
      <c r="G19" s="199"/>
      <c r="H19" s="200">
        <v>0</v>
      </c>
      <c r="I19" s="197">
        <v>2000</v>
      </c>
      <c r="J19" s="201">
        <f>I19-H19</f>
        <v>2000</v>
      </c>
      <c r="K19" s="202"/>
    </row>
    <row r="20" spans="1:11" ht="24" customHeight="1">
      <c r="A20" s="186">
        <v>15</v>
      </c>
      <c r="B20" s="228">
        <v>911321418</v>
      </c>
      <c r="C20" s="226" t="s">
        <v>152</v>
      </c>
      <c r="D20" s="196"/>
      <c r="E20" s="197"/>
      <c r="F20" s="203">
        <f>E20/E28</f>
        <v>0</v>
      </c>
      <c r="G20" s="199"/>
      <c r="H20" s="200">
        <f>F20+G20</f>
        <v>0</v>
      </c>
      <c r="I20" s="197">
        <v>500</v>
      </c>
      <c r="J20" s="201">
        <f>I20-H20</f>
        <v>500</v>
      </c>
      <c r="K20" s="202"/>
    </row>
    <row r="21" spans="1:11" ht="24" customHeight="1">
      <c r="A21" s="186">
        <v>16</v>
      </c>
      <c r="B21" s="228">
        <v>911321414</v>
      </c>
      <c r="C21" s="226" t="s">
        <v>148</v>
      </c>
      <c r="D21" s="196"/>
      <c r="E21" s="197"/>
      <c r="F21" s="203">
        <f>E21/E28</f>
        <v>0</v>
      </c>
      <c r="G21" s="199"/>
      <c r="H21" s="200">
        <f>F21+G21</f>
        <v>0</v>
      </c>
      <c r="I21" s="197">
        <v>2500</v>
      </c>
      <c r="J21" s="201">
        <f>I21-H21</f>
        <v>2500</v>
      </c>
      <c r="K21" s="202"/>
    </row>
    <row r="22" spans="1:11" ht="24" customHeight="1">
      <c r="A22" s="186">
        <v>17</v>
      </c>
      <c r="B22" s="228">
        <v>911321415</v>
      </c>
      <c r="C22" s="226" t="s">
        <v>149</v>
      </c>
      <c r="D22" s="196"/>
      <c r="E22" s="197"/>
      <c r="F22" s="203">
        <f>E22/E28</f>
        <v>0</v>
      </c>
      <c r="G22" s="199"/>
      <c r="H22" s="200">
        <f>F22+G22</f>
        <v>0</v>
      </c>
      <c r="I22" s="197">
        <v>1000</v>
      </c>
      <c r="J22" s="201">
        <f>I22-H22</f>
        <v>1000</v>
      </c>
      <c r="K22" s="202"/>
    </row>
    <row r="23" spans="1:11" ht="24" customHeight="1">
      <c r="A23" s="186">
        <v>18</v>
      </c>
      <c r="B23" s="228">
        <v>9113214159</v>
      </c>
      <c r="C23" s="226" t="s">
        <v>156</v>
      </c>
      <c r="D23" s="196"/>
      <c r="E23" s="197"/>
      <c r="F23" s="203">
        <f>E23/E28</f>
        <v>0</v>
      </c>
      <c r="G23" s="199">
        <v>79009</v>
      </c>
      <c r="H23" s="200">
        <f t="shared" ref="H23:H26" si="3">F23+G23</f>
        <v>79009</v>
      </c>
      <c r="I23" s="197">
        <v>55152</v>
      </c>
      <c r="J23" s="201">
        <f t="shared" si="1"/>
        <v>-23857</v>
      </c>
      <c r="K23" s="202">
        <v>14</v>
      </c>
    </row>
    <row r="24" spans="1:11" ht="24" customHeight="1">
      <c r="A24" s="186">
        <v>19</v>
      </c>
      <c r="B24" s="228"/>
      <c r="C24" s="226" t="s">
        <v>157</v>
      </c>
      <c r="D24" s="196"/>
      <c r="E24" s="197"/>
      <c r="F24" s="203">
        <f>E24/E28</f>
        <v>0</v>
      </c>
      <c r="G24" s="199"/>
      <c r="H24" s="200">
        <f t="shared" si="3"/>
        <v>0</v>
      </c>
      <c r="I24" s="197"/>
      <c r="J24" s="201">
        <f t="shared" si="1"/>
        <v>0</v>
      </c>
      <c r="K24" s="202"/>
    </row>
    <row r="25" spans="1:11" ht="24" customHeight="1">
      <c r="A25" s="186">
        <v>20</v>
      </c>
      <c r="B25" s="228"/>
      <c r="C25" s="226" t="s">
        <v>158</v>
      </c>
      <c r="D25" s="196"/>
      <c r="E25" s="197"/>
      <c r="F25" s="203">
        <f>E25/E28</f>
        <v>0</v>
      </c>
      <c r="G25" s="199"/>
      <c r="H25" s="200">
        <f t="shared" si="3"/>
        <v>0</v>
      </c>
      <c r="I25" s="197"/>
      <c r="J25" s="201">
        <f t="shared" si="1"/>
        <v>0</v>
      </c>
      <c r="K25" s="202"/>
    </row>
    <row r="26" spans="1:11" ht="24" customHeight="1" thickBot="1">
      <c r="A26" s="187">
        <v>21</v>
      </c>
      <c r="B26" s="229"/>
      <c r="C26" s="230" t="s">
        <v>159</v>
      </c>
      <c r="D26" s="208"/>
      <c r="E26" s="209"/>
      <c r="F26" s="210">
        <f>E26/E28</f>
        <v>0</v>
      </c>
      <c r="G26" s="211"/>
      <c r="H26" s="212">
        <f t="shared" si="3"/>
        <v>0</v>
      </c>
      <c r="I26" s="209"/>
      <c r="J26" s="213">
        <f t="shared" si="1"/>
        <v>0</v>
      </c>
      <c r="K26" s="214"/>
    </row>
    <row r="27" spans="1:11" ht="27" customHeight="1" thickBot="1">
      <c r="A27" s="487" t="s">
        <v>160</v>
      </c>
      <c r="B27" s="488"/>
      <c r="C27" s="488"/>
      <c r="D27" s="215">
        <f t="shared" ref="D27:J27" si="4">SUM(D6:D25)</f>
        <v>0</v>
      </c>
      <c r="E27" s="216">
        <f t="shared" si="4"/>
        <v>22880.6</v>
      </c>
      <c r="F27" s="217">
        <f t="shared" si="4"/>
        <v>6202.4015822898682</v>
      </c>
      <c r="G27" s="218">
        <f t="shared" si="4"/>
        <v>107579</v>
      </c>
      <c r="H27" s="219">
        <f>SUM(H6:H26)</f>
        <v>113781.40158228987</v>
      </c>
      <c r="I27" s="220">
        <f t="shared" si="4"/>
        <v>124981</v>
      </c>
      <c r="J27" s="221">
        <f t="shared" si="4"/>
        <v>11199.598417710135</v>
      </c>
      <c r="K27" s="222">
        <f>SUM(K6:K26)</f>
        <v>169</v>
      </c>
    </row>
    <row r="28" spans="1:11" ht="23.25">
      <c r="A28" s="78"/>
      <c r="B28" s="78"/>
      <c r="C28" s="79"/>
      <c r="D28" s="170" t="s">
        <v>165</v>
      </c>
      <c r="E28" s="375">
        <f>تسعير!E34</f>
        <v>3.6889904170881982</v>
      </c>
      <c r="F28" s="80"/>
      <c r="G28" s="476" t="s">
        <v>382</v>
      </c>
      <c r="H28" s="476"/>
      <c r="I28" s="476"/>
      <c r="J28" s="476"/>
      <c r="K28" s="78"/>
    </row>
    <row r="29" spans="1:11" ht="18">
      <c r="A29" s="78"/>
      <c r="B29" s="78"/>
      <c r="C29" s="79" t="s">
        <v>375</v>
      </c>
      <c r="D29" s="80"/>
      <c r="E29" s="80"/>
      <c r="F29" s="80"/>
      <c r="G29" s="476" t="s">
        <v>162</v>
      </c>
      <c r="H29" s="476"/>
      <c r="I29" s="476"/>
      <c r="J29" s="476"/>
      <c r="K29" s="78"/>
    </row>
    <row r="37" spans="1:11">
      <c r="A37" s="477" t="s">
        <v>410</v>
      </c>
      <c r="B37" s="477"/>
      <c r="C37" s="477"/>
      <c r="D37" s="477"/>
      <c r="E37" s="477"/>
      <c r="F37" s="477"/>
      <c r="G37" s="477"/>
      <c r="H37" s="477"/>
      <c r="I37" s="477"/>
      <c r="J37" s="477"/>
      <c r="K37" s="477"/>
    </row>
    <row r="38" spans="1:11">
      <c r="A38" s="477"/>
      <c r="B38" s="477"/>
      <c r="C38" s="477"/>
      <c r="D38" s="477"/>
      <c r="E38" s="477"/>
      <c r="F38" s="477"/>
      <c r="G38" s="477"/>
      <c r="H38" s="477"/>
      <c r="I38" s="477"/>
      <c r="J38" s="477"/>
      <c r="K38" s="477"/>
    </row>
    <row r="39" spans="1:11" ht="15.75" thickBot="1">
      <c r="A39" s="478"/>
      <c r="B39" s="478"/>
      <c r="C39" s="478"/>
      <c r="D39" s="478"/>
      <c r="E39" s="478"/>
      <c r="F39" s="478"/>
      <c r="G39" s="478"/>
      <c r="H39" s="478"/>
      <c r="I39" s="478"/>
      <c r="J39" s="478"/>
      <c r="K39" s="478"/>
    </row>
    <row r="40" spans="1:11" ht="18">
      <c r="A40" s="479" t="s">
        <v>135</v>
      </c>
      <c r="B40" s="481" t="s">
        <v>136</v>
      </c>
      <c r="C40" s="483" t="s">
        <v>137</v>
      </c>
      <c r="D40" s="173" t="s">
        <v>138</v>
      </c>
      <c r="E40" s="174" t="s">
        <v>139</v>
      </c>
      <c r="F40" s="175" t="s">
        <v>140</v>
      </c>
      <c r="G40" s="176" t="s">
        <v>141</v>
      </c>
      <c r="H40" s="177" t="s">
        <v>142</v>
      </c>
      <c r="I40" s="174" t="s">
        <v>143</v>
      </c>
      <c r="J40" s="178" t="s">
        <v>132</v>
      </c>
      <c r="K40" s="485" t="s">
        <v>163</v>
      </c>
    </row>
    <row r="41" spans="1:11" ht="18.75" thickBot="1">
      <c r="A41" s="480"/>
      <c r="B41" s="482"/>
      <c r="C41" s="484"/>
      <c r="D41" s="179" t="s">
        <v>131</v>
      </c>
      <c r="E41" s="180" t="s">
        <v>161</v>
      </c>
      <c r="F41" s="181" t="s">
        <v>144</v>
      </c>
      <c r="G41" s="182" t="s">
        <v>145</v>
      </c>
      <c r="H41" s="183" t="s">
        <v>146</v>
      </c>
      <c r="I41" s="180" t="s">
        <v>147</v>
      </c>
      <c r="J41" s="184" t="s">
        <v>141</v>
      </c>
      <c r="K41" s="486"/>
    </row>
    <row r="42" spans="1:11" s="235" customFormat="1" ht="30" customHeight="1">
      <c r="A42" s="234">
        <v>1</v>
      </c>
      <c r="B42" s="223">
        <v>9113214122</v>
      </c>
      <c r="C42" s="237" t="s">
        <v>411</v>
      </c>
      <c r="D42" s="244"/>
      <c r="E42" s="245"/>
      <c r="F42" s="232">
        <f>E42/E78</f>
        <v>0</v>
      </c>
      <c r="G42" s="246"/>
      <c r="H42" s="247">
        <f t="shared" ref="H42" si="5">F42+G42</f>
        <v>0</v>
      </c>
      <c r="I42" s="245">
        <v>4000</v>
      </c>
      <c r="J42" s="248">
        <f>I42-H42</f>
        <v>4000</v>
      </c>
      <c r="K42" s="172"/>
    </row>
    <row r="43" spans="1:11" s="235" customFormat="1" ht="30" customHeight="1">
      <c r="A43" s="236">
        <v>2</v>
      </c>
      <c r="B43" s="225">
        <v>9113214123</v>
      </c>
      <c r="C43" s="238" t="s">
        <v>412</v>
      </c>
      <c r="D43" s="249"/>
      <c r="E43" s="250"/>
      <c r="F43" s="167">
        <f>E43/E78</f>
        <v>0</v>
      </c>
      <c r="G43" s="251"/>
      <c r="H43" s="252">
        <f>F43+G43</f>
        <v>0</v>
      </c>
      <c r="I43" s="250">
        <v>2000</v>
      </c>
      <c r="J43" s="253">
        <f>I43-H43</f>
        <v>2000</v>
      </c>
      <c r="K43" s="168"/>
    </row>
    <row r="44" spans="1:11" s="235" customFormat="1" ht="30" customHeight="1">
      <c r="A44" s="236">
        <v>3</v>
      </c>
      <c r="B44" s="225">
        <v>9113214124</v>
      </c>
      <c r="C44" s="238" t="s">
        <v>413</v>
      </c>
      <c r="D44" s="249"/>
      <c r="E44" s="250"/>
      <c r="F44" s="167">
        <f>E44/E78</f>
        <v>0</v>
      </c>
      <c r="G44" s="251"/>
      <c r="H44" s="252">
        <f>F44+G44</f>
        <v>0</v>
      </c>
      <c r="I44" s="250">
        <v>2000</v>
      </c>
      <c r="J44" s="253">
        <f>I44-H44</f>
        <v>2000</v>
      </c>
      <c r="K44" s="168"/>
    </row>
    <row r="45" spans="1:11" s="235" customFormat="1" ht="30" customHeight="1">
      <c r="A45" s="236">
        <v>4</v>
      </c>
      <c r="B45" s="225">
        <v>9113214125</v>
      </c>
      <c r="C45" s="238" t="s">
        <v>414</v>
      </c>
      <c r="D45" s="249"/>
      <c r="E45" s="250">
        <v>2040</v>
      </c>
      <c r="F45" s="167">
        <f>E45/E78</f>
        <v>552.99682822440536</v>
      </c>
      <c r="G45" s="251"/>
      <c r="H45" s="252">
        <f t="shared" ref="H45:H47" si="6">F45+G45</f>
        <v>552.99682822440536</v>
      </c>
      <c r="I45" s="250">
        <v>6800</v>
      </c>
      <c r="J45" s="253">
        <f t="shared" ref="J45:J47" si="7">I45-H45</f>
        <v>6247.0031717755946</v>
      </c>
      <c r="K45" s="168">
        <v>5</v>
      </c>
    </row>
    <row r="46" spans="1:11" s="235" customFormat="1" ht="33" customHeight="1">
      <c r="A46" s="236">
        <v>5</v>
      </c>
      <c r="B46" s="225">
        <v>9113214126</v>
      </c>
      <c r="C46" s="239" t="s">
        <v>415</v>
      </c>
      <c r="D46" s="249"/>
      <c r="E46" s="250">
        <v>10078</v>
      </c>
      <c r="F46" s="167">
        <f>E46/E78</f>
        <v>2731.9127621791949</v>
      </c>
      <c r="G46" s="251"/>
      <c r="H46" s="252">
        <f t="shared" si="6"/>
        <v>2731.9127621791949</v>
      </c>
      <c r="I46" s="250">
        <v>5000</v>
      </c>
      <c r="J46" s="253">
        <f t="shared" si="7"/>
        <v>2268.0872378208051</v>
      </c>
      <c r="K46" s="168">
        <v>40</v>
      </c>
    </row>
    <row r="47" spans="1:11" s="235" customFormat="1" ht="30" customHeight="1">
      <c r="A47" s="236">
        <v>6</v>
      </c>
      <c r="B47" s="225">
        <v>9113214127</v>
      </c>
      <c r="C47" s="238" t="s">
        <v>416</v>
      </c>
      <c r="D47" s="249"/>
      <c r="E47" s="250"/>
      <c r="F47" s="167">
        <f>E47/E78</f>
        <v>0</v>
      </c>
      <c r="G47" s="251"/>
      <c r="H47" s="252">
        <f t="shared" si="6"/>
        <v>0</v>
      </c>
      <c r="I47" s="250">
        <v>4000</v>
      </c>
      <c r="J47" s="253">
        <f t="shared" si="7"/>
        <v>4000</v>
      </c>
      <c r="K47" s="168"/>
    </row>
    <row r="48" spans="1:11" s="235" customFormat="1" ht="33" customHeight="1">
      <c r="A48" s="236">
        <v>7</v>
      </c>
      <c r="B48" s="225">
        <v>9113214128</v>
      </c>
      <c r="C48" s="239" t="s">
        <v>417</v>
      </c>
      <c r="D48" s="249"/>
      <c r="E48" s="250"/>
      <c r="F48" s="167">
        <f>E48/E78</f>
        <v>0</v>
      </c>
      <c r="G48" s="251"/>
      <c r="H48" s="252">
        <f>F48+G48</f>
        <v>0</v>
      </c>
      <c r="I48" s="250">
        <v>2000</v>
      </c>
      <c r="J48" s="253">
        <f t="shared" ref="J48:J66" si="8">I48-H48</f>
        <v>2000</v>
      </c>
      <c r="K48" s="168"/>
    </row>
    <row r="49" spans="1:11" s="235" customFormat="1" ht="30" customHeight="1">
      <c r="A49" s="234">
        <v>8</v>
      </c>
      <c r="B49" s="231">
        <v>9113214129</v>
      </c>
      <c r="C49" s="240" t="s">
        <v>418</v>
      </c>
      <c r="D49" s="267"/>
      <c r="E49" s="268"/>
      <c r="F49" s="233">
        <f>E49/E78</f>
        <v>0</v>
      </c>
      <c r="G49" s="268"/>
      <c r="H49" s="254">
        <f t="shared" ref="H49:H66" si="9">G49+F49</f>
        <v>0</v>
      </c>
      <c r="I49" s="269">
        <v>1500</v>
      </c>
      <c r="J49" s="233">
        <f t="shared" si="8"/>
        <v>1500</v>
      </c>
      <c r="K49" s="270"/>
    </row>
    <row r="50" spans="1:11" s="235" customFormat="1" ht="30" customHeight="1">
      <c r="A50" s="236">
        <v>9</v>
      </c>
      <c r="B50" s="231">
        <v>9113214130</v>
      </c>
      <c r="C50" s="242" t="s">
        <v>419</v>
      </c>
      <c r="D50" s="267"/>
      <c r="E50" s="268">
        <v>400</v>
      </c>
      <c r="F50" s="233">
        <f>E50/E78</f>
        <v>108.43075063223635</v>
      </c>
      <c r="G50" s="268"/>
      <c r="H50" s="254">
        <f t="shared" si="9"/>
        <v>108.43075063223635</v>
      </c>
      <c r="I50" s="269">
        <v>4000</v>
      </c>
      <c r="J50" s="233">
        <f t="shared" si="8"/>
        <v>3891.5692493677639</v>
      </c>
      <c r="K50" s="270">
        <v>12</v>
      </c>
    </row>
    <row r="51" spans="1:11" s="235" customFormat="1" ht="30" customHeight="1">
      <c r="A51" s="236">
        <v>10</v>
      </c>
      <c r="B51" s="231">
        <v>9113214131</v>
      </c>
      <c r="C51" s="242" t="s">
        <v>420</v>
      </c>
      <c r="D51" s="267"/>
      <c r="E51" s="268"/>
      <c r="F51" s="233">
        <f>E51/E78</f>
        <v>0</v>
      </c>
      <c r="G51" s="268"/>
      <c r="H51" s="254">
        <f t="shared" si="9"/>
        <v>0</v>
      </c>
      <c r="I51" s="269">
        <v>2500</v>
      </c>
      <c r="J51" s="233">
        <f t="shared" si="8"/>
        <v>2500</v>
      </c>
      <c r="K51" s="270"/>
    </row>
    <row r="52" spans="1:11" s="235" customFormat="1" ht="30" customHeight="1">
      <c r="A52" s="236">
        <v>11</v>
      </c>
      <c r="B52" s="231">
        <v>9113214133</v>
      </c>
      <c r="C52" s="242" t="s">
        <v>421</v>
      </c>
      <c r="D52" s="267"/>
      <c r="E52" s="268">
        <v>5562</v>
      </c>
      <c r="F52" s="233">
        <f>E52/E78</f>
        <v>1507.7295875412465</v>
      </c>
      <c r="G52" s="268"/>
      <c r="H52" s="254">
        <f t="shared" si="9"/>
        <v>1507.7295875412465</v>
      </c>
      <c r="I52" s="269">
        <v>7000</v>
      </c>
      <c r="J52" s="233">
        <f t="shared" si="8"/>
        <v>5492.2704124587535</v>
      </c>
      <c r="K52" s="270">
        <v>8</v>
      </c>
    </row>
    <row r="53" spans="1:11" s="235" customFormat="1" ht="33" customHeight="1">
      <c r="A53" s="236">
        <v>12</v>
      </c>
      <c r="B53" s="231">
        <v>9113214134</v>
      </c>
      <c r="C53" s="243" t="s">
        <v>422</v>
      </c>
      <c r="D53" s="267"/>
      <c r="E53" s="268"/>
      <c r="F53" s="233">
        <f>E53/E78</f>
        <v>0</v>
      </c>
      <c r="G53" s="268"/>
      <c r="H53" s="254">
        <f t="shared" si="9"/>
        <v>0</v>
      </c>
      <c r="I53" s="269">
        <v>2000</v>
      </c>
      <c r="J53" s="233">
        <f t="shared" si="8"/>
        <v>2000</v>
      </c>
      <c r="K53" s="270"/>
    </row>
    <row r="54" spans="1:11" s="235" customFormat="1" ht="30" customHeight="1">
      <c r="A54" s="236">
        <v>13</v>
      </c>
      <c r="B54" s="231">
        <v>9113214136</v>
      </c>
      <c r="C54" s="242" t="s">
        <v>423</v>
      </c>
      <c r="D54" s="267"/>
      <c r="E54" s="268"/>
      <c r="F54" s="233">
        <f>E54/E78</f>
        <v>0</v>
      </c>
      <c r="G54" s="268"/>
      <c r="H54" s="254">
        <f t="shared" si="9"/>
        <v>0</v>
      </c>
      <c r="I54" s="269">
        <v>2000</v>
      </c>
      <c r="J54" s="233">
        <f t="shared" si="8"/>
        <v>2000</v>
      </c>
      <c r="K54" s="270"/>
    </row>
    <row r="55" spans="1:11" s="235" customFormat="1" ht="30" customHeight="1">
      <c r="A55" s="236">
        <v>14</v>
      </c>
      <c r="B55" s="231">
        <v>9113214137</v>
      </c>
      <c r="C55" s="242" t="s">
        <v>424</v>
      </c>
      <c r="D55" s="267"/>
      <c r="E55" s="268"/>
      <c r="F55" s="233">
        <f>E55/E78</f>
        <v>0</v>
      </c>
      <c r="G55" s="268"/>
      <c r="H55" s="254">
        <f t="shared" si="9"/>
        <v>0</v>
      </c>
      <c r="I55" s="269">
        <v>2000</v>
      </c>
      <c r="J55" s="233">
        <f t="shared" si="8"/>
        <v>2000</v>
      </c>
      <c r="K55" s="270"/>
    </row>
    <row r="56" spans="1:11" s="235" customFormat="1" ht="30" customHeight="1">
      <c r="A56" s="236">
        <v>15</v>
      </c>
      <c r="B56" s="231">
        <v>9113214138</v>
      </c>
      <c r="C56" s="242" t="s">
        <v>425</v>
      </c>
      <c r="D56" s="267"/>
      <c r="E56" s="268"/>
      <c r="F56" s="233">
        <f>E56/E78</f>
        <v>0</v>
      </c>
      <c r="G56" s="268"/>
      <c r="H56" s="254">
        <f t="shared" si="9"/>
        <v>0</v>
      </c>
      <c r="I56" s="269">
        <v>2000</v>
      </c>
      <c r="J56" s="233">
        <f t="shared" si="8"/>
        <v>2000</v>
      </c>
      <c r="K56" s="270"/>
    </row>
    <row r="57" spans="1:11" s="235" customFormat="1" ht="33" customHeight="1">
      <c r="A57" s="236">
        <v>16</v>
      </c>
      <c r="B57" s="231">
        <v>9113214139</v>
      </c>
      <c r="C57" s="243" t="s">
        <v>426</v>
      </c>
      <c r="D57" s="267"/>
      <c r="E57" s="268"/>
      <c r="F57" s="233">
        <f>E57/E78</f>
        <v>0</v>
      </c>
      <c r="G57" s="267"/>
      <c r="H57" s="254">
        <f t="shared" si="9"/>
        <v>0</v>
      </c>
      <c r="I57" s="269">
        <v>2000</v>
      </c>
      <c r="J57" s="233">
        <f t="shared" si="8"/>
        <v>2000</v>
      </c>
      <c r="K57" s="270"/>
    </row>
    <row r="58" spans="1:11" s="235" customFormat="1" ht="30" customHeight="1">
      <c r="A58" s="236">
        <v>17</v>
      </c>
      <c r="B58" s="231">
        <v>9113214140</v>
      </c>
      <c r="C58" s="243" t="s">
        <v>427</v>
      </c>
      <c r="D58" s="267"/>
      <c r="E58" s="267"/>
      <c r="F58" s="233">
        <f>E58/E78</f>
        <v>0</v>
      </c>
      <c r="G58" s="267"/>
      <c r="H58" s="254">
        <f t="shared" si="9"/>
        <v>0</v>
      </c>
      <c r="I58" s="269">
        <v>2500</v>
      </c>
      <c r="J58" s="233">
        <f t="shared" si="8"/>
        <v>2500</v>
      </c>
      <c r="K58" s="270"/>
    </row>
    <row r="59" spans="1:11" s="235" customFormat="1" ht="30" customHeight="1">
      <c r="A59" s="236">
        <v>18</v>
      </c>
      <c r="B59" s="231">
        <v>9113214141</v>
      </c>
      <c r="C59" s="242" t="s">
        <v>428</v>
      </c>
      <c r="D59" s="267"/>
      <c r="E59" s="267"/>
      <c r="F59" s="233">
        <f>E59/E78</f>
        <v>0</v>
      </c>
      <c r="G59" s="268">
        <v>500</v>
      </c>
      <c r="H59" s="254">
        <f t="shared" si="9"/>
        <v>500</v>
      </c>
      <c r="I59" s="269">
        <v>1500</v>
      </c>
      <c r="J59" s="233">
        <f t="shared" si="8"/>
        <v>1000</v>
      </c>
      <c r="K59" s="270">
        <v>3</v>
      </c>
    </row>
    <row r="60" spans="1:11" s="235" customFormat="1" ht="33" customHeight="1">
      <c r="A60" s="234">
        <v>19</v>
      </c>
      <c r="B60" s="231">
        <v>9113214142</v>
      </c>
      <c r="C60" s="243" t="s">
        <v>429</v>
      </c>
      <c r="D60" s="267"/>
      <c r="E60" s="268"/>
      <c r="F60" s="233">
        <f>E60/E78</f>
        <v>0</v>
      </c>
      <c r="G60" s="268"/>
      <c r="H60" s="254">
        <f t="shared" si="9"/>
        <v>0</v>
      </c>
      <c r="I60" s="269">
        <v>5000</v>
      </c>
      <c r="J60" s="233">
        <f t="shared" si="8"/>
        <v>5000</v>
      </c>
      <c r="K60" s="270"/>
    </row>
    <row r="61" spans="1:11" s="235" customFormat="1" ht="30" customHeight="1">
      <c r="A61" s="236">
        <v>20</v>
      </c>
      <c r="B61" s="231">
        <v>9113214143</v>
      </c>
      <c r="C61" s="242" t="s">
        <v>430</v>
      </c>
      <c r="D61" s="267"/>
      <c r="E61" s="268"/>
      <c r="F61" s="233">
        <f>E61/E78</f>
        <v>0</v>
      </c>
      <c r="G61" s="268"/>
      <c r="H61" s="254">
        <f t="shared" si="9"/>
        <v>0</v>
      </c>
      <c r="I61" s="269">
        <v>8000</v>
      </c>
      <c r="J61" s="233">
        <f t="shared" si="8"/>
        <v>8000</v>
      </c>
      <c r="K61" s="270"/>
    </row>
    <row r="62" spans="1:11" s="235" customFormat="1" ht="33" customHeight="1">
      <c r="A62" s="236">
        <v>21</v>
      </c>
      <c r="B62" s="231">
        <v>9113214144</v>
      </c>
      <c r="C62" s="243" t="s">
        <v>431</v>
      </c>
      <c r="D62" s="267"/>
      <c r="E62" s="268">
        <v>1001</v>
      </c>
      <c r="F62" s="233">
        <f>E62/E78</f>
        <v>271.34795345717146</v>
      </c>
      <c r="G62" s="268"/>
      <c r="H62" s="254">
        <f t="shared" si="9"/>
        <v>271.34795345717146</v>
      </c>
      <c r="I62" s="269">
        <v>15000</v>
      </c>
      <c r="J62" s="233">
        <f t="shared" si="8"/>
        <v>14728.652046542829</v>
      </c>
      <c r="K62" s="270">
        <v>3</v>
      </c>
    </row>
    <row r="63" spans="1:11" s="235" customFormat="1" ht="33" customHeight="1">
      <c r="A63" s="236">
        <v>22</v>
      </c>
      <c r="B63" s="231">
        <v>9113214145</v>
      </c>
      <c r="C63" s="243" t="s">
        <v>432</v>
      </c>
      <c r="D63" s="267"/>
      <c r="E63" s="268">
        <v>31857</v>
      </c>
      <c r="F63" s="233">
        <f>E63/E78</f>
        <v>8635.696057227884</v>
      </c>
      <c r="G63" s="268"/>
      <c r="H63" s="254">
        <f t="shared" si="9"/>
        <v>8635.696057227884</v>
      </c>
      <c r="I63" s="269">
        <v>30000</v>
      </c>
      <c r="J63" s="233">
        <f t="shared" si="8"/>
        <v>21364.303942772116</v>
      </c>
      <c r="K63" s="270">
        <v>45</v>
      </c>
    </row>
    <row r="64" spans="1:11" s="235" customFormat="1" ht="33" customHeight="1">
      <c r="A64" s="236">
        <v>23</v>
      </c>
      <c r="B64" s="231">
        <v>9113214146</v>
      </c>
      <c r="C64" s="243" t="s">
        <v>433</v>
      </c>
      <c r="D64" s="267"/>
      <c r="E64" s="268"/>
      <c r="F64" s="233">
        <f>E64/E78</f>
        <v>0</v>
      </c>
      <c r="G64" s="268"/>
      <c r="H64" s="254">
        <f t="shared" si="9"/>
        <v>0</v>
      </c>
      <c r="I64" s="269">
        <v>3000</v>
      </c>
      <c r="J64" s="233">
        <f t="shared" si="8"/>
        <v>3000</v>
      </c>
      <c r="K64" s="270"/>
    </row>
    <row r="65" spans="1:11" s="235" customFormat="1" ht="30" customHeight="1">
      <c r="A65" s="236">
        <v>24</v>
      </c>
      <c r="B65" s="231">
        <v>9113214147</v>
      </c>
      <c r="C65" s="242" t="s">
        <v>434</v>
      </c>
      <c r="D65" s="267"/>
      <c r="E65" s="268">
        <v>400</v>
      </c>
      <c r="F65" s="233">
        <f>E65/E78</f>
        <v>108.43075063223635</v>
      </c>
      <c r="G65" s="267"/>
      <c r="H65" s="254">
        <f t="shared" si="9"/>
        <v>108.43075063223635</v>
      </c>
      <c r="I65" s="269">
        <v>2000</v>
      </c>
      <c r="J65" s="233">
        <f t="shared" si="8"/>
        <v>1891.5692493677636</v>
      </c>
      <c r="K65" s="270">
        <v>3</v>
      </c>
    </row>
    <row r="66" spans="1:11" s="235" customFormat="1" ht="30" customHeight="1">
      <c r="A66" s="236">
        <v>25</v>
      </c>
      <c r="B66" s="231">
        <v>9113214148</v>
      </c>
      <c r="C66" s="242" t="s">
        <v>435</v>
      </c>
      <c r="D66" s="267"/>
      <c r="E66" s="268"/>
      <c r="F66" s="233">
        <f>E66/E78</f>
        <v>0</v>
      </c>
      <c r="G66" s="267"/>
      <c r="H66" s="254">
        <f t="shared" si="9"/>
        <v>0</v>
      </c>
      <c r="I66" s="269">
        <v>2000</v>
      </c>
      <c r="J66" s="233">
        <f t="shared" si="8"/>
        <v>2000</v>
      </c>
      <c r="K66" s="270"/>
    </row>
    <row r="67" spans="1:11" s="235" customFormat="1" ht="30" customHeight="1">
      <c r="A67" s="234">
        <v>26</v>
      </c>
      <c r="B67" s="228">
        <v>9113214149</v>
      </c>
      <c r="C67" s="243" t="s">
        <v>436</v>
      </c>
      <c r="D67" s="249"/>
      <c r="E67" s="250"/>
      <c r="F67" s="167">
        <f>E67/E78</f>
        <v>0</v>
      </c>
      <c r="G67" s="251"/>
      <c r="H67" s="252">
        <f t="shared" ref="H67:H68" si="10">G67+F67</f>
        <v>0</v>
      </c>
      <c r="I67" s="250">
        <v>5500</v>
      </c>
      <c r="J67" s="253">
        <f t="shared" ref="J67:J68" si="11">I67-H67</f>
        <v>5500</v>
      </c>
      <c r="K67" s="168"/>
    </row>
    <row r="68" spans="1:11" s="235" customFormat="1" ht="33" customHeight="1">
      <c r="A68" s="236">
        <v>27</v>
      </c>
      <c r="B68" s="228">
        <v>9113214150</v>
      </c>
      <c r="C68" s="243" t="s">
        <v>437</v>
      </c>
      <c r="D68" s="249"/>
      <c r="E68" s="250"/>
      <c r="F68" s="167">
        <f>E68/E78</f>
        <v>0</v>
      </c>
      <c r="G68" s="251"/>
      <c r="H68" s="252">
        <f t="shared" si="10"/>
        <v>0</v>
      </c>
      <c r="I68" s="250">
        <v>1000</v>
      </c>
      <c r="J68" s="253">
        <f t="shared" si="11"/>
        <v>1000</v>
      </c>
      <c r="K68" s="168"/>
    </row>
    <row r="69" spans="1:11" s="235" customFormat="1" ht="33" customHeight="1">
      <c r="A69" s="236">
        <v>28</v>
      </c>
      <c r="B69" s="228">
        <v>9113214151</v>
      </c>
      <c r="C69" s="243" t="s">
        <v>438</v>
      </c>
      <c r="D69" s="249"/>
      <c r="E69" s="250"/>
      <c r="F69" s="167">
        <f>E69/E78</f>
        <v>0</v>
      </c>
      <c r="G69" s="251"/>
      <c r="H69" s="252">
        <v>0</v>
      </c>
      <c r="I69" s="250">
        <v>2000</v>
      </c>
      <c r="J69" s="253">
        <f>I69-H69</f>
        <v>2000</v>
      </c>
      <c r="K69" s="168"/>
    </row>
    <row r="70" spans="1:11" s="235" customFormat="1" ht="33" customHeight="1">
      <c r="A70" s="236">
        <v>29</v>
      </c>
      <c r="B70" s="228">
        <v>9113214152</v>
      </c>
      <c r="C70" s="243" t="s">
        <v>439</v>
      </c>
      <c r="D70" s="249"/>
      <c r="E70" s="250"/>
      <c r="F70" s="167">
        <f>E70/E78</f>
        <v>0</v>
      </c>
      <c r="G70" s="251"/>
      <c r="H70" s="252">
        <f>F70+G70</f>
        <v>0</v>
      </c>
      <c r="I70" s="250">
        <v>5000</v>
      </c>
      <c r="J70" s="253">
        <f>I70-H70</f>
        <v>5000</v>
      </c>
      <c r="K70" s="168"/>
    </row>
    <row r="71" spans="1:11" s="235" customFormat="1" ht="30" customHeight="1">
      <c r="A71" s="236">
        <v>30</v>
      </c>
      <c r="B71" s="228">
        <v>9113214153</v>
      </c>
      <c r="C71" s="242" t="s">
        <v>440</v>
      </c>
      <c r="D71" s="249"/>
      <c r="E71" s="250">
        <v>825</v>
      </c>
      <c r="F71" s="167">
        <f>E71/E78</f>
        <v>223.63842317898749</v>
      </c>
      <c r="G71" s="251"/>
      <c r="H71" s="252">
        <f>F71+G71</f>
        <v>223.63842317898749</v>
      </c>
      <c r="I71" s="250">
        <v>5000</v>
      </c>
      <c r="J71" s="253">
        <f>I71-H71</f>
        <v>4776.3615768210129</v>
      </c>
      <c r="K71" s="168">
        <v>18</v>
      </c>
    </row>
    <row r="72" spans="1:11" s="235" customFormat="1" ht="30" customHeight="1">
      <c r="A72" s="236">
        <v>31</v>
      </c>
      <c r="B72" s="228">
        <v>9113214157</v>
      </c>
      <c r="C72" s="242" t="s">
        <v>441</v>
      </c>
      <c r="D72" s="249"/>
      <c r="E72" s="250"/>
      <c r="F72" s="167">
        <f>E72/E78</f>
        <v>0</v>
      </c>
      <c r="G72" s="251"/>
      <c r="H72" s="252">
        <f>F72+G72</f>
        <v>0</v>
      </c>
      <c r="I72" s="250">
        <v>10000</v>
      </c>
      <c r="J72" s="253">
        <f>I72-H72</f>
        <v>10000</v>
      </c>
      <c r="K72" s="168"/>
    </row>
    <row r="73" spans="1:11" s="235" customFormat="1" ht="30" customHeight="1">
      <c r="A73" s="236">
        <v>32</v>
      </c>
      <c r="B73" s="228"/>
      <c r="C73" s="238"/>
      <c r="D73" s="249"/>
      <c r="E73" s="250"/>
      <c r="F73" s="167">
        <f>E73/E78</f>
        <v>0</v>
      </c>
      <c r="G73" s="251"/>
      <c r="H73" s="252">
        <f t="shared" ref="H73:H76" si="12">F73+G73</f>
        <v>0</v>
      </c>
      <c r="I73" s="250"/>
      <c r="J73" s="253">
        <f t="shared" ref="J73:J76" si="13">I73-H73</f>
        <v>0</v>
      </c>
      <c r="K73" s="168"/>
    </row>
    <row r="74" spans="1:11" s="235" customFormat="1" ht="30" customHeight="1">
      <c r="A74" s="234">
        <v>33</v>
      </c>
      <c r="B74" s="228"/>
      <c r="C74" s="238"/>
      <c r="D74" s="249"/>
      <c r="E74" s="250"/>
      <c r="F74" s="167">
        <f>E74/E78</f>
        <v>0</v>
      </c>
      <c r="G74" s="251"/>
      <c r="H74" s="252">
        <f t="shared" si="12"/>
        <v>0</v>
      </c>
      <c r="I74" s="250"/>
      <c r="J74" s="253">
        <f t="shared" si="13"/>
        <v>0</v>
      </c>
      <c r="K74" s="168"/>
    </row>
    <row r="75" spans="1:11" s="235" customFormat="1" ht="30" customHeight="1">
      <c r="A75" s="236">
        <v>34</v>
      </c>
      <c r="B75" s="228"/>
      <c r="C75" s="238"/>
      <c r="D75" s="249"/>
      <c r="E75" s="250"/>
      <c r="F75" s="167">
        <f>E75/E78</f>
        <v>0</v>
      </c>
      <c r="G75" s="251"/>
      <c r="H75" s="252">
        <f t="shared" si="12"/>
        <v>0</v>
      </c>
      <c r="I75" s="250"/>
      <c r="J75" s="253">
        <f t="shared" si="13"/>
        <v>0</v>
      </c>
      <c r="K75" s="168"/>
    </row>
    <row r="76" spans="1:11" s="235" customFormat="1" ht="30" customHeight="1" thickBot="1">
      <c r="A76" s="236">
        <v>35</v>
      </c>
      <c r="B76" s="229"/>
      <c r="C76" s="241"/>
      <c r="D76" s="255"/>
      <c r="E76" s="256"/>
      <c r="F76" s="257">
        <f>E76/E78</f>
        <v>0</v>
      </c>
      <c r="G76" s="258"/>
      <c r="H76" s="259">
        <f t="shared" si="12"/>
        <v>0</v>
      </c>
      <c r="I76" s="256"/>
      <c r="J76" s="260">
        <f t="shared" si="13"/>
        <v>0</v>
      </c>
      <c r="K76" s="169"/>
    </row>
    <row r="77" spans="1:11" ht="27" customHeight="1" thickBot="1">
      <c r="A77" s="489" t="s">
        <v>160</v>
      </c>
      <c r="B77" s="490"/>
      <c r="C77" s="490"/>
      <c r="D77" s="261">
        <f t="shared" ref="D77:G77" si="14">SUM(D42:D75)</f>
        <v>0</v>
      </c>
      <c r="E77" s="262">
        <f t="shared" si="14"/>
        <v>52163</v>
      </c>
      <c r="F77" s="263">
        <f t="shared" si="14"/>
        <v>14140.183113073361</v>
      </c>
      <c r="G77" s="264">
        <f t="shared" si="14"/>
        <v>500</v>
      </c>
      <c r="H77" s="188">
        <f>SUM(H42:H76)</f>
        <v>14640.183113073361</v>
      </c>
      <c r="I77" s="265">
        <f t="shared" ref="I77:J77" si="15">SUM(I42:I75)</f>
        <v>148300</v>
      </c>
      <c r="J77" s="266">
        <f t="shared" si="15"/>
        <v>133659.81688692665</v>
      </c>
      <c r="K77" s="171">
        <f>SUM(K42:K76)</f>
        <v>137</v>
      </c>
    </row>
    <row r="78" spans="1:11" ht="23.25">
      <c r="A78" s="78"/>
      <c r="B78" s="78"/>
      <c r="C78" s="79"/>
      <c r="D78" s="170" t="s">
        <v>165</v>
      </c>
      <c r="E78" s="375">
        <f>تسعير!E34</f>
        <v>3.6889904170881982</v>
      </c>
      <c r="F78" s="80"/>
      <c r="G78" s="476" t="s">
        <v>382</v>
      </c>
      <c r="H78" s="476"/>
      <c r="I78" s="476"/>
      <c r="J78" s="476"/>
      <c r="K78" s="78"/>
    </row>
    <row r="79" spans="1:11" ht="18">
      <c r="A79" s="78"/>
      <c r="B79" s="78"/>
      <c r="C79" s="79" t="s">
        <v>375</v>
      </c>
      <c r="D79" s="80"/>
      <c r="E79" s="80"/>
      <c r="F79" s="80"/>
      <c r="G79" s="476" t="s">
        <v>162</v>
      </c>
      <c r="H79" s="476"/>
      <c r="I79" s="476"/>
      <c r="J79" s="476"/>
      <c r="K79" s="78"/>
    </row>
  </sheetData>
  <mergeCells count="16">
    <mergeCell ref="A77:C77"/>
    <mergeCell ref="G78:J78"/>
    <mergeCell ref="G79:J79"/>
    <mergeCell ref="A37:K39"/>
    <mergeCell ref="A40:A41"/>
    <mergeCell ref="B40:B41"/>
    <mergeCell ref="C40:C41"/>
    <mergeCell ref="K40:K41"/>
    <mergeCell ref="G28:J28"/>
    <mergeCell ref="G29:J29"/>
    <mergeCell ref="A1:K3"/>
    <mergeCell ref="A4:A5"/>
    <mergeCell ref="B4:B5"/>
    <mergeCell ref="C4:C5"/>
    <mergeCell ref="K4:K5"/>
    <mergeCell ref="A27:C27"/>
  </mergeCells>
  <pageMargins left="0.7" right="0.7" top="0.75" bottom="0.75" header="0.3" footer="0.3"/>
  <pageSetup paperSize="9" scale="68"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تسعير</vt:lpstr>
      <vt:lpstr>ريز جاري</vt:lpstr>
      <vt:lpstr>ريز فرهنگي</vt:lpstr>
      <vt:lpstr>حقوق مرکزی ها</vt:lpstr>
      <vt:lpstr>روكش جاري و فرهنگي</vt:lpstr>
      <vt:lpstr>تراز يوروئي و ارزمحل</vt:lpstr>
      <vt:lpstr>تراز تلفيقي</vt:lpstr>
      <vt:lpstr>فهرست وجوه ارسالي</vt:lpstr>
      <vt:lpstr>هزينه و انحراف 2</vt:lpstr>
    </vt:vector>
  </TitlesOfParts>
  <Company>MRT www.Win2Farsi.com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haghani</dc:creator>
  <cp:lastModifiedBy>MRT</cp:lastModifiedBy>
  <cp:lastPrinted>2014-02-22T14:00:49Z</cp:lastPrinted>
  <dcterms:created xsi:type="dcterms:W3CDTF">2012-07-28T13:06:49Z</dcterms:created>
  <dcterms:modified xsi:type="dcterms:W3CDTF">2014-02-23T08:03:00Z</dcterms:modified>
</cp:coreProperties>
</file>