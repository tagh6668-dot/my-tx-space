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45" windowWidth="15135" windowHeight="8130" tabRatio="833" activeTab="4"/>
  </bookViews>
  <sheets>
    <sheet name="تسعير" sheetId="1" r:id="rId1"/>
    <sheet name="ريز جاري" sheetId="5" r:id="rId2"/>
    <sheet name="ريز فرهنگي" sheetId="7" r:id="rId3"/>
    <sheet name="روكش جاري و فرهنگي" sheetId="3" r:id="rId4"/>
    <sheet name="تراز يوروئي و ارزمحل" sheetId="2" r:id="rId5"/>
    <sheet name="تراز تلفيقي" sheetId="4" r:id="rId6"/>
    <sheet name="ریزحقوق کارکنان محلی" sheetId="8" r:id="rId7"/>
    <sheet name="روکش حقوق محلی" sheetId="9" r:id="rId8"/>
    <sheet name="فهرست وجوه ارسالي" sheetId="10" r:id="rId9"/>
    <sheet name="هزينه و انحراف" sheetId="11" r:id="rId10"/>
    <sheet name="هزينه و انحراف 2" sheetId="13" r:id="rId11"/>
  </sheets>
  <calcPr calcId="124519"/>
</workbook>
</file>

<file path=xl/calcChain.xml><?xml version="1.0" encoding="utf-8"?>
<calcChain xmlns="http://schemas.openxmlformats.org/spreadsheetml/2006/main">
  <c r="F26" i="13"/>
  <c r="F25"/>
  <c r="F24"/>
  <c r="F23"/>
  <c r="F22"/>
  <c r="F21"/>
  <c r="F20"/>
  <c r="H20" s="1"/>
  <c r="J20" s="1"/>
  <c r="F19"/>
  <c r="F18"/>
  <c r="F17"/>
  <c r="F16"/>
  <c r="H16" s="1"/>
  <c r="J16" s="1"/>
  <c r="F15"/>
  <c r="F14"/>
  <c r="F13"/>
  <c r="F12"/>
  <c r="F11"/>
  <c r="F10"/>
  <c r="F9"/>
  <c r="F8"/>
  <c r="F7"/>
  <c r="F6"/>
  <c r="H6" s="1"/>
  <c r="H21"/>
  <c r="J21" s="1"/>
  <c r="H19"/>
  <c r="J19" s="1"/>
  <c r="H18"/>
  <c r="J18" s="1"/>
  <c r="H17"/>
  <c r="I17" s="1"/>
  <c r="J17" s="1"/>
  <c r="K27"/>
  <c r="H7"/>
  <c r="J7" s="1"/>
  <c r="H8"/>
  <c r="H9"/>
  <c r="H10"/>
  <c r="H11"/>
  <c r="H12"/>
  <c r="H13"/>
  <c r="H15"/>
  <c r="H22"/>
  <c r="J22" s="1"/>
  <c r="H23"/>
  <c r="H24"/>
  <c r="H25"/>
  <c r="H26"/>
  <c r="J8"/>
  <c r="J9"/>
  <c r="J10"/>
  <c r="J11"/>
  <c r="J12"/>
  <c r="J13"/>
  <c r="J14"/>
  <c r="J15"/>
  <c r="J23"/>
  <c r="J24"/>
  <c r="J25"/>
  <c r="J26"/>
  <c r="G27"/>
  <c r="E27"/>
  <c r="D27"/>
  <c r="C12" i="4"/>
  <c r="B8"/>
  <c r="F8" s="1"/>
  <c r="G20" i="10"/>
  <c r="F20"/>
  <c r="H19"/>
  <c r="H18"/>
  <c r="H17"/>
  <c r="H16"/>
  <c r="H15"/>
  <c r="H14"/>
  <c r="H13"/>
  <c r="H12"/>
  <c r="H11"/>
  <c r="H10"/>
  <c r="H9"/>
  <c r="H8"/>
  <c r="H20" s="1"/>
  <c r="G333" i="8"/>
  <c r="D16" i="9" s="1"/>
  <c r="F333" i="8"/>
  <c r="E333"/>
  <c r="C16" i="9" s="1"/>
  <c r="D333" i="8"/>
  <c r="E16" i="9" s="1"/>
  <c r="G307" i="8"/>
  <c r="D15" i="9" s="1"/>
  <c r="F307" i="8"/>
  <c r="E307"/>
  <c r="C15" i="9" s="1"/>
  <c r="D307" i="8"/>
  <c r="E15" i="9" s="1"/>
  <c r="G281" i="8"/>
  <c r="D14" i="9" s="1"/>
  <c r="F281" i="8"/>
  <c r="E281"/>
  <c r="C14" i="9" s="1"/>
  <c r="D281" i="8"/>
  <c r="E14" i="9" s="1"/>
  <c r="G255" i="8"/>
  <c r="D13" i="9" s="1"/>
  <c r="F255" i="8"/>
  <c r="E255"/>
  <c r="C13" i="9" s="1"/>
  <c r="D255" i="8"/>
  <c r="E13" i="9" s="1"/>
  <c r="G229" i="8"/>
  <c r="D12" i="9" s="1"/>
  <c r="F229" i="8"/>
  <c r="E229"/>
  <c r="C12" i="9" s="1"/>
  <c r="D229" i="8"/>
  <c r="E12" i="9" s="1"/>
  <c r="G203" i="8"/>
  <c r="D11" i="9" s="1"/>
  <c r="F203" i="8"/>
  <c r="E203"/>
  <c r="C11" i="9" s="1"/>
  <c r="D203" i="8"/>
  <c r="E11" i="9" s="1"/>
  <c r="G177" i="8"/>
  <c r="D10" i="9" s="1"/>
  <c r="F177" i="8"/>
  <c r="E177"/>
  <c r="C10" i="9" s="1"/>
  <c r="D177" i="8"/>
  <c r="E10" i="9" s="1"/>
  <c r="G151" i="8"/>
  <c r="D9" i="9" s="1"/>
  <c r="F151" i="8"/>
  <c r="E151"/>
  <c r="C9" i="9" s="1"/>
  <c r="D151" i="8"/>
  <c r="E9" i="9" s="1"/>
  <c r="G125" i="8"/>
  <c r="D8" i="9" s="1"/>
  <c r="F125" i="8"/>
  <c r="E125"/>
  <c r="C8" i="9" s="1"/>
  <c r="D125" i="8"/>
  <c r="E8" i="9" s="1"/>
  <c r="G99" i="8"/>
  <c r="D7" i="9" s="1"/>
  <c r="F99" i="8"/>
  <c r="E99"/>
  <c r="C7" i="9" s="1"/>
  <c r="D99" i="8"/>
  <c r="E7" i="9" s="1"/>
  <c r="G73" i="8"/>
  <c r="D6" i="9" s="1"/>
  <c r="F73" i="8"/>
  <c r="E73"/>
  <c r="C6" i="9" s="1"/>
  <c r="D73" i="8"/>
  <c r="E6" i="9" s="1"/>
  <c r="G47" i="8"/>
  <c r="D5" i="9" s="1"/>
  <c r="F47" i="8"/>
  <c r="E47"/>
  <c r="C5" i="9" s="1"/>
  <c r="D47" i="8"/>
  <c r="E5" i="9" s="1"/>
  <c r="G408" i="7"/>
  <c r="E60" i="3" s="1"/>
  <c r="E408" i="7"/>
  <c r="D60" i="3" s="1"/>
  <c r="G366" i="7"/>
  <c r="E59" i="3" s="1"/>
  <c r="E366" i="7"/>
  <c r="D59" i="3" s="1"/>
  <c r="G324" i="7"/>
  <c r="E58" i="3" s="1"/>
  <c r="E324" i="7"/>
  <c r="D58" i="3" s="1"/>
  <c r="G282" i="7"/>
  <c r="E57" i="3" s="1"/>
  <c r="E282" i="7"/>
  <c r="D57" i="3" s="1"/>
  <c r="G240" i="7"/>
  <c r="E56" i="3" s="1"/>
  <c r="E240" i="7"/>
  <c r="D56" i="3" s="1"/>
  <c r="G198" i="7"/>
  <c r="E55" i="3" s="1"/>
  <c r="E198" i="7"/>
  <c r="G156"/>
  <c r="E54" i="3" s="1"/>
  <c r="E156" i="7"/>
  <c r="G114"/>
  <c r="E53" i="3" s="1"/>
  <c r="E114" i="7"/>
  <c r="G72"/>
  <c r="E52" i="3" s="1"/>
  <c r="E72" i="7"/>
  <c r="D52" i="3" s="1"/>
  <c r="G30" i="7"/>
  <c r="E51" i="3" s="1"/>
  <c r="E30" i="7"/>
  <c r="D51" i="3" s="1"/>
  <c r="E492" i="5"/>
  <c r="D15" i="3" s="1"/>
  <c r="G492" i="5"/>
  <c r="E15" i="3" s="1"/>
  <c r="G450" i="5"/>
  <c r="E14" i="3" s="1"/>
  <c r="E450" i="5"/>
  <c r="D14" i="3" s="1"/>
  <c r="E408" i="5"/>
  <c r="D13" i="3" s="1"/>
  <c r="G408" i="5"/>
  <c r="E13" i="3" s="1"/>
  <c r="G366" i="5"/>
  <c r="E12" i="3" s="1"/>
  <c r="E366" i="5"/>
  <c r="D12" i="3" s="1"/>
  <c r="G324" i="5"/>
  <c r="E11" i="3" s="1"/>
  <c r="E324" i="5"/>
  <c r="D11" i="3" s="1"/>
  <c r="G282" i="5"/>
  <c r="E10" i="3" s="1"/>
  <c r="E282" i="5"/>
  <c r="D10" i="3" s="1"/>
  <c r="G240" i="5"/>
  <c r="E9" i="3" s="1"/>
  <c r="E240" i="5"/>
  <c r="D9" i="3" s="1"/>
  <c r="G198" i="5"/>
  <c r="E8" i="3" s="1"/>
  <c r="E198" i="5"/>
  <c r="D8" i="3" s="1"/>
  <c r="G156" i="5"/>
  <c r="E7" i="3" s="1"/>
  <c r="E156" i="5"/>
  <c r="D7" i="3" s="1"/>
  <c r="G114" i="5"/>
  <c r="E16" i="3" s="1"/>
  <c r="E114" i="5"/>
  <c r="D16" i="3" s="1"/>
  <c r="G72" i="5"/>
  <c r="E6" i="3" s="1"/>
  <c r="E72" i="5"/>
  <c r="D6" i="3" s="1"/>
  <c r="G30" i="5"/>
  <c r="E5" i="3" s="1"/>
  <c r="E30" i="5"/>
  <c r="D5" i="3" s="1"/>
  <c r="F28" i="4"/>
  <c r="F27"/>
  <c r="B18"/>
  <c r="B17"/>
  <c r="B16"/>
  <c r="B15"/>
  <c r="C14"/>
  <c r="B26"/>
  <c r="B25"/>
  <c r="C34"/>
  <c r="C33"/>
  <c r="C31"/>
  <c r="C30"/>
  <c r="G30" s="1"/>
  <c r="B12"/>
  <c r="B7"/>
  <c r="F7" s="1"/>
  <c r="E19" i="1"/>
  <c r="E20"/>
  <c r="E21"/>
  <c r="E22"/>
  <c r="E23"/>
  <c r="E24"/>
  <c r="E25"/>
  <c r="E26"/>
  <c r="E27"/>
  <c r="E28"/>
  <c r="E29"/>
  <c r="E30"/>
  <c r="E31"/>
  <c r="E32"/>
  <c r="E33"/>
  <c r="D34"/>
  <c r="D18" i="2" s="1"/>
  <c r="B19" i="4" s="1"/>
  <c r="F19" s="1"/>
  <c r="F34" i="1"/>
  <c r="E67" i="2" s="1"/>
  <c r="E69" s="1"/>
  <c r="C69"/>
  <c r="B69"/>
  <c r="E31"/>
  <c r="C31"/>
  <c r="B31"/>
  <c r="E13" i="1"/>
  <c r="E14"/>
  <c r="E5"/>
  <c r="E7"/>
  <c r="E8"/>
  <c r="E9"/>
  <c r="E10"/>
  <c r="E11"/>
  <c r="E12"/>
  <c r="E15"/>
  <c r="E16"/>
  <c r="E17"/>
  <c r="E18"/>
  <c r="E6"/>
  <c r="F27" i="13" l="1"/>
  <c r="H27"/>
  <c r="C25" i="9"/>
  <c r="E25"/>
  <c r="D55" i="3"/>
  <c r="D53"/>
  <c r="D54"/>
  <c r="C35" i="4"/>
  <c r="E81" i="3"/>
  <c r="D21" i="2" s="1"/>
  <c r="B23" i="4" s="1"/>
  <c r="D81" i="3"/>
  <c r="D62" i="2" s="1"/>
  <c r="E35" i="3"/>
  <c r="D35"/>
  <c r="D61" i="2" s="1"/>
  <c r="G31" i="4"/>
  <c r="E34" i="1"/>
  <c r="D10" i="4" s="1"/>
  <c r="F10" s="1"/>
  <c r="E36" i="1"/>
  <c r="I27" i="13" l="1"/>
  <c r="J6"/>
  <c r="J27" s="1"/>
  <c r="H319" i="8"/>
  <c r="H267"/>
  <c r="H215"/>
  <c r="H163"/>
  <c r="H111"/>
  <c r="H59"/>
  <c r="H33"/>
  <c r="E3" i="9"/>
  <c r="H293" i="8"/>
  <c r="H241"/>
  <c r="H189"/>
  <c r="H137"/>
  <c r="H85"/>
  <c r="G339" i="7"/>
  <c r="G255"/>
  <c r="G171"/>
  <c r="G87"/>
  <c r="G381"/>
  <c r="G297"/>
  <c r="G213"/>
  <c r="G129"/>
  <c r="F5" i="3"/>
  <c r="G423" i="5"/>
  <c r="G339"/>
  <c r="G255"/>
  <c r="G171"/>
  <c r="G87"/>
  <c r="G3" i="7"/>
  <c r="G45"/>
  <c r="F93" s="1"/>
  <c r="G465" i="5"/>
  <c r="G381"/>
  <c r="G297"/>
  <c r="G213"/>
  <c r="G129"/>
  <c r="G45"/>
  <c r="D69" i="2"/>
  <c r="F79" i="3"/>
  <c r="F75"/>
  <c r="F35" i="1"/>
  <c r="F36" s="1"/>
  <c r="F77" i="3"/>
  <c r="F52"/>
  <c r="F51"/>
  <c r="G3" i="5"/>
  <c r="F80" i="3"/>
  <c r="F78"/>
  <c r="F76"/>
  <c r="F74"/>
  <c r="F53"/>
  <c r="D17" i="4"/>
  <c r="F17" s="1"/>
  <c r="D15"/>
  <c r="F15" s="1"/>
  <c r="E14"/>
  <c r="F7" i="3"/>
  <c r="E33" i="4"/>
  <c r="G33" s="1"/>
  <c r="D26"/>
  <c r="F26" s="1"/>
  <c r="D23"/>
  <c r="F23" s="1"/>
  <c r="D12"/>
  <c r="E45" i="2"/>
  <c r="E12" i="4" s="1"/>
  <c r="D18"/>
  <c r="F18" s="1"/>
  <c r="D16"/>
  <c r="F16" s="1"/>
  <c r="E34"/>
  <c r="G34" s="1"/>
  <c r="E20"/>
  <c r="G20" s="1"/>
  <c r="D25"/>
  <c r="F25" s="1"/>
  <c r="D22"/>
  <c r="D9"/>
  <c r="C3"/>
  <c r="F72" i="3"/>
  <c r="F70"/>
  <c r="F68"/>
  <c r="F66"/>
  <c r="F64"/>
  <c r="F62"/>
  <c r="F60"/>
  <c r="F58"/>
  <c r="F56"/>
  <c r="F20"/>
  <c r="F18"/>
  <c r="F16"/>
  <c r="F73"/>
  <c r="F71"/>
  <c r="F69"/>
  <c r="F67"/>
  <c r="F65"/>
  <c r="F63"/>
  <c r="F61"/>
  <c r="F59"/>
  <c r="F57"/>
  <c r="F55"/>
  <c r="F19"/>
  <c r="F17"/>
  <c r="F54"/>
  <c r="D36" i="1"/>
  <c r="F33" i="3"/>
  <c r="F31"/>
  <c r="F29"/>
  <c r="F27"/>
  <c r="F25"/>
  <c r="F23"/>
  <c r="F21"/>
  <c r="F14"/>
  <c r="F12"/>
  <c r="F10"/>
  <c r="F8"/>
  <c r="F34"/>
  <c r="F32"/>
  <c r="F30"/>
  <c r="F28"/>
  <c r="F26"/>
  <c r="F24"/>
  <c r="F22"/>
  <c r="F15"/>
  <c r="F13"/>
  <c r="F11"/>
  <c r="F9"/>
  <c r="F6"/>
  <c r="F12" i="4" l="1"/>
  <c r="H98" i="8"/>
  <c r="H88"/>
  <c r="H90"/>
  <c r="H92"/>
  <c r="H94"/>
  <c r="H96"/>
  <c r="H87"/>
  <c r="H89"/>
  <c r="H91"/>
  <c r="H93"/>
  <c r="H95"/>
  <c r="H97"/>
  <c r="H202"/>
  <c r="H192"/>
  <c r="H194"/>
  <c r="H196"/>
  <c r="H198"/>
  <c r="H200"/>
  <c r="H191"/>
  <c r="H193"/>
  <c r="H195"/>
  <c r="H197"/>
  <c r="H199"/>
  <c r="H201"/>
  <c r="H306"/>
  <c r="H296"/>
  <c r="H298"/>
  <c r="H300"/>
  <c r="H302"/>
  <c r="H304"/>
  <c r="H295"/>
  <c r="H297"/>
  <c r="H299"/>
  <c r="H301"/>
  <c r="H303"/>
  <c r="H305"/>
  <c r="H46"/>
  <c r="H36"/>
  <c r="H35"/>
  <c r="H43"/>
  <c r="H39"/>
  <c r="H37"/>
  <c r="H44"/>
  <c r="H42"/>
  <c r="H38"/>
  <c r="H40"/>
  <c r="H41"/>
  <c r="H45"/>
  <c r="H124"/>
  <c r="H113"/>
  <c r="H115"/>
  <c r="H117"/>
  <c r="H119"/>
  <c r="H121"/>
  <c r="H123"/>
  <c r="H114"/>
  <c r="H116"/>
  <c r="H118"/>
  <c r="H120"/>
  <c r="H122"/>
  <c r="H228"/>
  <c r="H217"/>
  <c r="H219"/>
  <c r="H221"/>
  <c r="H223"/>
  <c r="H225"/>
  <c r="H227"/>
  <c r="H218"/>
  <c r="H220"/>
  <c r="H222"/>
  <c r="H224"/>
  <c r="H226"/>
  <c r="H332"/>
  <c r="H321"/>
  <c r="H323"/>
  <c r="H325"/>
  <c r="H327"/>
  <c r="H329"/>
  <c r="H331"/>
  <c r="H322"/>
  <c r="H324"/>
  <c r="H326"/>
  <c r="H328"/>
  <c r="H330"/>
  <c r="H150"/>
  <c r="H140"/>
  <c r="H142"/>
  <c r="H144"/>
  <c r="H146"/>
  <c r="H148"/>
  <c r="H139"/>
  <c r="H141"/>
  <c r="H143"/>
  <c r="H145"/>
  <c r="H147"/>
  <c r="H149"/>
  <c r="H254"/>
  <c r="H244"/>
  <c r="H246"/>
  <c r="H248"/>
  <c r="H250"/>
  <c r="H252"/>
  <c r="H243"/>
  <c r="H245"/>
  <c r="H247"/>
  <c r="H249"/>
  <c r="H251"/>
  <c r="H253"/>
  <c r="H72"/>
  <c r="H61"/>
  <c r="H63"/>
  <c r="H65"/>
  <c r="H67"/>
  <c r="H69"/>
  <c r="H71"/>
  <c r="H62"/>
  <c r="H64"/>
  <c r="H66"/>
  <c r="H68"/>
  <c r="H70"/>
  <c r="H176"/>
  <c r="H165"/>
  <c r="H167"/>
  <c r="H169"/>
  <c r="H171"/>
  <c r="H173"/>
  <c r="H175"/>
  <c r="H166"/>
  <c r="H168"/>
  <c r="H170"/>
  <c r="H172"/>
  <c r="H174"/>
  <c r="H280"/>
  <c r="H269"/>
  <c r="H271"/>
  <c r="H273"/>
  <c r="H275"/>
  <c r="H277"/>
  <c r="H279"/>
  <c r="H270"/>
  <c r="H272"/>
  <c r="H274"/>
  <c r="H276"/>
  <c r="H278"/>
  <c r="F406" i="7"/>
  <c r="H406" s="1"/>
  <c r="F404"/>
  <c r="H404" s="1"/>
  <c r="F402"/>
  <c r="H402" s="1"/>
  <c r="F400"/>
  <c r="H400" s="1"/>
  <c r="F398"/>
  <c r="H398" s="1"/>
  <c r="F396"/>
  <c r="H396" s="1"/>
  <c r="F394"/>
  <c r="H394" s="1"/>
  <c r="F392"/>
  <c r="H392" s="1"/>
  <c r="F387"/>
  <c r="H387" s="1"/>
  <c r="F389"/>
  <c r="H389" s="1"/>
  <c r="F386"/>
  <c r="H386" s="1"/>
  <c r="F384"/>
  <c r="H384" s="1"/>
  <c r="F365"/>
  <c r="H365" s="1"/>
  <c r="F363"/>
  <c r="H363" s="1"/>
  <c r="F361"/>
  <c r="H361" s="1"/>
  <c r="F359"/>
  <c r="H359" s="1"/>
  <c r="F357"/>
  <c r="H357" s="1"/>
  <c r="F355"/>
  <c r="H355" s="1"/>
  <c r="F353"/>
  <c r="H353" s="1"/>
  <c r="F351"/>
  <c r="H351" s="1"/>
  <c r="F349"/>
  <c r="H349" s="1"/>
  <c r="F347"/>
  <c r="H347" s="1"/>
  <c r="F345"/>
  <c r="H345" s="1"/>
  <c r="F343"/>
  <c r="H343" s="1"/>
  <c r="F341"/>
  <c r="H341" s="1"/>
  <c r="F322"/>
  <c r="H322" s="1"/>
  <c r="F320"/>
  <c r="H320" s="1"/>
  <c r="F318"/>
  <c r="H318" s="1"/>
  <c r="F316"/>
  <c r="H316" s="1"/>
  <c r="F314"/>
  <c r="H314" s="1"/>
  <c r="F312"/>
  <c r="H312" s="1"/>
  <c r="F310"/>
  <c r="H310" s="1"/>
  <c r="F308"/>
  <c r="H308" s="1"/>
  <c r="F306"/>
  <c r="H306" s="1"/>
  <c r="F304"/>
  <c r="H304" s="1"/>
  <c r="F302"/>
  <c r="H302" s="1"/>
  <c r="F300"/>
  <c r="H300" s="1"/>
  <c r="F281"/>
  <c r="H281" s="1"/>
  <c r="F279"/>
  <c r="H279" s="1"/>
  <c r="F277"/>
  <c r="H277" s="1"/>
  <c r="F275"/>
  <c r="H275" s="1"/>
  <c r="F273"/>
  <c r="H273" s="1"/>
  <c r="F271"/>
  <c r="H271" s="1"/>
  <c r="F269"/>
  <c r="H269" s="1"/>
  <c r="F267"/>
  <c r="H267" s="1"/>
  <c r="F265"/>
  <c r="H265" s="1"/>
  <c r="F263"/>
  <c r="H263" s="1"/>
  <c r="F261"/>
  <c r="H261" s="1"/>
  <c r="F259"/>
  <c r="H259" s="1"/>
  <c r="F257"/>
  <c r="H257" s="1"/>
  <c r="F238"/>
  <c r="H238" s="1"/>
  <c r="F236"/>
  <c r="H236" s="1"/>
  <c r="F234"/>
  <c r="H234" s="1"/>
  <c r="F232"/>
  <c r="H232" s="1"/>
  <c r="F230"/>
  <c r="H230" s="1"/>
  <c r="F228"/>
  <c r="H228" s="1"/>
  <c r="F226"/>
  <c r="H226" s="1"/>
  <c r="F224"/>
  <c r="H224" s="1"/>
  <c r="F222"/>
  <c r="H222" s="1"/>
  <c r="F220"/>
  <c r="H220" s="1"/>
  <c r="F218"/>
  <c r="H218" s="1"/>
  <c r="F216"/>
  <c r="H216" s="1"/>
  <c r="F197"/>
  <c r="H197" s="1"/>
  <c r="F195"/>
  <c r="H195" s="1"/>
  <c r="F193"/>
  <c r="H193" s="1"/>
  <c r="F191"/>
  <c r="H191" s="1"/>
  <c r="F189"/>
  <c r="H189" s="1"/>
  <c r="F187"/>
  <c r="H187" s="1"/>
  <c r="F185"/>
  <c r="H185" s="1"/>
  <c r="F183"/>
  <c r="H183" s="1"/>
  <c r="F181"/>
  <c r="H181" s="1"/>
  <c r="F179"/>
  <c r="H179" s="1"/>
  <c r="F177"/>
  <c r="H177" s="1"/>
  <c r="F175"/>
  <c r="H175" s="1"/>
  <c r="F173"/>
  <c r="H173" s="1"/>
  <c r="F154"/>
  <c r="H154" s="1"/>
  <c r="F152"/>
  <c r="H152" s="1"/>
  <c r="F150"/>
  <c r="H150" s="1"/>
  <c r="F148"/>
  <c r="H148" s="1"/>
  <c r="F146"/>
  <c r="H146" s="1"/>
  <c r="F144"/>
  <c r="H144" s="1"/>
  <c r="F142"/>
  <c r="H142" s="1"/>
  <c r="F140"/>
  <c r="H140" s="1"/>
  <c r="F138"/>
  <c r="H138" s="1"/>
  <c r="F136"/>
  <c r="H136" s="1"/>
  <c r="F134"/>
  <c r="H134" s="1"/>
  <c r="F132"/>
  <c r="H132" s="1"/>
  <c r="F113"/>
  <c r="H113" s="1"/>
  <c r="F111"/>
  <c r="F109"/>
  <c r="H109" s="1"/>
  <c r="F107"/>
  <c r="F105"/>
  <c r="H105" s="1"/>
  <c r="F103"/>
  <c r="F101"/>
  <c r="H101" s="1"/>
  <c r="F99"/>
  <c r="F97"/>
  <c r="F95"/>
  <c r="F91"/>
  <c r="H91" s="1"/>
  <c r="F89"/>
  <c r="F407"/>
  <c r="H407" s="1"/>
  <c r="F405"/>
  <c r="H405" s="1"/>
  <c r="F403"/>
  <c r="H403" s="1"/>
  <c r="F401"/>
  <c r="H401" s="1"/>
  <c r="F399"/>
  <c r="H399" s="1"/>
  <c r="F397"/>
  <c r="H397" s="1"/>
  <c r="F395"/>
  <c r="H395" s="1"/>
  <c r="F393"/>
  <c r="H393" s="1"/>
  <c r="F391"/>
  <c r="H391" s="1"/>
  <c r="F390"/>
  <c r="H390" s="1"/>
  <c r="F388"/>
  <c r="H388" s="1"/>
  <c r="F385"/>
  <c r="H385" s="1"/>
  <c r="F383"/>
  <c r="H383" s="1"/>
  <c r="F364"/>
  <c r="H364" s="1"/>
  <c r="F362"/>
  <c r="H362" s="1"/>
  <c r="F360"/>
  <c r="H360" s="1"/>
  <c r="F358"/>
  <c r="H358" s="1"/>
  <c r="F356"/>
  <c r="H356" s="1"/>
  <c r="F354"/>
  <c r="H354" s="1"/>
  <c r="F352"/>
  <c r="H352" s="1"/>
  <c r="F350"/>
  <c r="H350" s="1"/>
  <c r="F348"/>
  <c r="H348" s="1"/>
  <c r="F346"/>
  <c r="H346" s="1"/>
  <c r="F344"/>
  <c r="H344" s="1"/>
  <c r="F342"/>
  <c r="H342" s="1"/>
  <c r="F323"/>
  <c r="H323" s="1"/>
  <c r="F321"/>
  <c r="H321" s="1"/>
  <c r="F319"/>
  <c r="H319" s="1"/>
  <c r="F317"/>
  <c r="H317" s="1"/>
  <c r="F315"/>
  <c r="H315" s="1"/>
  <c r="F313"/>
  <c r="H313" s="1"/>
  <c r="F311"/>
  <c r="H311" s="1"/>
  <c r="F309"/>
  <c r="H309" s="1"/>
  <c r="F307"/>
  <c r="H307" s="1"/>
  <c r="F305"/>
  <c r="H305" s="1"/>
  <c r="F303"/>
  <c r="H303" s="1"/>
  <c r="F301"/>
  <c r="H301" s="1"/>
  <c r="F299"/>
  <c r="H299" s="1"/>
  <c r="F280"/>
  <c r="H280" s="1"/>
  <c r="F278"/>
  <c r="H278" s="1"/>
  <c r="F276"/>
  <c r="H276" s="1"/>
  <c r="F274"/>
  <c r="H274" s="1"/>
  <c r="F272"/>
  <c r="H272" s="1"/>
  <c r="F270"/>
  <c r="H270" s="1"/>
  <c r="F268"/>
  <c r="H268" s="1"/>
  <c r="F266"/>
  <c r="H266" s="1"/>
  <c r="F264"/>
  <c r="H264" s="1"/>
  <c r="F262"/>
  <c r="H262" s="1"/>
  <c r="F260"/>
  <c r="H260" s="1"/>
  <c r="F258"/>
  <c r="H258" s="1"/>
  <c r="F239"/>
  <c r="H239" s="1"/>
  <c r="F237"/>
  <c r="H237" s="1"/>
  <c r="F235"/>
  <c r="H235" s="1"/>
  <c r="F233"/>
  <c r="H233" s="1"/>
  <c r="F231"/>
  <c r="H231" s="1"/>
  <c r="F229"/>
  <c r="H229" s="1"/>
  <c r="F227"/>
  <c r="H227" s="1"/>
  <c r="F225"/>
  <c r="H225" s="1"/>
  <c r="F223"/>
  <c r="H223" s="1"/>
  <c r="F221"/>
  <c r="H221" s="1"/>
  <c r="F219"/>
  <c r="H219" s="1"/>
  <c r="F217"/>
  <c r="H217" s="1"/>
  <c r="F215"/>
  <c r="H215" s="1"/>
  <c r="F196"/>
  <c r="H196" s="1"/>
  <c r="F194"/>
  <c r="H194" s="1"/>
  <c r="F192"/>
  <c r="H192" s="1"/>
  <c r="F190"/>
  <c r="H190" s="1"/>
  <c r="F188"/>
  <c r="H188" s="1"/>
  <c r="F186"/>
  <c r="H186" s="1"/>
  <c r="F184"/>
  <c r="H184" s="1"/>
  <c r="F182"/>
  <c r="H182" s="1"/>
  <c r="F180"/>
  <c r="H180" s="1"/>
  <c r="F178"/>
  <c r="H178" s="1"/>
  <c r="F176"/>
  <c r="H176" s="1"/>
  <c r="F174"/>
  <c r="H174" s="1"/>
  <c r="F155"/>
  <c r="H155" s="1"/>
  <c r="F153"/>
  <c r="H153" s="1"/>
  <c r="F151"/>
  <c r="H151" s="1"/>
  <c r="F149"/>
  <c r="H149" s="1"/>
  <c r="F147"/>
  <c r="H147" s="1"/>
  <c r="F145"/>
  <c r="H145" s="1"/>
  <c r="F143"/>
  <c r="H143" s="1"/>
  <c r="F141"/>
  <c r="H141" s="1"/>
  <c r="F139"/>
  <c r="H139" s="1"/>
  <c r="F137"/>
  <c r="H137" s="1"/>
  <c r="F135"/>
  <c r="H135" s="1"/>
  <c r="F133"/>
  <c r="H133" s="1"/>
  <c r="F131"/>
  <c r="H131" s="1"/>
  <c r="F112"/>
  <c r="F110"/>
  <c r="H110" s="1"/>
  <c r="F108"/>
  <c r="H108" s="1"/>
  <c r="F106"/>
  <c r="H106" s="1"/>
  <c r="F104"/>
  <c r="H104" s="1"/>
  <c r="F102"/>
  <c r="H102" s="1"/>
  <c r="F100"/>
  <c r="H100" s="1"/>
  <c r="F98"/>
  <c r="H98" s="1"/>
  <c r="F96"/>
  <c r="H96" s="1"/>
  <c r="F94"/>
  <c r="F92"/>
  <c r="H92" s="1"/>
  <c r="F90"/>
  <c r="H90" s="1"/>
  <c r="F198"/>
  <c r="F156"/>
  <c r="F282"/>
  <c r="F366"/>
  <c r="F114"/>
  <c r="F240"/>
  <c r="F324"/>
  <c r="F408"/>
  <c r="H97"/>
  <c r="H95"/>
  <c r="H93"/>
  <c r="H89"/>
  <c r="H112"/>
  <c r="H111"/>
  <c r="H107"/>
  <c r="H103"/>
  <c r="H99"/>
  <c r="H94"/>
  <c r="F71"/>
  <c r="H71" s="1"/>
  <c r="F69"/>
  <c r="H69" s="1"/>
  <c r="F67"/>
  <c r="H67" s="1"/>
  <c r="F65"/>
  <c r="H65" s="1"/>
  <c r="F63"/>
  <c r="H63" s="1"/>
  <c r="F61"/>
  <c r="H61" s="1"/>
  <c r="F59"/>
  <c r="H59" s="1"/>
  <c r="F57"/>
  <c r="H57" s="1"/>
  <c r="F55"/>
  <c r="H55" s="1"/>
  <c r="F53"/>
  <c r="H53" s="1"/>
  <c r="F51"/>
  <c r="H51" s="1"/>
  <c r="F49"/>
  <c r="H49" s="1"/>
  <c r="F47"/>
  <c r="H47" s="1"/>
  <c r="F29"/>
  <c r="H29" s="1"/>
  <c r="F27"/>
  <c r="H27" s="1"/>
  <c r="F25"/>
  <c r="H25" s="1"/>
  <c r="F23"/>
  <c r="H23" s="1"/>
  <c r="F21"/>
  <c r="H21" s="1"/>
  <c r="F19"/>
  <c r="H19" s="1"/>
  <c r="F17"/>
  <c r="H17" s="1"/>
  <c r="F15"/>
  <c r="H15" s="1"/>
  <c r="F13"/>
  <c r="H13" s="1"/>
  <c r="F11"/>
  <c r="H11" s="1"/>
  <c r="F9"/>
  <c r="H9" s="1"/>
  <c r="F7"/>
  <c r="H7" s="1"/>
  <c r="F5"/>
  <c r="H5" s="1"/>
  <c r="F70"/>
  <c r="H70" s="1"/>
  <c r="F68"/>
  <c r="H68" s="1"/>
  <c r="F66"/>
  <c r="H66" s="1"/>
  <c r="F64"/>
  <c r="H64" s="1"/>
  <c r="F62"/>
  <c r="H62" s="1"/>
  <c r="F60"/>
  <c r="H60" s="1"/>
  <c r="F58"/>
  <c r="H58" s="1"/>
  <c r="F56"/>
  <c r="H56" s="1"/>
  <c r="F54"/>
  <c r="H54" s="1"/>
  <c r="F52"/>
  <c r="H52" s="1"/>
  <c r="F50"/>
  <c r="H50" s="1"/>
  <c r="F48"/>
  <c r="H48" s="1"/>
  <c r="F28"/>
  <c r="H28" s="1"/>
  <c r="F26"/>
  <c r="H26" s="1"/>
  <c r="F24"/>
  <c r="H24" s="1"/>
  <c r="F22"/>
  <c r="H22" s="1"/>
  <c r="F20"/>
  <c r="H20" s="1"/>
  <c r="F18"/>
  <c r="H18" s="1"/>
  <c r="F16"/>
  <c r="H16" s="1"/>
  <c r="F14"/>
  <c r="H14" s="1"/>
  <c r="F12"/>
  <c r="H12" s="1"/>
  <c r="F10"/>
  <c r="H10" s="1"/>
  <c r="F8"/>
  <c r="H8" s="1"/>
  <c r="F6"/>
  <c r="H6" s="1"/>
  <c r="F72"/>
  <c r="F30"/>
  <c r="D22" i="2"/>
  <c r="B24" i="4" s="1"/>
  <c r="D20" i="2"/>
  <c r="B22" i="4" s="1"/>
  <c r="F22" s="1"/>
  <c r="F492" i="5"/>
  <c r="F490"/>
  <c r="H490" s="1"/>
  <c r="F488"/>
  <c r="H488" s="1"/>
  <c r="F486"/>
  <c r="H486" s="1"/>
  <c r="F484"/>
  <c r="H484" s="1"/>
  <c r="F482"/>
  <c r="H482" s="1"/>
  <c r="F480"/>
  <c r="H480" s="1"/>
  <c r="F478"/>
  <c r="H478" s="1"/>
  <c r="F476"/>
  <c r="H476" s="1"/>
  <c r="F474"/>
  <c r="H474" s="1"/>
  <c r="F472"/>
  <c r="H472" s="1"/>
  <c r="F470"/>
  <c r="H470" s="1"/>
  <c r="F468"/>
  <c r="H468" s="1"/>
  <c r="F448"/>
  <c r="H448" s="1"/>
  <c r="F446"/>
  <c r="H446" s="1"/>
  <c r="F444"/>
  <c r="H444" s="1"/>
  <c r="F442"/>
  <c r="H442" s="1"/>
  <c r="F440"/>
  <c r="H440" s="1"/>
  <c r="F438"/>
  <c r="H438" s="1"/>
  <c r="F436"/>
  <c r="H436" s="1"/>
  <c r="F434"/>
  <c r="H434" s="1"/>
  <c r="F432"/>
  <c r="H432" s="1"/>
  <c r="F430"/>
  <c r="H430" s="1"/>
  <c r="F428"/>
  <c r="H428" s="1"/>
  <c r="F426"/>
  <c r="H426" s="1"/>
  <c r="F408"/>
  <c r="F406"/>
  <c r="H406" s="1"/>
  <c r="F404"/>
  <c r="H404" s="1"/>
  <c r="F402"/>
  <c r="H402" s="1"/>
  <c r="F400"/>
  <c r="H400" s="1"/>
  <c r="F398"/>
  <c r="H398" s="1"/>
  <c r="F396"/>
  <c r="H396" s="1"/>
  <c r="F394"/>
  <c r="H394" s="1"/>
  <c r="F392"/>
  <c r="H392" s="1"/>
  <c r="F390"/>
  <c r="H390" s="1"/>
  <c r="F388"/>
  <c r="H388" s="1"/>
  <c r="F386"/>
  <c r="H386" s="1"/>
  <c r="F384"/>
  <c r="H384" s="1"/>
  <c r="F366"/>
  <c r="F364"/>
  <c r="H364" s="1"/>
  <c r="F362"/>
  <c r="H362" s="1"/>
  <c r="F360"/>
  <c r="H360" s="1"/>
  <c r="F358"/>
  <c r="H358" s="1"/>
  <c r="F356"/>
  <c r="H356" s="1"/>
  <c r="F354"/>
  <c r="H354" s="1"/>
  <c r="F352"/>
  <c r="H352" s="1"/>
  <c r="F350"/>
  <c r="H350" s="1"/>
  <c r="F348"/>
  <c r="H348" s="1"/>
  <c r="F346"/>
  <c r="H346" s="1"/>
  <c r="F344"/>
  <c r="H344" s="1"/>
  <c r="F342"/>
  <c r="H342" s="1"/>
  <c r="F324"/>
  <c r="F322"/>
  <c r="H322" s="1"/>
  <c r="F320"/>
  <c r="H320" s="1"/>
  <c r="F318"/>
  <c r="H318" s="1"/>
  <c r="F316"/>
  <c r="H316" s="1"/>
  <c r="F314"/>
  <c r="H314" s="1"/>
  <c r="F312"/>
  <c r="H312" s="1"/>
  <c r="F310"/>
  <c r="H310" s="1"/>
  <c r="F308"/>
  <c r="H308" s="1"/>
  <c r="F306"/>
  <c r="H306" s="1"/>
  <c r="F304"/>
  <c r="H304" s="1"/>
  <c r="F302"/>
  <c r="H302" s="1"/>
  <c r="F300"/>
  <c r="H300" s="1"/>
  <c r="F282"/>
  <c r="F280"/>
  <c r="H280" s="1"/>
  <c r="F278"/>
  <c r="H278" s="1"/>
  <c r="F276"/>
  <c r="H276" s="1"/>
  <c r="F274"/>
  <c r="H274" s="1"/>
  <c r="F272"/>
  <c r="H272" s="1"/>
  <c r="F270"/>
  <c r="H270" s="1"/>
  <c r="F268"/>
  <c r="H268" s="1"/>
  <c r="F266"/>
  <c r="H266" s="1"/>
  <c r="F264"/>
  <c r="H264" s="1"/>
  <c r="F262"/>
  <c r="H262" s="1"/>
  <c r="F260"/>
  <c r="H260" s="1"/>
  <c r="F258"/>
  <c r="H258" s="1"/>
  <c r="F240"/>
  <c r="F238"/>
  <c r="H238" s="1"/>
  <c r="F236"/>
  <c r="H236" s="1"/>
  <c r="F234"/>
  <c r="H234" s="1"/>
  <c r="F232"/>
  <c r="H232" s="1"/>
  <c r="F230"/>
  <c r="H230" s="1"/>
  <c r="F228"/>
  <c r="H228" s="1"/>
  <c r="F226"/>
  <c r="H226" s="1"/>
  <c r="F224"/>
  <c r="H224" s="1"/>
  <c r="F222"/>
  <c r="H222" s="1"/>
  <c r="F220"/>
  <c r="H220" s="1"/>
  <c r="F218"/>
  <c r="H218" s="1"/>
  <c r="F216"/>
  <c r="H216" s="1"/>
  <c r="F198"/>
  <c r="F196"/>
  <c r="H196" s="1"/>
  <c r="F194"/>
  <c r="H194" s="1"/>
  <c r="F192"/>
  <c r="H192" s="1"/>
  <c r="F190"/>
  <c r="H190" s="1"/>
  <c r="F188"/>
  <c r="H188" s="1"/>
  <c r="F186"/>
  <c r="H186" s="1"/>
  <c r="F184"/>
  <c r="H184" s="1"/>
  <c r="F182"/>
  <c r="H182" s="1"/>
  <c r="F180"/>
  <c r="H180" s="1"/>
  <c r="F178"/>
  <c r="H178" s="1"/>
  <c r="F176"/>
  <c r="H176" s="1"/>
  <c r="F174"/>
  <c r="H174" s="1"/>
  <c r="F156"/>
  <c r="F154"/>
  <c r="H154" s="1"/>
  <c r="F153"/>
  <c r="H153" s="1"/>
  <c r="F150"/>
  <c r="H150" s="1"/>
  <c r="F148"/>
  <c r="H148" s="1"/>
  <c r="F146"/>
  <c r="H146" s="1"/>
  <c r="F144"/>
  <c r="H144" s="1"/>
  <c r="F142"/>
  <c r="H142" s="1"/>
  <c r="F140"/>
  <c r="H140" s="1"/>
  <c r="F138"/>
  <c r="H138" s="1"/>
  <c r="F136"/>
  <c r="H136" s="1"/>
  <c r="F134"/>
  <c r="H134" s="1"/>
  <c r="F132"/>
  <c r="H132" s="1"/>
  <c r="F114"/>
  <c r="F112"/>
  <c r="H112" s="1"/>
  <c r="F110"/>
  <c r="H110" s="1"/>
  <c r="F108"/>
  <c r="H108" s="1"/>
  <c r="F106"/>
  <c r="H106" s="1"/>
  <c r="F104"/>
  <c r="H104" s="1"/>
  <c r="F102"/>
  <c r="H102" s="1"/>
  <c r="F100"/>
  <c r="H100" s="1"/>
  <c r="F98"/>
  <c r="H98" s="1"/>
  <c r="F96"/>
  <c r="H96" s="1"/>
  <c r="F94"/>
  <c r="H94" s="1"/>
  <c r="F92"/>
  <c r="H92" s="1"/>
  <c r="F491"/>
  <c r="H491" s="1"/>
  <c r="F489"/>
  <c r="H489" s="1"/>
  <c r="F487"/>
  <c r="H487" s="1"/>
  <c r="F485"/>
  <c r="H485" s="1"/>
  <c r="F483"/>
  <c r="H483" s="1"/>
  <c r="F481"/>
  <c r="H481" s="1"/>
  <c r="F479"/>
  <c r="H479" s="1"/>
  <c r="F477"/>
  <c r="H477" s="1"/>
  <c r="F475"/>
  <c r="H475" s="1"/>
  <c r="F473"/>
  <c r="H473" s="1"/>
  <c r="F471"/>
  <c r="H471" s="1"/>
  <c r="F469"/>
  <c r="H469" s="1"/>
  <c r="F467"/>
  <c r="H467" s="1"/>
  <c r="F449"/>
  <c r="H449" s="1"/>
  <c r="F447"/>
  <c r="H447" s="1"/>
  <c r="F445"/>
  <c r="H445" s="1"/>
  <c r="F443"/>
  <c r="H443" s="1"/>
  <c r="F441"/>
  <c r="H441" s="1"/>
  <c r="F439"/>
  <c r="H439" s="1"/>
  <c r="F437"/>
  <c r="H437" s="1"/>
  <c r="F435"/>
  <c r="H435" s="1"/>
  <c r="F433"/>
  <c r="H433" s="1"/>
  <c r="F431"/>
  <c r="H431" s="1"/>
  <c r="F429"/>
  <c r="H429" s="1"/>
  <c r="F427"/>
  <c r="H427" s="1"/>
  <c r="F425"/>
  <c r="H425" s="1"/>
  <c r="F407"/>
  <c r="H407" s="1"/>
  <c r="F405"/>
  <c r="H405" s="1"/>
  <c r="F403"/>
  <c r="H403" s="1"/>
  <c r="F401"/>
  <c r="H401" s="1"/>
  <c r="F399"/>
  <c r="H399" s="1"/>
  <c r="F397"/>
  <c r="H397" s="1"/>
  <c r="F395"/>
  <c r="H395" s="1"/>
  <c r="F393"/>
  <c r="H393" s="1"/>
  <c r="F391"/>
  <c r="H391" s="1"/>
  <c r="F389"/>
  <c r="H389" s="1"/>
  <c r="F387"/>
  <c r="H387" s="1"/>
  <c r="F385"/>
  <c r="H385" s="1"/>
  <c r="F383"/>
  <c r="H383" s="1"/>
  <c r="F365"/>
  <c r="H365" s="1"/>
  <c r="F363"/>
  <c r="H363" s="1"/>
  <c r="F361"/>
  <c r="H361" s="1"/>
  <c r="F359"/>
  <c r="H359" s="1"/>
  <c r="F357"/>
  <c r="H357" s="1"/>
  <c r="F355"/>
  <c r="H355" s="1"/>
  <c r="F353"/>
  <c r="H353" s="1"/>
  <c r="F351"/>
  <c r="H351" s="1"/>
  <c r="F349"/>
  <c r="H349" s="1"/>
  <c r="F347"/>
  <c r="H347" s="1"/>
  <c r="F345"/>
  <c r="H345" s="1"/>
  <c r="F343"/>
  <c r="H343" s="1"/>
  <c r="F341"/>
  <c r="H341" s="1"/>
  <c r="F323"/>
  <c r="H323" s="1"/>
  <c r="F321"/>
  <c r="H321" s="1"/>
  <c r="F319"/>
  <c r="H319" s="1"/>
  <c r="F317"/>
  <c r="H317" s="1"/>
  <c r="F315"/>
  <c r="H315" s="1"/>
  <c r="F313"/>
  <c r="H313" s="1"/>
  <c r="F311"/>
  <c r="H311" s="1"/>
  <c r="F309"/>
  <c r="H309" s="1"/>
  <c r="F307"/>
  <c r="H307" s="1"/>
  <c r="F305"/>
  <c r="H305" s="1"/>
  <c r="F303"/>
  <c r="H303" s="1"/>
  <c r="F301"/>
  <c r="H301" s="1"/>
  <c r="F299"/>
  <c r="H299" s="1"/>
  <c r="F281"/>
  <c r="H281" s="1"/>
  <c r="F279"/>
  <c r="H279" s="1"/>
  <c r="F277"/>
  <c r="H277" s="1"/>
  <c r="F275"/>
  <c r="H275" s="1"/>
  <c r="F273"/>
  <c r="H273" s="1"/>
  <c r="F271"/>
  <c r="H271" s="1"/>
  <c r="F269"/>
  <c r="H269" s="1"/>
  <c r="F267"/>
  <c r="H267" s="1"/>
  <c r="F265"/>
  <c r="H265" s="1"/>
  <c r="F263"/>
  <c r="H263" s="1"/>
  <c r="F261"/>
  <c r="H261" s="1"/>
  <c r="F259"/>
  <c r="H259" s="1"/>
  <c r="F257"/>
  <c r="H257" s="1"/>
  <c r="F239"/>
  <c r="H239" s="1"/>
  <c r="F237"/>
  <c r="H237" s="1"/>
  <c r="F235"/>
  <c r="H235" s="1"/>
  <c r="F233"/>
  <c r="H233" s="1"/>
  <c r="F231"/>
  <c r="H231" s="1"/>
  <c r="F229"/>
  <c r="H229" s="1"/>
  <c r="F227"/>
  <c r="H227" s="1"/>
  <c r="F225"/>
  <c r="H225" s="1"/>
  <c r="F223"/>
  <c r="H223" s="1"/>
  <c r="F221"/>
  <c r="H221" s="1"/>
  <c r="F219"/>
  <c r="H219" s="1"/>
  <c r="F217"/>
  <c r="H217" s="1"/>
  <c r="F215"/>
  <c r="H215" s="1"/>
  <c r="F197"/>
  <c r="H197" s="1"/>
  <c r="F195"/>
  <c r="H195" s="1"/>
  <c r="F193"/>
  <c r="H193" s="1"/>
  <c r="F191"/>
  <c r="H191" s="1"/>
  <c r="F189"/>
  <c r="H189" s="1"/>
  <c r="F187"/>
  <c r="H187" s="1"/>
  <c r="F185"/>
  <c r="H185" s="1"/>
  <c r="F183"/>
  <c r="H183" s="1"/>
  <c r="F181"/>
  <c r="H181" s="1"/>
  <c r="F179"/>
  <c r="H179" s="1"/>
  <c r="F177"/>
  <c r="H177" s="1"/>
  <c r="F175"/>
  <c r="H175" s="1"/>
  <c r="F173"/>
  <c r="H173" s="1"/>
  <c r="F155"/>
  <c r="H155" s="1"/>
  <c r="F152"/>
  <c r="H152" s="1"/>
  <c r="F151"/>
  <c r="H151" s="1"/>
  <c r="F149"/>
  <c r="H149" s="1"/>
  <c r="F147"/>
  <c r="H147" s="1"/>
  <c r="F145"/>
  <c r="H145" s="1"/>
  <c r="F143"/>
  <c r="H143" s="1"/>
  <c r="F141"/>
  <c r="H141" s="1"/>
  <c r="F139"/>
  <c r="H139" s="1"/>
  <c r="F137"/>
  <c r="H137" s="1"/>
  <c r="F135"/>
  <c r="H135" s="1"/>
  <c r="F133"/>
  <c r="H133" s="1"/>
  <c r="F131"/>
  <c r="H131" s="1"/>
  <c r="F113"/>
  <c r="H113" s="1"/>
  <c r="F111"/>
  <c r="H111" s="1"/>
  <c r="F109"/>
  <c r="H109" s="1"/>
  <c r="F107"/>
  <c r="H107" s="1"/>
  <c r="F105"/>
  <c r="H105" s="1"/>
  <c r="F103"/>
  <c r="H103" s="1"/>
  <c r="F101"/>
  <c r="H101" s="1"/>
  <c r="F99"/>
  <c r="H99" s="1"/>
  <c r="F97"/>
  <c r="H97" s="1"/>
  <c r="F93"/>
  <c r="H93" s="1"/>
  <c r="F90"/>
  <c r="H90" s="1"/>
  <c r="F72"/>
  <c r="F71"/>
  <c r="H71" s="1"/>
  <c r="F68"/>
  <c r="H68" s="1"/>
  <c r="F66"/>
  <c r="H66" s="1"/>
  <c r="F64"/>
  <c r="H64" s="1"/>
  <c r="F62"/>
  <c r="H62" s="1"/>
  <c r="F60"/>
  <c r="H60" s="1"/>
  <c r="F58"/>
  <c r="H58" s="1"/>
  <c r="F56"/>
  <c r="H56" s="1"/>
  <c r="F54"/>
  <c r="H54" s="1"/>
  <c r="F52"/>
  <c r="H52" s="1"/>
  <c r="F50"/>
  <c r="H50" s="1"/>
  <c r="F48"/>
  <c r="H48" s="1"/>
  <c r="F29"/>
  <c r="H29" s="1"/>
  <c r="F27"/>
  <c r="H27" s="1"/>
  <c r="F25"/>
  <c r="H25" s="1"/>
  <c r="F23"/>
  <c r="H23" s="1"/>
  <c r="F21"/>
  <c r="H21" s="1"/>
  <c r="F19"/>
  <c r="H19" s="1"/>
  <c r="F17"/>
  <c r="H17" s="1"/>
  <c r="F15"/>
  <c r="H15" s="1"/>
  <c r="F13"/>
  <c r="H13" s="1"/>
  <c r="F11"/>
  <c r="H11" s="1"/>
  <c r="F9"/>
  <c r="H9" s="1"/>
  <c r="F6"/>
  <c r="H6" s="1"/>
  <c r="F5"/>
  <c r="H5" s="1"/>
  <c r="F95"/>
  <c r="H95" s="1"/>
  <c r="F91"/>
  <c r="H91" s="1"/>
  <c r="F89"/>
  <c r="H89" s="1"/>
  <c r="F70"/>
  <c r="H70" s="1"/>
  <c r="F69"/>
  <c r="H69" s="1"/>
  <c r="F67"/>
  <c r="H67" s="1"/>
  <c r="F65"/>
  <c r="H65" s="1"/>
  <c r="F63"/>
  <c r="H63" s="1"/>
  <c r="F61"/>
  <c r="H61" s="1"/>
  <c r="F59"/>
  <c r="H59" s="1"/>
  <c r="F57"/>
  <c r="H57" s="1"/>
  <c r="F55"/>
  <c r="H55" s="1"/>
  <c r="F53"/>
  <c r="H53" s="1"/>
  <c r="F51"/>
  <c r="H51" s="1"/>
  <c r="F49"/>
  <c r="H49" s="1"/>
  <c r="F47"/>
  <c r="H47" s="1"/>
  <c r="F30"/>
  <c r="F28"/>
  <c r="H28" s="1"/>
  <c r="F26"/>
  <c r="H26" s="1"/>
  <c r="F24"/>
  <c r="H24" s="1"/>
  <c r="F22"/>
  <c r="H22" s="1"/>
  <c r="F20"/>
  <c r="H20" s="1"/>
  <c r="F18"/>
  <c r="H18" s="1"/>
  <c r="F16"/>
  <c r="H16" s="1"/>
  <c r="F14"/>
  <c r="H14" s="1"/>
  <c r="F12"/>
  <c r="H12" s="1"/>
  <c r="F10"/>
  <c r="H10" s="1"/>
  <c r="F8"/>
  <c r="H8" s="1"/>
  <c r="F7"/>
  <c r="H7" s="1"/>
  <c r="F450"/>
  <c r="F81" i="3"/>
  <c r="G14" i="4"/>
  <c r="G35" s="1"/>
  <c r="E35"/>
  <c r="F9"/>
  <c r="D35"/>
  <c r="F35" i="3"/>
  <c r="F24" i="4" l="1"/>
  <c r="B35"/>
  <c r="H255" i="8"/>
  <c r="F13" i="9" s="1"/>
  <c r="H151" i="8"/>
  <c r="F9" i="9" s="1"/>
  <c r="H307" i="8"/>
  <c r="F15" i="9" s="1"/>
  <c r="H203" i="8"/>
  <c r="F11" i="9" s="1"/>
  <c r="H99" i="8"/>
  <c r="F7" i="9" s="1"/>
  <c r="H156" i="7"/>
  <c r="H324"/>
  <c r="H281" i="8"/>
  <c r="F14" i="9" s="1"/>
  <c r="H177" i="8"/>
  <c r="F10" i="9" s="1"/>
  <c r="H73" i="8"/>
  <c r="F6" i="9" s="1"/>
  <c r="H333" i="8"/>
  <c r="F16" i="9" s="1"/>
  <c r="H229" i="8"/>
  <c r="F12" i="9" s="1"/>
  <c r="H125" i="8"/>
  <c r="F8" i="9" s="1"/>
  <c r="H47" i="8"/>
  <c r="F5" i="9" s="1"/>
  <c r="H198" i="7"/>
  <c r="H366"/>
  <c r="H240"/>
  <c r="H408"/>
  <c r="H282"/>
  <c r="H114"/>
  <c r="H72"/>
  <c r="H30"/>
  <c r="H156" i="5"/>
  <c r="H240"/>
  <c r="H324"/>
  <c r="H408"/>
  <c r="H114"/>
  <c r="H492"/>
  <c r="H72"/>
  <c r="H30"/>
  <c r="H198"/>
  <c r="H282"/>
  <c r="H366"/>
  <c r="H450"/>
  <c r="F35" i="4"/>
  <c r="D31" i="2"/>
  <c r="D25" i="9"/>
  <c r="D26" s="1"/>
  <c r="F25" l="1"/>
  <c r="F26" s="1"/>
</calcChain>
</file>

<file path=xl/comments1.xml><?xml version="1.0" encoding="utf-8"?>
<comments xmlns="http://schemas.openxmlformats.org/spreadsheetml/2006/main">
  <authors>
    <author>haghani</author>
  </authors>
  <commentList>
    <comment ref="E5" authorId="0">
      <text>
        <r>
          <rPr>
            <b/>
            <sz val="11"/>
            <color indexed="81"/>
            <rFont val="Calibri"/>
            <family val="2"/>
            <scheme val="minor"/>
          </rPr>
          <t>1- در اين قسمت مبلغ تبديلي (چنج پول) تقسيم بر دلار يا يوروي پرداختي به صرافي مي شود . مثلأ100 دلار يا يورو داديم و 1500 لير تركيه گرفتيم  . 
پس 1500 تقسيم بر 100 دلار يا يورو  ميشود 15 كه نرج تسعير مي باشد . 
2- اگر نرخ تسعير را بانك داده بود- نرخ تسعير جمع يا تكي - نرخ تسعير را ضربدر مبلغ يورو يا دلار  ميكنيم تا مبلغ ارز محل كه دريافت شده در بيايد .</t>
        </r>
        <r>
          <rPr>
            <b/>
            <sz val="8"/>
            <color indexed="81"/>
            <rFont val="Tahoma"/>
            <family val="2"/>
          </rPr>
          <t xml:space="preserve">
</t>
        </r>
      </text>
    </comment>
  </commentList>
</comments>
</file>

<file path=xl/comments2.xml><?xml version="1.0" encoding="utf-8"?>
<comments xmlns="http://schemas.openxmlformats.org/spreadsheetml/2006/main">
  <authors>
    <author>user</author>
    <author>haghani</author>
    <author>4280500053</author>
  </authors>
  <commentList>
    <comment ref="B8" authorId="0">
      <text>
        <r>
          <rPr>
            <b/>
            <sz val="8"/>
            <color indexed="81"/>
            <rFont val="Tahoma"/>
            <charset val="178"/>
          </rPr>
          <t>در این قسمت جمع موارد واریزی(دریافتی ها) به بانک را از تاریخ مشخص درج می کنیم.  
تذکر: موجودی اول دوره بانک در اين قسمت (یعنی بدهکار) قرار می گیرد.</t>
        </r>
      </text>
    </comment>
    <comment ref="C8" authorId="0">
      <text>
        <r>
          <rPr>
            <b/>
            <sz val="8"/>
            <color indexed="81"/>
            <rFont val="Tahoma"/>
            <charset val="178"/>
          </rPr>
          <t>در این قسمت جمع خروجی ها(پرداختی ها یا برداشتی ها) از بانک را (از تاریخ مشخص)درج می کنیم .</t>
        </r>
      </text>
    </comment>
    <comment ref="D8" authorId="0">
      <text>
        <r>
          <rPr>
            <b/>
            <sz val="8"/>
            <color indexed="81"/>
            <rFont val="Tahoma"/>
            <charset val="178"/>
          </rPr>
          <t xml:space="preserve">در این قسمت حاصل تفریق بدهکار با بستانکار را درج می کنیم . یعنی موجودی (آخر ين موجودي بانك)حساب بانکی را درج می کنیم. ( این قسمت یعنی مانده آخر تاریخ اعلامی می باشدکه ماهیت بدهکاری را داراست) . </t>
        </r>
      </text>
    </comment>
    <comment ref="D11" authorId="1">
      <text>
        <r>
          <rPr>
            <b/>
            <sz val="11"/>
            <color indexed="81"/>
            <rFont val="Calibri"/>
            <family val="2"/>
            <scheme val="minor"/>
          </rPr>
          <t xml:space="preserve">اين قسمت را در آخر بررسي ميكنيم. </t>
        </r>
      </text>
    </comment>
    <comment ref="E13" authorId="2">
      <text>
        <r>
          <rPr>
            <b/>
            <sz val="11"/>
            <color indexed="81"/>
            <rFont val="Calibri"/>
            <family val="2"/>
            <scheme val="minor"/>
          </rPr>
          <t xml:space="preserve">اگر كسي از ما طلبي داشته باشد در بستانكار مي شيند .حال بايستي بالانس بشود با بدهكاري در اينجا يك سرفصل جدا باز ميشود به اسم تعهدات پرداخت نشده (مثلأ به يك نفر كتابي داده ايم ترجمه كند يك قراردادي نوشته شده به مبلغ 100 تومان .اين مبلغ قرارداد در بستانكار مي نشيند و براي بالانس شدن اگر و يا چون پولي پرداخت نشده در يك سرفصل جدا نوشته ميشود تعهدات پرداخت نشده و در بدهكاران مي نشينيد مبلغ 100 تومان ) </t>
        </r>
      </text>
    </comment>
    <comment ref="E26" authorId="2">
      <text>
        <r>
          <rPr>
            <b/>
            <sz val="11"/>
            <color indexed="81"/>
            <rFont val="Calibri"/>
            <family val="2"/>
            <scheme val="minor"/>
          </rPr>
          <t xml:space="preserve">ماهيت بدهكاري و بستانكاري:
كسي كه مالي را ميدهد ميشود بستانكار
كسي هم كه مالي را مي گيرد بدهكار 
حال در اينجا چون مركز، مبلغي را داده است مي شود بستانكار
رايزني هم گيرنده است ميشود بدهكار </t>
        </r>
      </text>
    </comment>
    <comment ref="E29" authorId="0">
      <text>
        <r>
          <rPr>
            <b/>
            <sz val="8"/>
            <color indexed="81"/>
            <rFont val="Tahoma"/>
            <charset val="178"/>
          </rPr>
          <t xml:space="preserve">در این قسمت حاصل جمع مانده موجودی صندوق(تغيير و تحول هم شامل ميشود يعني يك پولي ميخواهد وارد سيستم هزينه شود) و بانک درج می شود . یعنی مانده اول تاریخ اعلامی (اول تاریخ شروع حسابرسی) می باشد که در بستانکار قرار می گیرد تا وارد سیستم مصرف شود </t>
        </r>
      </text>
    </comment>
    <comment ref="B50" authorId="0">
      <text>
        <r>
          <rPr>
            <b/>
            <sz val="8"/>
            <color indexed="81"/>
            <rFont val="Tahoma"/>
            <charset val="178"/>
          </rPr>
          <t>در این قسمت جمع موارد واریزی(دریافتی ها) به بانک را از تاریخ مشخص درج می کنیم.  
تذکر: موجودی اول دوره بانک در اين قسمت (یعنی بدهکار) قرار می گیرد.</t>
        </r>
      </text>
    </comment>
    <comment ref="C50" authorId="0">
      <text>
        <r>
          <rPr>
            <b/>
            <sz val="8"/>
            <color indexed="81"/>
            <rFont val="Tahoma"/>
            <charset val="178"/>
          </rPr>
          <t>در این قسمت جمع خروجی ها(پرداختی ها یا برداشتی ها) از بانک را (از تاریخ مشخص)درج می کنیم .</t>
        </r>
      </text>
    </comment>
    <comment ref="D50" authorId="0">
      <text>
        <r>
          <rPr>
            <b/>
            <sz val="8"/>
            <color indexed="81"/>
            <rFont val="Tahoma"/>
            <charset val="178"/>
          </rPr>
          <t>در این قسمت حاصل تفریق بدهکار با بستانکار را درج می کنیم . یعنی موجودی (آخرين موجودي بانك)حساب بانکی را درج می کنیم. ( این قسمت یعنی مانده آخر ين تاریخ اعلامی می باشدکه ماهیت بدهکاری را داراست) . يعني از بودجه موجود هزينه شده و اين مقدار  باقي مانده است .</t>
        </r>
      </text>
    </comment>
    <comment ref="A53" authorId="1">
      <text>
        <r>
          <rPr>
            <b/>
            <sz val="8"/>
            <color indexed="81"/>
            <rFont val="Tahoma"/>
            <family val="2"/>
          </rPr>
          <t xml:space="preserve">توجه اگر رايزني بيش از حد هزينه(اعتباري) كرده بود (و در بستانكار قرار گرفت.) بايستي جهت انتقال موجودي (بانك و ... ) از بستانكار كسر شود تا به سال بعد و يا دوره بعد انتقال پيدا كند . </t>
        </r>
      </text>
    </comment>
    <comment ref="D53" authorId="1">
      <text>
        <r>
          <rPr>
            <b/>
            <sz val="8"/>
            <color indexed="81"/>
            <rFont val="Tahoma"/>
            <family val="2"/>
          </rPr>
          <t>در اين قسمت اگر هزينه ها كمتر از موجودي بود . رايزن را بدهكار ميكنيم .</t>
        </r>
      </text>
    </comment>
    <comment ref="E53" authorId="1">
      <text>
        <r>
          <rPr>
            <b/>
            <sz val="8"/>
            <color indexed="81"/>
            <rFont val="Tahoma"/>
            <family val="2"/>
          </rPr>
          <t xml:space="preserve">وقتي موجودي صندوق در بستانكار قرار گزفت يعني رايزن بيش از حد هزينه كرده و بستانكار مي باشد . </t>
        </r>
      </text>
    </comment>
    <comment ref="C66" authorId="0">
      <text>
        <r>
          <rPr>
            <b/>
            <sz val="8"/>
            <color indexed="81"/>
            <rFont val="Tahoma"/>
            <charset val="178"/>
          </rPr>
          <t xml:space="preserve">در این قسمت حاصل جمع مانده موجودی صندوق و بانک درج می شود . یعنی مانده اول تاریخ اعلامی (اول تاریخ شروع حسابرسی) می باشد که در بستانکار قرار می گیرد تا وارد سیستم مصرف شود </t>
        </r>
      </text>
    </comment>
    <comment ref="E66" authorId="0">
      <text>
        <r>
          <rPr>
            <b/>
            <sz val="8"/>
            <color indexed="81"/>
            <rFont val="Tahoma"/>
            <charset val="178"/>
          </rPr>
          <t xml:space="preserve">در این قسمت حاصل جمع مانده موجودی صندوق و بانک درج می شود . یعنی مانده اول تاریخ اعلامی (اول تاریخ شروع حسابرسی) می باشد که در بستانکار قرار می گیرد تا وارد سیستم مصرف شود </t>
        </r>
      </text>
    </comment>
  </commentList>
</comments>
</file>

<file path=xl/sharedStrings.xml><?xml version="1.0" encoding="utf-8"?>
<sst xmlns="http://schemas.openxmlformats.org/spreadsheetml/2006/main" count="926" uniqueCount="354">
  <si>
    <t>رديف</t>
  </si>
  <si>
    <t>مبلغ يورو</t>
  </si>
  <si>
    <t>نرخ تسعير</t>
  </si>
  <si>
    <t>ملاحضات</t>
  </si>
  <si>
    <t>جمع كل</t>
  </si>
  <si>
    <t>شماره چك/نقدي</t>
  </si>
  <si>
    <t>تاريخ</t>
  </si>
  <si>
    <t>تنظيم كننده:</t>
  </si>
  <si>
    <t>حسابرس اعزامي:</t>
  </si>
  <si>
    <t>رايزني فرهنگي ج .ا.ا:</t>
  </si>
  <si>
    <t>مصرف اين دوره حسب فهرست هزينه ها:</t>
  </si>
  <si>
    <t>مانده موجودي قابل انتقال به دوره بعد:</t>
  </si>
  <si>
    <t>مبلغ تبديلي به:</t>
  </si>
  <si>
    <t xml:space="preserve">     رايزني فرهنگي جمهوري اسلامي ايران در </t>
  </si>
  <si>
    <t xml:space="preserve">     سال     13   </t>
  </si>
  <si>
    <t>كد برنامه</t>
  </si>
  <si>
    <t>عنوان برنامه</t>
  </si>
  <si>
    <t>ارز محل</t>
  </si>
  <si>
    <t>يورو</t>
  </si>
  <si>
    <t>جمع به يورو</t>
  </si>
  <si>
    <t>هزينه هاي خارج از مصوب و تخصيص</t>
  </si>
  <si>
    <t xml:space="preserve">     جمع هزينه هاي جاري</t>
  </si>
  <si>
    <t xml:space="preserve">     جمع هزينه هاي فرهنگي</t>
  </si>
  <si>
    <t xml:space="preserve">     رايزني فرهنگي ج.ا.ا:</t>
  </si>
  <si>
    <t xml:space="preserve">       حسابرس اعزامي:</t>
  </si>
  <si>
    <t xml:space="preserve"> تنظيم كننده:</t>
  </si>
  <si>
    <t>شرح حساب</t>
  </si>
  <si>
    <t xml:space="preserve">گردش عمليات مالي </t>
  </si>
  <si>
    <t>بدهكار</t>
  </si>
  <si>
    <t>بستانكار</t>
  </si>
  <si>
    <t>مانده نهايي حساب</t>
  </si>
  <si>
    <t>حساب دريافتي از سازمان بابت بودجه برنامه اي:</t>
  </si>
  <si>
    <t xml:space="preserve">  بانك:</t>
  </si>
  <si>
    <t xml:space="preserve">  تنخواه گردان پرداختي:</t>
  </si>
  <si>
    <t xml:space="preserve">  علي الحساب ها:</t>
  </si>
  <si>
    <t xml:space="preserve">  دو:</t>
  </si>
  <si>
    <t xml:space="preserve">  سه:</t>
  </si>
  <si>
    <t xml:space="preserve">  حساب تسعير يورو به ارز محل</t>
  </si>
  <si>
    <t xml:space="preserve">  هزينه ها:</t>
  </si>
  <si>
    <t xml:space="preserve">  هزينه هاي جاري</t>
  </si>
  <si>
    <t xml:space="preserve">  هزينه هاي فرهنگي</t>
  </si>
  <si>
    <t xml:space="preserve">  هزينه حقوق كاركنان اعزامي از مركز</t>
  </si>
  <si>
    <t xml:space="preserve">  هزينه(1)</t>
  </si>
  <si>
    <t xml:space="preserve">  هزينه(2)</t>
  </si>
  <si>
    <t xml:space="preserve">  بابت بودجه برنامه اي سال جاري</t>
  </si>
  <si>
    <t xml:space="preserve">  حساب وجوه مصرف نشده سنوات قبل</t>
  </si>
  <si>
    <t xml:space="preserve">  نمايندگي فرهنگي سفارت ج.ا.ايران در</t>
  </si>
  <si>
    <t xml:space="preserve">  جمع كل:</t>
  </si>
  <si>
    <t>حساب سفارت(مانده حساب رايزني نزد سفارت)</t>
  </si>
  <si>
    <t xml:space="preserve">  وام كاركنان محلي(بدهكار)</t>
  </si>
  <si>
    <t>بدين وسيله صحت ارقام در ترازنامه نمايندگي ب شرح فوق از تاريخ              لغايت                مورد تأئيد است.</t>
  </si>
  <si>
    <t>رايزني فرهنگي ج.ا.ايران در</t>
  </si>
  <si>
    <t xml:space="preserve">     حسابرس اعزامي:</t>
  </si>
  <si>
    <t>نرخ ميانگين تسعير:</t>
  </si>
  <si>
    <t>بدين وسيله صحت ارقام در ترازنامه نمايندگي به شرح فوق از تاريخ              لغايت                مورد تأئيد است.</t>
  </si>
  <si>
    <t>حساب دريافتي از محل تسعير يورو به ارز محل:</t>
  </si>
  <si>
    <t xml:space="preserve">  دريافتي ناشي از تسعير يورو به ارز محل </t>
  </si>
  <si>
    <t xml:space="preserve">  يك: بستانكاران(اگر از رايزني طلب داشته باشد)</t>
  </si>
  <si>
    <t>سال       13</t>
  </si>
  <si>
    <t xml:space="preserve">تراز عمليات مالي حساب هاي يوروئي از تاريخ                              لغايت                              ارقام به: يورو  </t>
  </si>
  <si>
    <t xml:space="preserve">تراز عمليات مالي حساب هاي ارز محل از تاريخ                         لغايت                         ارقام به :ارز محل  </t>
  </si>
  <si>
    <t>حساب هاي يوروئي</t>
  </si>
  <si>
    <t xml:space="preserve">معادل يورو حساب هاي ارز محل </t>
  </si>
  <si>
    <t>مانده نهايي به يورو</t>
  </si>
  <si>
    <t>درآمد</t>
  </si>
  <si>
    <t xml:space="preserve">  دريافتي بابت درآمد</t>
  </si>
  <si>
    <t xml:space="preserve">  يك:علي الحساب(اگراز رايزني طلب داشته باشد)</t>
  </si>
  <si>
    <t xml:space="preserve">  برابر با يك يورو مورد تأئيد است.</t>
  </si>
  <si>
    <t xml:space="preserve">رايزني فرهنگي ج.ا.ايران در </t>
  </si>
  <si>
    <t xml:space="preserve">     حسابرس اعزامي</t>
  </si>
  <si>
    <t xml:space="preserve">  بدين وسيله صحت ارقام در ترازنامه نمايندگي به شرح فوق از تاريخ            لغايت            با نرخ ميانگين تسعير:          </t>
  </si>
  <si>
    <t xml:space="preserve">       تراز عمليات تلفيقي (حساب ارز محل و يورو)</t>
  </si>
  <si>
    <t xml:space="preserve">     نمايندگي فرهنگي سفارت ج.ا.ايران در </t>
  </si>
  <si>
    <t xml:space="preserve">     از تاريخ15/15/91لغايت15/15/91نرخ ميانگين تسعير:</t>
  </si>
  <si>
    <t xml:space="preserve"> بانك:</t>
  </si>
  <si>
    <t xml:space="preserve"> حساب يوروئي(1) به شماره </t>
  </si>
  <si>
    <t xml:space="preserve"> تنخواه گردان پرداخت:</t>
  </si>
  <si>
    <t xml:space="preserve"> علي الحساب ها:</t>
  </si>
  <si>
    <t xml:space="preserve"> علي الحساب يك(اگر از رايزني طلب داشته باشد)</t>
  </si>
  <si>
    <t xml:space="preserve"> علي الحساب دو</t>
  </si>
  <si>
    <t xml:space="preserve"> علي الحساب سه</t>
  </si>
  <si>
    <t xml:space="preserve"> وام كاركنان محلي</t>
  </si>
  <si>
    <t xml:space="preserve"> حساب سفارت</t>
  </si>
  <si>
    <t xml:space="preserve"> حساب تسعير يورو به ارز محل</t>
  </si>
  <si>
    <t xml:space="preserve"> حساب دريافتي ناشي از تسعير يورو به ارز محل</t>
  </si>
  <si>
    <t xml:space="preserve"> هزينه ها:</t>
  </si>
  <si>
    <t xml:space="preserve"> هزينه هاي جاري</t>
  </si>
  <si>
    <t xml:space="preserve"> هزينه هاي فرهنگي</t>
  </si>
  <si>
    <t xml:space="preserve"> هزينه حقوق كاركنان اعزامي از مركز</t>
  </si>
  <si>
    <t xml:space="preserve"> هزينه يك</t>
  </si>
  <si>
    <t xml:space="preserve"> هزينه دو</t>
  </si>
  <si>
    <t xml:space="preserve"> هزينه خريد خودرو</t>
  </si>
  <si>
    <t xml:space="preserve"> هزينه هاي واخواهي شده</t>
  </si>
  <si>
    <t xml:space="preserve"> حساب دريافتي از سازمان بابت بودجه برنامه اي </t>
  </si>
  <si>
    <t xml:space="preserve"> بابت بودجه برنامه اي سال جاري</t>
  </si>
  <si>
    <t xml:space="preserve"> بابت(1) بودجه ساير ادارات</t>
  </si>
  <si>
    <t xml:space="preserve"> حساب وجوه مصرف نشده سنوات قبل</t>
  </si>
  <si>
    <t xml:space="preserve"> دريافتي بابت درآمد</t>
  </si>
  <si>
    <t xml:space="preserve">               حسابرس اعزامي:</t>
  </si>
  <si>
    <t>رايزني فرهنگي ج.ا.ا:</t>
  </si>
  <si>
    <t>شرح</t>
  </si>
  <si>
    <t>تارخ سند</t>
  </si>
  <si>
    <t xml:space="preserve">جمع به يورو </t>
  </si>
  <si>
    <t>سند</t>
  </si>
  <si>
    <t>رايزن فرهنگي:</t>
  </si>
  <si>
    <t>15/15/91</t>
  </si>
  <si>
    <t>رايزني فرهنگي ج.ا.ايران در:</t>
  </si>
  <si>
    <t>سال:</t>
  </si>
  <si>
    <t>هزينه بانكي(كارمزد)</t>
  </si>
  <si>
    <t>معادل به يورو</t>
  </si>
  <si>
    <t>خريد اقلام مصرفي</t>
  </si>
  <si>
    <t>هزينه آب برق گاز و ساير سوخت ها</t>
  </si>
  <si>
    <t>تعمير و نگهداري خودرو</t>
  </si>
  <si>
    <t>ترميم و نگهداري جزئي ساختمان</t>
  </si>
  <si>
    <t>حمل و نقل و ارتباطات</t>
  </si>
  <si>
    <t>تلفن،فاكس و اينترنت</t>
  </si>
  <si>
    <t>هزينه اجاره ساختمان نمايندگي</t>
  </si>
  <si>
    <t>كمك هزينه درمان و بيمه كاركنان</t>
  </si>
  <si>
    <t>هزينه هاي پيش بيني نشده</t>
  </si>
  <si>
    <t>نرخ تسعير:</t>
  </si>
  <si>
    <t>30/12/91</t>
  </si>
  <si>
    <t>حقوق،بازخريدي و...كاركنان بومي</t>
  </si>
  <si>
    <t>هزينه بانكي</t>
  </si>
  <si>
    <t>حقوق بازخريدي و ... كاركنان بومي</t>
  </si>
  <si>
    <t>تلفن ، فاكس و اينترنت</t>
  </si>
  <si>
    <t>برگزاري جشن نوروز</t>
  </si>
  <si>
    <t>برگزاري مراسم ارتحال امام</t>
  </si>
  <si>
    <t>هزينه جاري:بانكي(كارمزد)</t>
  </si>
  <si>
    <t>هزينه جاري:حقوق، بازخريدي و...كاركنان بومي</t>
  </si>
  <si>
    <t>هزينه جاري:خريد اقلام مصرفي</t>
  </si>
  <si>
    <t>هزينه جاري:هزينه آب برق گاز و ساير سوخت ها</t>
  </si>
  <si>
    <t>هزينه جاري:تعمير و نگهداري خودرو</t>
  </si>
  <si>
    <t>هزينه جاري:ترميم و نگهداري جزئي ساختمان</t>
  </si>
  <si>
    <t>هزينه جاري:حمل و نقل و ارتباطات</t>
  </si>
  <si>
    <t>هزينه جاري:تلفن،فاكس و اينترنت</t>
  </si>
  <si>
    <t>هزينه جاري:اجاره ساختمان نمايندگي</t>
  </si>
  <si>
    <t>هزينه جاري:كمك هزينه درمان و بيمه كاركنان</t>
  </si>
  <si>
    <t>هزينه هاي جاري: خارج از مصوب و تخصيص</t>
  </si>
  <si>
    <t>هزينه هاي جاري: پيش بيني نشده</t>
  </si>
  <si>
    <t>هزينه يك:برگزاري جشن نوروز</t>
  </si>
  <si>
    <t>هزينه دو:برگزاري مراسم ارتحال امام</t>
  </si>
  <si>
    <t>هزينه سه:</t>
  </si>
  <si>
    <t>هزينه چهار:</t>
  </si>
  <si>
    <t>هزينه پنج:</t>
  </si>
  <si>
    <t>هزينه شش:</t>
  </si>
  <si>
    <t>هزينه هفت:</t>
  </si>
  <si>
    <t>هزينه هشت:</t>
  </si>
  <si>
    <t>هزينه نه:</t>
  </si>
  <si>
    <t>هزينه ده:</t>
  </si>
  <si>
    <t>هزينه فرهنگي سه:</t>
  </si>
  <si>
    <t>هزينه فرهنگي ده:</t>
  </si>
  <si>
    <t>هزينه فرهنگي نه:</t>
  </si>
  <si>
    <t>هزينه فرهنگي هشت:</t>
  </si>
  <si>
    <t>هزينه فرهنگي هفت:</t>
  </si>
  <si>
    <t>هزينه فرهنگي شش:</t>
  </si>
  <si>
    <t>هزينه فرهنگي پنج:</t>
  </si>
  <si>
    <t>هزينه فرهنگي چهار:</t>
  </si>
  <si>
    <t>هزينه فرهنگي دو: برگزاري مراسم ارتحال امام</t>
  </si>
  <si>
    <t>هزينه فرهنگي يك: برگزاري جشن نوروز</t>
  </si>
  <si>
    <t>حقوق،بازخريدي و...كاركنان بومي کد برنامه:                فروردین سال</t>
  </si>
  <si>
    <t xml:space="preserve">نمایندگی فرهنگی ج.ا.ایران در </t>
  </si>
  <si>
    <t>حقوق،بازخريدي و...كاركنان بومي      کد برنامه:                فروردین سال</t>
  </si>
  <si>
    <t>حقوق،بازخريدي و...كاركنان بومي      کد برنامه:               اردیبهست سال</t>
  </si>
  <si>
    <t>حقوق،بازخريدي و...كاركنان بومي      کد برنامه:               خرداد سال</t>
  </si>
  <si>
    <t>حقوق،بازخريدي و...كاركنان بومي      کد برنامه:               تیر سال</t>
  </si>
  <si>
    <t>حقوق،بازخريدي و...كاركنان بومي      کد برنامه:               مرداد سال</t>
  </si>
  <si>
    <t>حقوق،بازخريدي و...كاركنان بومي      کد برنامه:               شهریور سال</t>
  </si>
  <si>
    <t>حقوق،بازخريدي و...كاركنان بومي      کد برنامه:               مهر سال</t>
  </si>
  <si>
    <t>حقوق،بازخريدي و...كاركنان بومي      کد برنامه:               آبان سال</t>
  </si>
  <si>
    <t>حقوق،بازخريدي و...كاركنان بومي      کد برنامه:               اسفند سال</t>
  </si>
  <si>
    <t>حقوق،بازخريدي و...كاركنان بومي      کد برنامه:               آذر سال</t>
  </si>
  <si>
    <t>حقوق،بازخريدي و...كاركنان بومي      کد برنامه:               دی سال</t>
  </si>
  <si>
    <t>حقوق،بازخريدي و...كاركنان بومي      کد برنامه:               بهمن سال</t>
  </si>
  <si>
    <t>ردیف</t>
  </si>
  <si>
    <t>نام و نام خانوادگی</t>
  </si>
  <si>
    <t>شغل</t>
  </si>
  <si>
    <t>ساعت اضافه کار</t>
  </si>
  <si>
    <t>توضیحات</t>
  </si>
  <si>
    <t>حقوق ماهانه به یورو</t>
  </si>
  <si>
    <t>حقوق ماهانه به ارز محل</t>
  </si>
  <si>
    <t>جمع کل پرداختی به یورو</t>
  </si>
  <si>
    <t>بدینوسیله گواهی میشود مبلغ          یورو بابت حقوق فروردین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</si>
  <si>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جمع کل:</t>
  </si>
  <si>
    <t>کارشناس فرهنگی</t>
  </si>
  <si>
    <t>مهر و امضاء رایزنی فرهنگی</t>
  </si>
  <si>
    <t>نرخ تسعیر:</t>
  </si>
  <si>
    <t>مبلغ اضافه کار به یورو</t>
  </si>
  <si>
    <t>حقوق،بازخريدي و...كاركنان بومي کد برنامه:                اردیبهشت سال</t>
  </si>
  <si>
    <t>بدینوسیله گواهی میشود مبلغ          یورو بابت حقوق اردیبهشت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</si>
  <si>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بدینوسیله گواهی میشود مبلغ          یورو بابت حقوق اسفند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</si>
  <si>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بدینوسیله گواهی میشود مبلغ          یورو بابت حقوق بهمن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</si>
  <si>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بدینوسیله گواهی میشود مبلغ          یورو بابت حقوق دی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</si>
  <si>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دی ماه سال</t>
  </si>
  <si>
    <t>حقوق،بازخريدي و...كاركنان بومي کد برنامه:                بهمن ماه سال</t>
  </si>
  <si>
    <t>حقوق،بازخريدي و...كاركنان بومي کد برنامه:                اسفند ماه سال</t>
  </si>
  <si>
    <t>بدینوسیله گواهی میشود مبلغ          یورو بابت حقوق آذر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</si>
  <si>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آذر ماه سال</t>
  </si>
  <si>
    <t>بدینوسیله گواهی میشود مبلغ          یورو بابت حقوق آبان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</si>
  <si>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آبان ماه سال</t>
  </si>
  <si>
    <t>بدینوسیله گواهی میشود مبلغ          یورو بابت حقوق مهر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</si>
  <si>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مهر ماه سال</t>
  </si>
  <si>
    <t>بدینوسیله گواهی میشود مبلغ          یورو بابت حقوق شهریور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</si>
  <si>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شهریور ماه سال</t>
  </si>
  <si>
    <t>بدینوسیله گواهی میشود مبلغ          یورو بابت حقوق مرداد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</si>
  <si>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مرداد ماه سال</t>
  </si>
  <si>
    <t>بدینوسیله گواهی میشود مبلغ          یورو بابت حقوق تیر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</si>
  <si>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تیر ماه سال</t>
  </si>
  <si>
    <t>بدینوسیله گواهی میشود مبلغ          یورو بابت حقوق خرداد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</si>
  <si>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خرداد ماه سال</t>
  </si>
  <si>
    <t>شرح هزینه</t>
  </si>
  <si>
    <t>اضافه کاری یورو</t>
  </si>
  <si>
    <t>حقوق یورو</t>
  </si>
  <si>
    <t>جمع کل به یورو</t>
  </si>
  <si>
    <t xml:space="preserve">نمایندگی فرهنگی سفارت ج.ا.ایران در </t>
  </si>
  <si>
    <t>روکش لیست هزینه های حقوق بازخریدی و پاداش کارکنان محلی</t>
  </si>
  <si>
    <t>کد برنامه مصوب:</t>
  </si>
  <si>
    <t>حسابرس اعزامی</t>
  </si>
  <si>
    <t>رایزنی فرهنگی</t>
  </si>
  <si>
    <t>بدینوسیله گواهی میشود مبلغ     ارز محل (     ) با نرخ تسعیر      برابر     یورو و احتساب مبلغ     هزینه یورویی جمعأ به مبلغ     یورو از تاریخ      لغایت     از محل بودجه برنامه مصوب هزینه گردیه است.</t>
  </si>
  <si>
    <t>جمع یوروئی</t>
  </si>
  <si>
    <t xml:space="preserve">  حقوق و اضافه کاری فروردین ماه سال</t>
  </si>
  <si>
    <t xml:space="preserve">  حقوق و اضافه کاری اردیبهشت ماه سال</t>
  </si>
  <si>
    <t xml:space="preserve">  حقوق و اضافه کاری خرداد ماه سال</t>
  </si>
  <si>
    <t xml:space="preserve">  حقوق و اضافه کاری تیر ماه سال</t>
  </si>
  <si>
    <t xml:space="preserve">  حقوق و اضافه کاری مرداد ماه سال</t>
  </si>
  <si>
    <t xml:space="preserve">  حقوق و اضافه کاری شهریور ماه سال</t>
  </si>
  <si>
    <t xml:space="preserve">  حقوق و اضافه کاری مهر ماه سال</t>
  </si>
  <si>
    <t xml:space="preserve">  حقوق و اضافه کاری آبان ماه سال</t>
  </si>
  <si>
    <t xml:space="preserve">  حقوق و اضافه کاری آذر ماه سال</t>
  </si>
  <si>
    <t xml:space="preserve">  حقوق و اضافه کاری دی ماه سال</t>
  </si>
  <si>
    <t xml:space="preserve">  حقوق و اضافه کاری بهمن ماه سال</t>
  </si>
  <si>
    <t xml:space="preserve">  حقوق و اضافه کاری اسفند ماه سال</t>
  </si>
  <si>
    <t xml:space="preserve">  هزینه یک:</t>
  </si>
  <si>
    <t xml:space="preserve">  هزینه دو:</t>
  </si>
  <si>
    <t xml:space="preserve">  هزینه پنج:</t>
  </si>
  <si>
    <t xml:space="preserve">  هزینه چهار:</t>
  </si>
  <si>
    <t xml:space="preserve">  هزینه سه:</t>
  </si>
  <si>
    <t>فهرست وجوه ارسالي از سازمان فرهنگ و ارتباطات اسلامي</t>
  </si>
  <si>
    <t xml:space="preserve">نمايندگي فرهنگي سفارت ج.ا.ايران در ارمنستان </t>
  </si>
  <si>
    <t>از تاريخ 90/08/26 لغايت 90/12/28</t>
  </si>
  <si>
    <t>ارقام: به يورو</t>
  </si>
  <si>
    <t>شماره سند</t>
  </si>
  <si>
    <t>شماره حواله</t>
  </si>
  <si>
    <t>تاريخ حواله</t>
  </si>
  <si>
    <t>بودجه ارسالي</t>
  </si>
  <si>
    <t>بودجه واريز شده به حساب</t>
  </si>
  <si>
    <t>كارمزد بانكي</t>
  </si>
  <si>
    <t xml:space="preserve">  تغيير و تحول</t>
  </si>
  <si>
    <t>1390/8/26</t>
  </si>
  <si>
    <t xml:space="preserve">  علي الحساب ابتداي ماموريت آقاي </t>
  </si>
  <si>
    <t>1390/6/12</t>
  </si>
  <si>
    <t xml:space="preserve">  بابت برنامه فعاليتهاي قرآني </t>
  </si>
  <si>
    <t>84/23893</t>
  </si>
  <si>
    <t>1390/6/16</t>
  </si>
  <si>
    <t xml:space="preserve">  علي الحساب ابتداي ماموريت آقاي شيراوند طي چك 212555</t>
  </si>
  <si>
    <t>1390/8/21</t>
  </si>
  <si>
    <t xml:space="preserve">  حواله بابت بليط آقاي حسن معافي مدني </t>
  </si>
  <si>
    <t>84/24369</t>
  </si>
  <si>
    <t>1390/9/2</t>
  </si>
  <si>
    <t xml:space="preserve">  حواله بابت حقوق آقاي كاكا و شكيبا و هادي حسني</t>
  </si>
  <si>
    <t>84/24485</t>
  </si>
  <si>
    <t>1390/9/13</t>
  </si>
  <si>
    <t xml:space="preserve">  حواله بابت معوقه حقوق آقاي محمد رضا </t>
  </si>
  <si>
    <t>84/24576</t>
  </si>
  <si>
    <t>1390/9/30</t>
  </si>
  <si>
    <t xml:space="preserve">  حواله بابت بودجه جاري ؛فرهنگي و خريد خودرو(17660 يورو)</t>
  </si>
  <si>
    <t>84/24678</t>
  </si>
  <si>
    <t>1390/10/13</t>
  </si>
  <si>
    <t xml:space="preserve">  حواله بابت حقوق آقاي به همراه معوقه و حقوق حسني(6000-)</t>
  </si>
  <si>
    <t>84/24850</t>
  </si>
  <si>
    <t>1390/11/10</t>
  </si>
  <si>
    <t xml:space="preserve">  حواله بابت جاري فرهنگي (سه ماهه چهارم)</t>
  </si>
  <si>
    <t>84/25187</t>
  </si>
  <si>
    <t>1390/12/28</t>
  </si>
  <si>
    <t xml:space="preserve">  حواله بابت تاسيس اتاق ايرانشناسي و خريد خودرو(5000 يورو)</t>
  </si>
  <si>
    <t>84/25241</t>
  </si>
  <si>
    <t>1391/1/8</t>
  </si>
  <si>
    <t xml:space="preserve">  حواله بابت حقوق آقاي مهران شيرآوند با كسر 7000 يورو</t>
  </si>
  <si>
    <t>84/25488</t>
  </si>
  <si>
    <t xml:space="preserve">  حواله بابت راه اندازي مركز اطلاع رساني و كتابخانه اسناد</t>
  </si>
  <si>
    <t>84/25285</t>
  </si>
  <si>
    <t xml:space="preserve">  حواله بابت بازخريدي خانم آرمينوس ميناس</t>
  </si>
  <si>
    <t>84/25387</t>
  </si>
  <si>
    <t>1391/1/30</t>
  </si>
  <si>
    <t xml:space="preserve">جمع كل </t>
  </si>
  <si>
    <t>بدينوسيله گواهي مي شود حواله هاي فوق الذكر بابت بودجه جاري  فرهنگي واريزي با صورتحساب و اعلاميه هاي بانكي حساب هاي بانكي نمايندگي تطبيق داده شده و</t>
  </si>
  <si>
    <t xml:space="preserve">           وجوه واريزي به حساب بانكي به شرح فوق مي باشد .مراتب مورد تاييد است.</t>
  </si>
  <si>
    <t>حسابرس اعزامي از مركز</t>
  </si>
  <si>
    <t>رايزني فرهنگي ج.ا. ايران در ارمنستان</t>
  </si>
  <si>
    <t xml:space="preserve"> حساب ارز محل(1) به شماره</t>
  </si>
  <si>
    <t xml:space="preserve"> حساب ارز محل(2) به شماره</t>
  </si>
  <si>
    <t xml:space="preserve"> حساب يوروئي(2) به شماره </t>
  </si>
  <si>
    <t xml:space="preserve"> موجودي صندوق</t>
  </si>
  <si>
    <t xml:space="preserve"> مانده موجودي نقل از دوره قبل(صندوق+بانك)</t>
  </si>
  <si>
    <t xml:space="preserve">  حساب(جاري1) ارز محل به شماره</t>
  </si>
  <si>
    <t xml:space="preserve">  حساب(جاري2) ارز محل به شماره</t>
  </si>
  <si>
    <t xml:space="preserve">  موجودي صندوق ارز محل</t>
  </si>
  <si>
    <t xml:space="preserve">  مانده موجودي نقل از دوره قبل(صندوق+بانك)</t>
  </si>
  <si>
    <t xml:space="preserve">  حساب(جاري1) يورويي به شماره</t>
  </si>
  <si>
    <t xml:space="preserve">  حساب(جاري2) يورويي به شماره</t>
  </si>
  <si>
    <t xml:space="preserve">  موجودي صندوق</t>
  </si>
  <si>
    <t xml:space="preserve">  بابت(1)علي الحساب دريافتي از مركز...</t>
  </si>
  <si>
    <r>
      <t xml:space="preserve">ليست كلي هزينه هاي </t>
    </r>
    <r>
      <rPr>
        <b/>
        <sz val="13"/>
        <color rgb="FFFF0000"/>
        <rFont val="Calibri"/>
        <family val="2"/>
        <scheme val="minor"/>
      </rPr>
      <t>فرهنگي</t>
    </r>
    <r>
      <rPr>
        <b/>
        <sz val="13"/>
        <color theme="1"/>
        <rFont val="Calibri"/>
        <family val="2"/>
        <scheme val="minor"/>
      </rPr>
      <t xml:space="preserve"> رايزني فرهنگي ج.ا.ايران در </t>
    </r>
  </si>
  <si>
    <r>
      <t xml:space="preserve">ليست كلي هزينه هاي </t>
    </r>
    <r>
      <rPr>
        <b/>
        <sz val="13"/>
        <color rgb="FFFF0000"/>
        <rFont val="Calibri"/>
        <family val="2"/>
        <scheme val="minor"/>
      </rPr>
      <t>جاري</t>
    </r>
    <r>
      <rPr>
        <b/>
        <sz val="13"/>
        <color theme="1"/>
        <rFont val="Calibri"/>
        <family val="2"/>
        <scheme val="minor"/>
      </rPr>
      <t xml:space="preserve"> رايزني فرهنگي ج.ا.ايران در </t>
    </r>
  </si>
  <si>
    <t>مصوب</t>
  </si>
  <si>
    <t>تخصيص</t>
  </si>
  <si>
    <t>هزينه</t>
  </si>
  <si>
    <t>انحراف</t>
  </si>
  <si>
    <t>توضيحات</t>
  </si>
  <si>
    <t>موضوع برنامه</t>
  </si>
  <si>
    <t xml:space="preserve">     نمايندگي فرهنگي ج.ا.ايران در </t>
  </si>
  <si>
    <t xml:space="preserve">          رايزني فرهنگي ج.ا.ايران:</t>
  </si>
  <si>
    <t xml:space="preserve">          حسابرس اعزامي:</t>
  </si>
  <si>
    <t>دريافتي</t>
  </si>
  <si>
    <t>شرح برنامه</t>
  </si>
  <si>
    <t>جمع</t>
  </si>
  <si>
    <t xml:space="preserve">  سه: پيش پرداخت</t>
  </si>
  <si>
    <t xml:space="preserve">ردیف </t>
  </si>
  <si>
    <t xml:space="preserve">کد برنامه </t>
  </si>
  <si>
    <t xml:space="preserve">عنوان هزینه </t>
  </si>
  <si>
    <t xml:space="preserve">بودجه </t>
  </si>
  <si>
    <t xml:space="preserve">هزینه </t>
  </si>
  <si>
    <t>معادل</t>
  </si>
  <si>
    <t>هزینه</t>
  </si>
  <si>
    <t>جمع عملکرد</t>
  </si>
  <si>
    <t>بودجه</t>
  </si>
  <si>
    <t>یوروئی هزینه</t>
  </si>
  <si>
    <t xml:space="preserve">به یورو </t>
  </si>
  <si>
    <t xml:space="preserve">هزینه  </t>
  </si>
  <si>
    <t>تخصیص</t>
  </si>
  <si>
    <t xml:space="preserve">حقوق کارکنان محلی بومی رایزنی </t>
  </si>
  <si>
    <t xml:space="preserve">هزینه های پیش بینی نشده در امور فرهنگی و جاری </t>
  </si>
  <si>
    <t>هزينه های تعمير و نگهداري اماكن و وسايل اداري</t>
  </si>
  <si>
    <t>هزینه های  تعمير و نگهداري خودرو</t>
  </si>
  <si>
    <t xml:space="preserve">هزينه آب؛برق؛گاز؛وسایر سوختها </t>
  </si>
  <si>
    <t xml:space="preserve">هزینه های بانکی و پست </t>
  </si>
  <si>
    <t xml:space="preserve">خرید اقلام مصرفی و پذیرائی </t>
  </si>
  <si>
    <t xml:space="preserve">حمل نقل و ارتباطات </t>
  </si>
  <si>
    <t xml:space="preserve">کمک هزینه درمان وبیمه کارکنان </t>
  </si>
  <si>
    <t xml:space="preserve">کمک هزینه تحصیلی فرزندان کارکنان اعزامی از مرکز </t>
  </si>
  <si>
    <t xml:space="preserve">حقوق اعزامی از مرکز </t>
  </si>
  <si>
    <t xml:space="preserve">علی الحساب حقوق کارکنان محلی </t>
  </si>
  <si>
    <t xml:space="preserve">هزینه اجاره ساختمان مرکز آموزش </t>
  </si>
  <si>
    <t xml:space="preserve">علی الحساب حقوق کارکنان اعزامی  </t>
  </si>
  <si>
    <t xml:space="preserve">جمع کل هزینه های جاری و حقوق </t>
  </si>
  <si>
    <t>ابوالحسن خلج منفرد</t>
  </si>
  <si>
    <t xml:space="preserve">به ارز محل </t>
  </si>
  <si>
    <t>رایزن فرهنگی جمهوری اسلامی ایران در تركمنستان</t>
  </si>
  <si>
    <t>سعيد حقاني</t>
  </si>
  <si>
    <t>حسابرس اعزامي</t>
  </si>
  <si>
    <t>تعداد سند به برگ</t>
  </si>
  <si>
    <t>هزینه تلفن ؛ فکس ؛ واينترنت</t>
  </si>
  <si>
    <t>تسعير:</t>
  </si>
  <si>
    <r>
      <t xml:space="preserve">صورت خلاصه هزینه های </t>
    </r>
    <r>
      <rPr>
        <b/>
        <sz val="20"/>
        <color rgb="FFFF0000"/>
        <rFont val="B Nazanin"/>
        <charset val="178"/>
      </rPr>
      <t>جاری</t>
    </r>
    <r>
      <rPr>
        <b/>
        <sz val="20"/>
        <rFont val="B Nazanin"/>
        <charset val="178"/>
      </rPr>
      <t xml:space="preserve"> نمایندگی فرهنگی جمهوری اسلامی ایران در تركمنستان از تاریخ 1392/01/01  لغایت 1392/12/28</t>
    </r>
  </si>
</sst>
</file>

<file path=xl/styles.xml><?xml version="1.0" encoding="utf-8"?>
<styleSheet xmlns="http://schemas.openxmlformats.org/spreadsheetml/2006/main">
  <numFmts count="1">
    <numFmt numFmtId="164" formatCode="#,##0.0"/>
  </numFmts>
  <fonts count="38">
    <font>
      <sz val="11"/>
      <color theme="1"/>
      <name val="Calibri"/>
      <family val="2"/>
      <charset val="178"/>
      <scheme val="minor"/>
    </font>
    <font>
      <sz val="11"/>
      <color theme="1"/>
      <name val="Calibri"/>
      <family val="2"/>
      <scheme val="minor"/>
    </font>
    <font>
      <b/>
      <sz val="15"/>
      <color theme="1"/>
      <name val="Calibri"/>
      <family val="2"/>
      <scheme val="minor"/>
    </font>
    <font>
      <b/>
      <sz val="11"/>
      <color theme="1"/>
      <name val="Calibri"/>
      <family val="2"/>
      <scheme val="minor"/>
    </font>
    <font>
      <b/>
      <sz val="12"/>
      <color theme="1"/>
      <name val="Calibri"/>
      <family val="2"/>
      <scheme val="minor"/>
    </font>
    <font>
      <b/>
      <sz val="13"/>
      <color theme="1"/>
      <name val="Calibri"/>
      <family val="2"/>
      <scheme val="minor"/>
    </font>
    <font>
      <sz val="13"/>
      <color theme="1"/>
      <name val="Calibri"/>
      <family val="2"/>
      <scheme val="minor"/>
    </font>
    <font>
      <b/>
      <sz val="10"/>
      <color theme="1"/>
      <name val="Calibri"/>
      <family val="2"/>
      <scheme val="minor"/>
    </font>
    <font>
      <sz val="14"/>
      <color theme="1"/>
      <name val="Calibri"/>
      <family val="2"/>
      <scheme val="minor"/>
    </font>
    <font>
      <b/>
      <sz val="9.5"/>
      <color theme="1"/>
      <name val="Calibri"/>
      <family val="2"/>
      <scheme val="minor"/>
    </font>
    <font>
      <sz val="11"/>
      <color theme="1"/>
      <name val="Calibri"/>
      <family val="2"/>
      <scheme val="minor"/>
    </font>
    <font>
      <u/>
      <sz val="11"/>
      <color theme="10"/>
      <name val="Calibri"/>
      <family val="2"/>
      <charset val="178"/>
    </font>
    <font>
      <b/>
      <sz val="11"/>
      <color theme="10"/>
      <name val="Calibri"/>
      <family val="2"/>
    </font>
    <font>
      <sz val="10"/>
      <color theme="1"/>
      <name val="Calibri"/>
      <family val="2"/>
      <charset val="178"/>
      <scheme val="minor"/>
    </font>
    <font>
      <b/>
      <sz val="10"/>
      <color theme="1"/>
      <name val="Calibri"/>
      <family val="2"/>
      <charset val="178"/>
      <scheme val="minor"/>
    </font>
    <font>
      <sz val="10"/>
      <color theme="1"/>
      <name val="Calibri"/>
      <family val="2"/>
      <scheme val="minor"/>
    </font>
    <font>
      <b/>
      <sz val="11"/>
      <color theme="1"/>
      <name val="Calibri"/>
      <family val="2"/>
    </font>
    <font>
      <b/>
      <sz val="11"/>
      <color theme="1"/>
      <name val="Calibri"/>
      <family val="2"/>
      <charset val="178"/>
      <scheme val="minor"/>
    </font>
    <font>
      <sz val="11"/>
      <color theme="1"/>
      <name val="Calibri"/>
      <family val="2"/>
    </font>
    <font>
      <b/>
      <sz val="10"/>
      <color theme="1"/>
      <name val="B Nazanin"/>
      <charset val="178"/>
    </font>
    <font>
      <b/>
      <sz val="11"/>
      <color theme="1"/>
      <name val="B Nazanin"/>
      <charset val="178"/>
    </font>
    <font>
      <sz val="11"/>
      <color theme="1"/>
      <name val="B Nazanin"/>
      <charset val="178"/>
    </font>
    <font>
      <b/>
      <sz val="10.5"/>
      <color theme="1"/>
      <name val="Calibri"/>
      <family val="2"/>
      <scheme val="minor"/>
    </font>
    <font>
      <b/>
      <sz val="8"/>
      <color indexed="81"/>
      <name val="Tahoma"/>
      <charset val="178"/>
    </font>
    <font>
      <b/>
      <sz val="8"/>
      <color indexed="81"/>
      <name val="Tahoma"/>
      <family val="2"/>
    </font>
    <font>
      <b/>
      <sz val="13"/>
      <color rgb="FFFF0000"/>
      <name val="Calibri"/>
      <family val="2"/>
      <scheme val="minor"/>
    </font>
    <font>
      <sz val="11"/>
      <color theme="1"/>
      <name val="Calibri"/>
      <family val="2"/>
      <charset val="178"/>
      <scheme val="minor"/>
    </font>
    <font>
      <sz val="11"/>
      <color rgb="FF006100"/>
      <name val="Calibri"/>
      <family val="2"/>
      <scheme val="minor"/>
    </font>
    <font>
      <b/>
      <sz val="20"/>
      <name val="B Nazanin"/>
      <charset val="178"/>
    </font>
    <font>
      <b/>
      <sz val="15"/>
      <name val="B Nazanin"/>
      <charset val="178"/>
    </font>
    <font>
      <b/>
      <sz val="14"/>
      <name val="B Nazanin"/>
      <charset val="178"/>
    </font>
    <font>
      <b/>
      <sz val="18"/>
      <name val="B Nazanin"/>
      <charset val="178"/>
    </font>
    <font>
      <b/>
      <sz val="14"/>
      <name val="Calibri"/>
      <family val="2"/>
      <scheme val="minor"/>
    </font>
    <font>
      <sz val="11"/>
      <name val="Calibri"/>
      <family val="2"/>
      <scheme val="minor"/>
    </font>
    <font>
      <sz val="14"/>
      <name val="B Nazanin"/>
      <charset val="178"/>
    </font>
    <font>
      <b/>
      <sz val="20"/>
      <color rgb="FFFF0000"/>
      <name val="B Nazanin"/>
      <charset val="178"/>
    </font>
    <font>
      <b/>
      <sz val="14"/>
      <color theme="1"/>
      <name val="B Nazanin"/>
      <charset val="178"/>
    </font>
    <font>
      <b/>
      <sz val="11"/>
      <color indexed="81"/>
      <name val="Calibri"/>
      <family val="2"/>
      <scheme val="minor"/>
    </font>
  </fonts>
  <fills count="1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rgb="FFFF8F8F"/>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C6EFCE"/>
      </patternFill>
    </fill>
    <fill>
      <patternFill patternType="solid">
        <fgColor rgb="FFFFFFCC"/>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8" tint="0.79998168889431442"/>
        <bgColor indexed="64"/>
      </patternFill>
    </fill>
    <fill>
      <patternFill patternType="solid">
        <fgColor theme="9" tint="0.59999389629810485"/>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bottom/>
      <diagonal/>
    </border>
    <border>
      <left/>
      <right/>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diagonal/>
    </border>
  </borders>
  <cellStyleXfs count="9">
    <xf numFmtId="0" fontId="0" fillId="0" borderId="0"/>
    <xf numFmtId="0" fontId="11" fillId="0" borderId="0" applyNumberFormat="0" applyFill="0" applyBorder="0" applyAlignment="0" applyProtection="0">
      <alignment vertical="top"/>
      <protection locked="0"/>
    </xf>
    <xf numFmtId="0" fontId="27" fillId="9" borderId="0" applyNumberFormat="0" applyBorder="0" applyAlignment="0" applyProtection="0"/>
    <xf numFmtId="0" fontId="26" fillId="10" borderId="46"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cellStyleXfs>
  <cellXfs count="321">
    <xf numFmtId="0" fontId="0" fillId="0" borderId="0" xfId="0"/>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xf numFmtId="0" fontId="3" fillId="0" borderId="1" xfId="0" applyFont="1" applyBorder="1" applyAlignment="1">
      <alignment horizontal="center" vertical="center" wrapText="1" readingOrder="2"/>
    </xf>
    <xf numFmtId="0" fontId="0" fillId="0" borderId="0" xfId="0" applyAlignment="1">
      <alignment readingOrder="2"/>
    </xf>
    <xf numFmtId="0" fontId="3" fillId="0" borderId="0" xfId="0" applyFont="1" applyAlignment="1">
      <alignment horizontal="left" readingOrder="2"/>
    </xf>
    <xf numFmtId="0" fontId="3" fillId="0" borderId="0" xfId="0" applyFont="1" applyAlignment="1">
      <alignment readingOrder="2"/>
    </xf>
    <xf numFmtId="0" fontId="3" fillId="0" borderId="0" xfId="0" applyFont="1" applyAlignment="1">
      <alignment horizontal="center" vertical="center"/>
    </xf>
    <xf numFmtId="0" fontId="6" fillId="0" borderId="0" xfId="0" applyFont="1" applyAlignment="1">
      <alignment horizontal="right"/>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horizontal="center" vertical="center" wrapText="1" readingOrder="2"/>
    </xf>
    <xf numFmtId="0" fontId="4" fillId="2" borderId="7" xfId="0" applyFont="1" applyFill="1" applyBorder="1" applyAlignment="1">
      <alignment horizontal="center" vertical="center" wrapText="1"/>
    </xf>
    <xf numFmtId="0" fontId="3" fillId="0" borderId="9" xfId="0" applyFont="1" applyBorder="1"/>
    <xf numFmtId="0" fontId="3" fillId="0" borderId="10" xfId="0" applyFont="1" applyBorder="1"/>
    <xf numFmtId="0" fontId="5" fillId="0" borderId="0" xfId="0" applyFont="1" applyAlignment="1">
      <alignment horizontal="right" vertical="center" readingOrder="2"/>
    </xf>
    <xf numFmtId="0" fontId="5" fillId="0" borderId="0" xfId="0" applyFont="1" applyAlignment="1">
      <alignment horizontal="center" vertical="center" readingOrder="2"/>
    </xf>
    <xf numFmtId="0" fontId="3" fillId="0" borderId="0" xfId="0" applyFont="1" applyAlignment="1">
      <alignment horizontal="center" vertical="center" readingOrder="2"/>
    </xf>
    <xf numFmtId="0" fontId="3" fillId="0" borderId="1" xfId="0" applyFont="1" applyBorder="1" applyAlignment="1">
      <alignment horizontal="center" vertical="center" readingOrder="2"/>
    </xf>
    <xf numFmtId="0" fontId="0" fillId="0" borderId="1" xfId="0" applyBorder="1" applyAlignment="1">
      <alignment horizontal="center" vertical="center" readingOrder="2"/>
    </xf>
    <xf numFmtId="0" fontId="3" fillId="4" borderId="14" xfId="0" applyFont="1" applyFill="1" applyBorder="1" applyAlignment="1">
      <alignment horizontal="center" vertical="center" readingOrder="2"/>
    </xf>
    <xf numFmtId="0" fontId="3" fillId="0" borderId="2" xfId="0" applyFont="1" applyBorder="1" applyAlignment="1">
      <alignment horizontal="center" vertical="center" readingOrder="2"/>
    </xf>
    <xf numFmtId="0" fontId="3" fillId="0" borderId="0" xfId="0" applyFont="1" applyAlignment="1">
      <alignment horizontal="center" vertical="center"/>
    </xf>
    <xf numFmtId="0" fontId="5" fillId="0" borderId="0" xfId="0" applyFont="1" applyBorder="1" applyAlignment="1">
      <alignment horizontal="right" vertical="top"/>
    </xf>
    <xf numFmtId="0" fontId="4" fillId="2" borderId="5" xfId="0" applyFont="1" applyFill="1" applyBorder="1" applyAlignment="1">
      <alignment horizontal="center" vertical="center" readingOrder="2"/>
    </xf>
    <xf numFmtId="0" fontId="4" fillId="2" borderId="6" xfId="0" applyFont="1" applyFill="1" applyBorder="1" applyAlignment="1">
      <alignment horizontal="center" vertical="center" readingOrder="2"/>
    </xf>
    <xf numFmtId="0" fontId="4" fillId="2" borderId="7" xfId="0" applyFont="1" applyFill="1" applyBorder="1" applyAlignment="1">
      <alignment horizontal="center" vertical="center" readingOrder="2"/>
    </xf>
    <xf numFmtId="0" fontId="3" fillId="0" borderId="8" xfId="0" applyFont="1" applyBorder="1" applyAlignment="1">
      <alignment horizontal="center" vertical="center" readingOrder="2"/>
    </xf>
    <xf numFmtId="0" fontId="3" fillId="0" borderId="19" xfId="0" applyFont="1" applyBorder="1" applyAlignment="1">
      <alignment horizontal="center" vertical="center"/>
    </xf>
    <xf numFmtId="0" fontId="3" fillId="0" borderId="9" xfId="0" applyFont="1" applyBorder="1" applyAlignment="1">
      <alignment horizontal="center" vertical="center"/>
    </xf>
    <xf numFmtId="0" fontId="0" fillId="0" borderId="1" xfId="0" applyBorder="1" applyAlignment="1">
      <alignment readingOrder="2"/>
    </xf>
    <xf numFmtId="0" fontId="4" fillId="2" borderId="8" xfId="0" applyFont="1" applyFill="1" applyBorder="1" applyAlignment="1">
      <alignment horizontal="right" vertical="center"/>
    </xf>
    <xf numFmtId="0" fontId="7" fillId="0" borderId="8" xfId="0" applyFont="1" applyBorder="1" applyAlignment="1">
      <alignment horizontal="right" vertical="center"/>
    </xf>
    <xf numFmtId="0" fontId="7" fillId="2" borderId="8" xfId="0" applyFont="1" applyFill="1" applyBorder="1" applyAlignment="1">
      <alignment horizontal="right" vertical="center"/>
    </xf>
    <xf numFmtId="0" fontId="4" fillId="2" borderId="21" xfId="0" applyFont="1" applyFill="1" applyBorder="1" applyAlignment="1">
      <alignment horizontal="right" vertical="center"/>
    </xf>
    <xf numFmtId="0" fontId="4" fillId="5" borderId="0" xfId="0" applyFont="1" applyFill="1" applyBorder="1" applyAlignment="1">
      <alignment horizontal="right" vertical="center" readingOrder="2"/>
    </xf>
    <xf numFmtId="0" fontId="3" fillId="0" borderId="0" xfId="0" applyFont="1" applyAlignment="1">
      <alignment horizontal="right" vertical="center" readingOrder="2"/>
    </xf>
    <xf numFmtId="0" fontId="3" fillId="0" borderId="0" xfId="0" applyFont="1" applyAlignment="1">
      <alignment horizontal="right" vertical="center"/>
    </xf>
    <xf numFmtId="0" fontId="0" fillId="0" borderId="0" xfId="0" applyAlignment="1">
      <alignment horizontal="right" vertical="center" readingOrder="2"/>
    </xf>
    <xf numFmtId="0" fontId="3" fillId="2" borderId="11" xfId="0" applyFont="1" applyFill="1" applyBorder="1" applyAlignment="1">
      <alignment horizontal="right" vertical="center" readingOrder="2"/>
    </xf>
    <xf numFmtId="0" fontId="3" fillId="2" borderId="12" xfId="0" applyFont="1" applyFill="1" applyBorder="1" applyAlignment="1">
      <alignment horizontal="right" vertical="center" readingOrder="2"/>
    </xf>
    <xf numFmtId="0" fontId="3" fillId="5" borderId="0" xfId="0" applyFont="1" applyFill="1" applyBorder="1" applyAlignment="1">
      <alignment horizontal="right" vertical="center" readingOrder="2"/>
    </xf>
    <xf numFmtId="0" fontId="3" fillId="5" borderId="0" xfId="0" applyFont="1" applyFill="1" applyBorder="1" applyAlignment="1">
      <alignment horizontal="center" vertical="center" readingOrder="2"/>
    </xf>
    <xf numFmtId="0" fontId="5" fillId="2" borderId="1" xfId="0" applyFont="1" applyFill="1" applyBorder="1" applyAlignment="1">
      <alignment horizontal="center" vertical="center" readingOrder="2"/>
    </xf>
    <xf numFmtId="0" fontId="5" fillId="2" borderId="9" xfId="0" applyFont="1" applyFill="1" applyBorder="1" applyAlignment="1">
      <alignment horizontal="center" vertical="center" readingOrder="2"/>
    </xf>
    <xf numFmtId="0" fontId="3" fillId="0" borderId="9" xfId="0" applyFont="1" applyBorder="1" applyAlignment="1">
      <alignment horizontal="center" vertical="center" readingOrder="2"/>
    </xf>
    <xf numFmtId="0" fontId="3" fillId="2" borderId="1" xfId="0" applyFont="1" applyFill="1" applyBorder="1" applyAlignment="1">
      <alignment horizontal="center" vertical="center" readingOrder="2"/>
    </xf>
    <xf numFmtId="0" fontId="3" fillId="2" borderId="9" xfId="0" applyFont="1" applyFill="1" applyBorder="1" applyAlignment="1">
      <alignment horizontal="center" vertical="center" readingOrder="2"/>
    </xf>
    <xf numFmtId="0" fontId="0" fillId="0" borderId="0" xfId="0" applyBorder="1" applyAlignment="1">
      <alignment horizontal="right" vertical="center" readingOrder="2"/>
    </xf>
    <xf numFmtId="0" fontId="3" fillId="2" borderId="8" xfId="0" applyFont="1" applyFill="1" applyBorder="1" applyAlignment="1">
      <alignment horizontal="right" vertical="center"/>
    </xf>
    <xf numFmtId="0" fontId="3" fillId="0" borderId="8" xfId="0" applyFont="1" applyBorder="1" applyAlignment="1">
      <alignment horizontal="right" vertical="center"/>
    </xf>
    <xf numFmtId="0" fontId="3" fillId="0" borderId="0" xfId="0" applyFont="1" applyBorder="1" applyAlignment="1">
      <alignment horizontal="right" vertical="center" readingOrder="2"/>
    </xf>
    <xf numFmtId="0" fontId="2" fillId="2" borderId="11" xfId="0" applyFont="1" applyFill="1" applyBorder="1" applyAlignment="1">
      <alignment horizontal="right" vertical="center"/>
    </xf>
    <xf numFmtId="0" fontId="9" fillId="0" borderId="8" xfId="0" applyFont="1" applyBorder="1" applyAlignment="1">
      <alignment horizontal="right" vertical="center"/>
    </xf>
    <xf numFmtId="0" fontId="7" fillId="0" borderId="35" xfId="0" applyFont="1" applyFill="1" applyBorder="1" applyAlignment="1">
      <alignment horizontal="right" vertical="center"/>
    </xf>
    <xf numFmtId="0" fontId="3" fillId="0" borderId="0" xfId="0" applyFont="1" applyFill="1" applyBorder="1" applyAlignment="1">
      <alignment horizontal="right" vertical="center"/>
    </xf>
    <xf numFmtId="4" fontId="3" fillId="3" borderId="1" xfId="0" applyNumberFormat="1" applyFont="1" applyFill="1" applyBorder="1" applyAlignment="1">
      <alignment horizontal="center" vertical="center" wrapText="1" readingOrder="2"/>
    </xf>
    <xf numFmtId="4" fontId="3" fillId="4" borderId="9" xfId="0" applyNumberFormat="1" applyFont="1" applyFill="1" applyBorder="1" applyAlignment="1">
      <alignment horizontal="center" vertical="center" readingOrder="2"/>
    </xf>
    <xf numFmtId="4" fontId="3" fillId="4" borderId="15" xfId="0" applyNumberFormat="1" applyFont="1" applyFill="1" applyBorder="1" applyAlignment="1">
      <alignment horizontal="center" vertical="center" readingOrder="2"/>
    </xf>
    <xf numFmtId="4" fontId="3" fillId="4" borderId="10" xfId="0" applyNumberFormat="1" applyFont="1" applyFill="1" applyBorder="1" applyAlignment="1">
      <alignment horizontal="center" vertical="center" readingOrder="2"/>
    </xf>
    <xf numFmtId="0" fontId="3" fillId="0" borderId="0" xfId="0" applyFont="1" applyAlignment="1">
      <alignment horizontal="right" vertical="center" readingOrder="2"/>
    </xf>
    <xf numFmtId="0" fontId="3" fillId="0" borderId="8" xfId="0" applyFont="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readingOrder="2"/>
    </xf>
    <xf numFmtId="0" fontId="13" fillId="0" borderId="0" xfId="0" applyFont="1" applyAlignment="1">
      <alignment readingOrder="2"/>
    </xf>
    <xf numFmtId="0" fontId="14" fillId="0" borderId="0" xfId="0" applyFont="1" applyAlignment="1">
      <alignment horizontal="center" vertical="center" readingOrder="2"/>
    </xf>
    <xf numFmtId="0" fontId="14" fillId="2" borderId="6" xfId="0" applyFont="1" applyFill="1" applyBorder="1" applyAlignment="1">
      <alignment horizontal="center" vertical="center" readingOrder="2"/>
    </xf>
    <xf numFmtId="0" fontId="14" fillId="0" borderId="1" xfId="0" applyFont="1" applyBorder="1" applyAlignment="1">
      <alignment horizontal="center" vertical="center" readingOrder="2"/>
    </xf>
    <xf numFmtId="0" fontId="14" fillId="2" borderId="7" xfId="0" applyFont="1" applyFill="1" applyBorder="1" applyAlignment="1">
      <alignment horizontal="center" vertical="center" readingOrder="2"/>
    </xf>
    <xf numFmtId="0" fontId="3" fillId="4" borderId="1" xfId="0" applyFont="1" applyFill="1" applyBorder="1" applyAlignment="1">
      <alignment horizontal="center" vertical="center" readingOrder="2"/>
    </xf>
    <xf numFmtId="4" fontId="14" fillId="4" borderId="1" xfId="0" applyNumberFormat="1" applyFont="1" applyFill="1" applyBorder="1" applyAlignment="1">
      <alignment horizontal="center" vertical="center" readingOrder="2"/>
    </xf>
    <xf numFmtId="4" fontId="14" fillId="4" borderId="9" xfId="0" applyNumberFormat="1" applyFont="1" applyFill="1" applyBorder="1" applyAlignment="1">
      <alignment horizontal="center" vertical="center" readingOrder="2"/>
    </xf>
    <xf numFmtId="4" fontId="14" fillId="4" borderId="15" xfId="0" applyNumberFormat="1" applyFont="1" applyFill="1" applyBorder="1" applyAlignment="1">
      <alignment horizontal="center" vertical="center" readingOrder="2"/>
    </xf>
    <xf numFmtId="4" fontId="14" fillId="4" borderId="14" xfId="0" applyNumberFormat="1" applyFont="1" applyFill="1" applyBorder="1" applyAlignment="1">
      <alignment horizontal="center" vertical="center" readingOrder="2"/>
    </xf>
    <xf numFmtId="0" fontId="7" fillId="4" borderId="14" xfId="0" applyFont="1" applyFill="1" applyBorder="1" applyAlignment="1">
      <alignment horizontal="center" vertical="center" readingOrder="2"/>
    </xf>
    <xf numFmtId="0" fontId="7" fillId="2" borderId="1" xfId="0" applyFont="1" applyFill="1" applyBorder="1" applyAlignment="1">
      <alignment horizontal="center" vertical="center" readingOrder="2"/>
    </xf>
    <xf numFmtId="0" fontId="7" fillId="2" borderId="9" xfId="0" applyFont="1" applyFill="1" applyBorder="1" applyAlignment="1">
      <alignment horizontal="center" vertical="center" readingOrder="2"/>
    </xf>
    <xf numFmtId="4" fontId="7" fillId="4" borderId="1" xfId="0" applyNumberFormat="1" applyFont="1" applyFill="1" applyBorder="1" applyAlignment="1">
      <alignment horizontal="center" vertical="center" readingOrder="2"/>
    </xf>
    <xf numFmtId="4" fontId="7" fillId="4" borderId="14" xfId="0" applyNumberFormat="1" applyFont="1" applyFill="1" applyBorder="1" applyAlignment="1">
      <alignment horizontal="center" vertical="center" readingOrder="2"/>
    </xf>
    <xf numFmtId="4" fontId="7" fillId="6" borderId="1" xfId="0" applyNumberFormat="1" applyFont="1" applyFill="1" applyBorder="1" applyAlignment="1">
      <alignment horizontal="center" vertical="center" readingOrder="2"/>
    </xf>
    <xf numFmtId="4" fontId="3" fillId="4" borderId="17" xfId="0" applyNumberFormat="1" applyFont="1" applyFill="1" applyBorder="1" applyAlignment="1">
      <alignment horizontal="center" readingOrder="2"/>
    </xf>
    <xf numFmtId="4" fontId="3" fillId="4" borderId="17" xfId="0" applyNumberFormat="1" applyFont="1" applyFill="1" applyBorder="1" applyAlignment="1">
      <alignment horizontal="center" vertical="center" readingOrder="2"/>
    </xf>
    <xf numFmtId="4" fontId="3" fillId="4" borderId="1" xfId="0" applyNumberFormat="1" applyFont="1" applyFill="1" applyBorder="1" applyAlignment="1">
      <alignment horizontal="center" vertical="center" wrapText="1" readingOrder="2"/>
    </xf>
    <xf numFmtId="0" fontId="12" fillId="0" borderId="1" xfId="1" applyFont="1" applyBorder="1" applyAlignment="1" applyProtection="1">
      <alignment horizontal="center" vertical="center" readingOrder="2"/>
    </xf>
    <xf numFmtId="0" fontId="16" fillId="0" borderId="1" xfId="1" applyFont="1" applyBorder="1" applyAlignment="1" applyProtection="1">
      <alignment horizontal="center" vertical="center" readingOrder="2"/>
    </xf>
    <xf numFmtId="4" fontId="3" fillId="4" borderId="14" xfId="0" applyNumberFormat="1" applyFont="1" applyFill="1" applyBorder="1" applyAlignment="1">
      <alignment horizontal="center" vertical="center" readingOrder="2"/>
    </xf>
    <xf numFmtId="4" fontId="3" fillId="4" borderId="1" xfId="0" applyNumberFormat="1" applyFont="1" applyFill="1" applyBorder="1" applyAlignment="1">
      <alignment horizontal="center" vertical="center" readingOrder="2"/>
    </xf>
    <xf numFmtId="0" fontId="3" fillId="0" borderId="25" xfId="0" applyFont="1" applyBorder="1" applyAlignment="1">
      <alignment horizontal="right" vertical="center" readingOrder="2"/>
    </xf>
    <xf numFmtId="0" fontId="3" fillId="0" borderId="0" xfId="0" applyFont="1" applyAlignment="1">
      <alignment horizontal="right" vertical="center" readingOrder="2"/>
    </xf>
    <xf numFmtId="0" fontId="3" fillId="0" borderId="0" xfId="0" applyFont="1" applyAlignment="1">
      <alignment horizontal="center" vertical="center" readingOrder="2"/>
    </xf>
    <xf numFmtId="0" fontId="18" fillId="0" borderId="0" xfId="0" applyFont="1"/>
    <xf numFmtId="0" fontId="16" fillId="0" borderId="0" xfId="0" applyFont="1" applyAlignment="1">
      <alignment horizontal="right" vertical="center"/>
    </xf>
    <xf numFmtId="0" fontId="17" fillId="0" borderId="0" xfId="0" applyFont="1" applyAlignment="1">
      <alignment horizontal="right" vertical="center"/>
    </xf>
    <xf numFmtId="0" fontId="18" fillId="0" borderId="0" xfId="0" applyFont="1" applyAlignment="1">
      <alignment readingOrder="2"/>
    </xf>
    <xf numFmtId="0" fontId="16" fillId="0" borderId="15" xfId="0" applyFont="1" applyBorder="1" applyAlignment="1">
      <alignment horizontal="center" vertical="center" readingOrder="2"/>
    </xf>
    <xf numFmtId="0" fontId="16" fillId="0" borderId="1" xfId="0" applyFont="1" applyBorder="1" applyAlignment="1">
      <alignment horizontal="center" vertical="center" readingOrder="2"/>
    </xf>
    <xf numFmtId="0" fontId="16" fillId="0" borderId="9" xfId="0" applyFont="1" applyBorder="1" applyAlignment="1">
      <alignment horizontal="center" vertical="center" readingOrder="2"/>
    </xf>
    <xf numFmtId="0" fontId="16" fillId="4" borderId="14" xfId="0" applyFont="1" applyFill="1" applyBorder="1" applyAlignment="1">
      <alignment horizontal="center" vertical="center" readingOrder="2"/>
    </xf>
    <xf numFmtId="0" fontId="16" fillId="2" borderId="5" xfId="0" applyFont="1" applyFill="1" applyBorder="1" applyAlignment="1">
      <alignment horizontal="center" vertical="center" readingOrder="2"/>
    </xf>
    <xf numFmtId="0" fontId="16" fillId="2" borderId="6" xfId="0" applyFont="1" applyFill="1" applyBorder="1" applyAlignment="1">
      <alignment horizontal="center" vertical="center" readingOrder="2"/>
    </xf>
    <xf numFmtId="0" fontId="16" fillId="2" borderId="6" xfId="0" applyFont="1" applyFill="1" applyBorder="1" applyAlignment="1">
      <alignment horizontal="center" vertical="center" wrapText="1" readingOrder="2"/>
    </xf>
    <xf numFmtId="0" fontId="16" fillId="2" borderId="32" xfId="0" applyFont="1" applyFill="1" applyBorder="1" applyAlignment="1">
      <alignment horizontal="center" vertical="center" wrapText="1" readingOrder="2"/>
    </xf>
    <xf numFmtId="0" fontId="16" fillId="2" borderId="7" xfId="0" applyFont="1" applyFill="1" applyBorder="1" applyAlignment="1">
      <alignment horizontal="center" vertical="center" readingOrder="2"/>
    </xf>
    <xf numFmtId="4" fontId="14" fillId="3" borderId="0" xfId="0" applyNumberFormat="1" applyFont="1" applyFill="1" applyAlignment="1">
      <alignment horizontal="center" vertical="center" readingOrder="2"/>
    </xf>
    <xf numFmtId="4" fontId="16" fillId="4" borderId="36" xfId="0" applyNumberFormat="1" applyFont="1" applyFill="1" applyBorder="1" applyAlignment="1">
      <alignment horizontal="center" vertical="center" readingOrder="2"/>
    </xf>
    <xf numFmtId="4" fontId="16" fillId="4" borderId="37" xfId="0" applyNumberFormat="1" applyFont="1" applyFill="1" applyBorder="1" applyAlignment="1">
      <alignment horizontal="center" vertical="center" readingOrder="2"/>
    </xf>
    <xf numFmtId="4" fontId="3" fillId="3" borderId="0" xfId="0" applyNumberFormat="1" applyFont="1" applyFill="1" applyAlignment="1">
      <alignment horizontal="center" vertical="center" readingOrder="2"/>
    </xf>
    <xf numFmtId="0" fontId="3" fillId="0" borderId="1" xfId="0" applyFont="1" applyBorder="1" applyAlignment="1">
      <alignment horizontal="right" vertical="center" readingOrder="2"/>
    </xf>
    <xf numFmtId="0" fontId="3" fillId="2" borderId="5" xfId="0" applyFont="1" applyFill="1" applyBorder="1" applyAlignment="1">
      <alignment horizontal="center" vertical="center" readingOrder="2"/>
    </xf>
    <xf numFmtId="0" fontId="3" fillId="2" borderId="7" xfId="0" applyFont="1" applyFill="1" applyBorder="1" applyAlignment="1">
      <alignment horizontal="center" vertical="center" readingOrder="2"/>
    </xf>
    <xf numFmtId="0" fontId="3" fillId="0" borderId="0" xfId="0" applyFont="1" applyBorder="1" applyAlignment="1">
      <alignment horizontal="center" vertical="center" readingOrder="2"/>
    </xf>
    <xf numFmtId="4" fontId="3" fillId="3" borderId="0" xfId="0" applyNumberFormat="1" applyFont="1" applyFill="1" applyBorder="1" applyAlignment="1">
      <alignment horizontal="center" vertical="center" readingOrder="2"/>
    </xf>
    <xf numFmtId="0" fontId="19" fillId="0" borderId="0" xfId="0" applyFont="1" applyAlignment="1">
      <alignment horizontal="center" readingOrder="2"/>
    </xf>
    <xf numFmtId="0" fontId="19" fillId="0" borderId="0" xfId="0" applyFont="1" applyAlignment="1">
      <alignment horizontal="center"/>
    </xf>
    <xf numFmtId="0" fontId="19" fillId="0" borderId="0" xfId="0" applyFont="1" applyAlignment="1">
      <alignment horizontal="center" vertical="center" readingOrder="2"/>
    </xf>
    <xf numFmtId="0" fontId="3" fillId="7" borderId="39" xfId="0" applyFont="1" applyFill="1" applyBorder="1" applyAlignment="1">
      <alignment horizontal="center" vertical="center" readingOrder="2"/>
    </xf>
    <xf numFmtId="0" fontId="3" fillId="7" borderId="40" xfId="0" applyFont="1" applyFill="1" applyBorder="1" applyAlignment="1">
      <alignment horizontal="center" vertical="center"/>
    </xf>
    <xf numFmtId="0" fontId="3" fillId="7" borderId="40" xfId="0" applyFont="1" applyFill="1" applyBorder="1" applyAlignment="1">
      <alignment horizontal="center" vertical="center" readingOrder="2"/>
    </xf>
    <xf numFmtId="0" fontId="7" fillId="7" borderId="40" xfId="0" applyFont="1" applyFill="1" applyBorder="1" applyAlignment="1">
      <alignment horizontal="center" vertical="center" readingOrder="2"/>
    </xf>
    <xf numFmtId="0" fontId="3" fillId="7" borderId="41" xfId="0" applyFont="1" applyFill="1" applyBorder="1" applyAlignment="1">
      <alignment horizontal="center" vertical="center" readingOrder="2"/>
    </xf>
    <xf numFmtId="0" fontId="3" fillId="0" borderId="3" xfId="0" applyFont="1" applyBorder="1" applyAlignment="1">
      <alignment horizontal="right" vertical="center"/>
    </xf>
    <xf numFmtId="0" fontId="3" fillId="0" borderId="1" xfId="0" applyFont="1" applyBorder="1" applyAlignment="1">
      <alignment horizontal="right" vertical="center"/>
    </xf>
    <xf numFmtId="0" fontId="3" fillId="0" borderId="2" xfId="0" applyFont="1" applyBorder="1" applyAlignment="1">
      <alignment horizontal="right" vertical="center"/>
    </xf>
    <xf numFmtId="0" fontId="0" fillId="0" borderId="0" xfId="0" applyFont="1" applyAlignment="1">
      <alignment readingOrder="2"/>
    </xf>
    <xf numFmtId="0" fontId="0" fillId="0" borderId="0" xfId="0" applyFont="1"/>
    <xf numFmtId="0" fontId="0" fillId="0" borderId="0" xfId="0" applyFont="1" applyAlignment="1">
      <alignment vertical="center" readingOrder="2"/>
    </xf>
    <xf numFmtId="0" fontId="21" fillId="0" borderId="0" xfId="0" applyFont="1" applyAlignment="1">
      <alignment vertical="center" readingOrder="2"/>
    </xf>
    <xf numFmtId="4" fontId="4" fillId="3" borderId="25" xfId="0" applyNumberFormat="1" applyFont="1" applyFill="1" applyBorder="1" applyAlignment="1">
      <alignment horizontal="center" vertical="center" readingOrder="2"/>
    </xf>
    <xf numFmtId="4" fontId="17" fillId="3" borderId="0" xfId="0" applyNumberFormat="1" applyFont="1" applyFill="1" applyAlignment="1">
      <alignment horizontal="center" vertical="center" readingOrder="2"/>
    </xf>
    <xf numFmtId="0" fontId="17" fillId="0" borderId="0" xfId="0" applyFont="1" applyAlignment="1">
      <alignment horizontal="center" vertical="center" readingOrder="2"/>
    </xf>
    <xf numFmtId="0" fontId="17" fillId="2" borderId="6" xfId="0" applyFont="1" applyFill="1" applyBorder="1" applyAlignment="1">
      <alignment horizontal="center" vertical="center" readingOrder="2"/>
    </xf>
    <xf numFmtId="0" fontId="17" fillId="0" borderId="1" xfId="0" applyFont="1" applyBorder="1" applyAlignment="1">
      <alignment horizontal="center" vertical="center" readingOrder="2"/>
    </xf>
    <xf numFmtId="0" fontId="17" fillId="4" borderId="14" xfId="0" applyFont="1" applyFill="1" applyBorder="1" applyAlignment="1">
      <alignment horizontal="center" vertical="center" readingOrder="2"/>
    </xf>
    <xf numFmtId="4" fontId="3" fillId="4" borderId="2" xfId="0" applyNumberFormat="1" applyFont="1" applyFill="1" applyBorder="1" applyAlignment="1">
      <alignment horizontal="center" vertical="center" wrapText="1" readingOrder="2"/>
    </xf>
    <xf numFmtId="0" fontId="3" fillId="0" borderId="24" xfId="0" applyFont="1" applyBorder="1" applyAlignment="1">
      <alignment vertical="center"/>
    </xf>
    <xf numFmtId="0" fontId="3" fillId="8" borderId="1" xfId="0" applyFont="1" applyFill="1" applyBorder="1" applyAlignment="1">
      <alignment horizontal="center" vertical="center" readingOrder="2"/>
    </xf>
    <xf numFmtId="0" fontId="22" fillId="0" borderId="8" xfId="0" applyFont="1" applyBorder="1" applyAlignment="1">
      <alignment horizontal="right" vertical="center"/>
    </xf>
    <xf numFmtId="0" fontId="4" fillId="8" borderId="8" xfId="0" applyFont="1" applyFill="1" applyBorder="1" applyAlignment="1">
      <alignment horizontal="right" vertical="center"/>
    </xf>
    <xf numFmtId="0" fontId="3" fillId="0" borderId="0" xfId="0" applyFont="1" applyAlignment="1">
      <alignment horizontal="center" vertical="center"/>
    </xf>
    <xf numFmtId="4" fontId="0" fillId="0" borderId="0" xfId="0" applyNumberFormat="1"/>
    <xf numFmtId="4" fontId="7" fillId="4" borderId="15" xfId="0" applyNumberFormat="1" applyFont="1" applyFill="1" applyBorder="1" applyAlignment="1">
      <alignment horizontal="center" vertical="center" readingOrder="2"/>
    </xf>
    <xf numFmtId="4" fontId="7" fillId="4" borderId="9" xfId="0" applyNumberFormat="1" applyFont="1" applyFill="1" applyBorder="1" applyAlignment="1">
      <alignment horizontal="center" vertical="center" readingOrder="2"/>
    </xf>
    <xf numFmtId="4" fontId="7" fillId="8" borderId="1" xfId="0" applyNumberFormat="1" applyFont="1" applyFill="1" applyBorder="1" applyAlignment="1">
      <alignment horizontal="center" vertical="center" readingOrder="2"/>
    </xf>
    <xf numFmtId="4" fontId="7" fillId="8" borderId="9" xfId="0" applyNumberFormat="1" applyFont="1" applyFill="1" applyBorder="1" applyAlignment="1">
      <alignment horizontal="center" vertical="center" readingOrder="2"/>
    </xf>
    <xf numFmtId="4" fontId="7" fillId="2" borderId="1" xfId="0" applyNumberFormat="1" applyFont="1" applyFill="1" applyBorder="1" applyAlignment="1">
      <alignment horizontal="center" vertical="center" readingOrder="2"/>
    </xf>
    <xf numFmtId="4" fontId="15" fillId="2" borderId="9" xfId="0" applyNumberFormat="1" applyFont="1" applyFill="1" applyBorder="1" applyAlignment="1">
      <alignment horizontal="center" vertical="center" readingOrder="2"/>
    </xf>
    <xf numFmtId="4" fontId="7" fillId="2" borderId="9" xfId="0" applyNumberFormat="1" applyFont="1" applyFill="1" applyBorder="1" applyAlignment="1">
      <alignment horizontal="center" vertical="center" readingOrder="2"/>
    </xf>
    <xf numFmtId="4" fontId="7" fillId="8" borderId="16" xfId="0" applyNumberFormat="1" applyFont="1" applyFill="1" applyBorder="1" applyAlignment="1">
      <alignment horizontal="center" vertical="center" readingOrder="2"/>
    </xf>
    <xf numFmtId="4" fontId="7" fillId="0" borderId="1" xfId="0" applyNumberFormat="1" applyFont="1" applyBorder="1" applyAlignment="1">
      <alignment horizontal="center" vertical="center" readingOrder="2"/>
    </xf>
    <xf numFmtId="4" fontId="7" fillId="5" borderId="1" xfId="0" applyNumberFormat="1" applyFont="1" applyFill="1" applyBorder="1" applyAlignment="1">
      <alignment horizontal="center" vertical="center" readingOrder="2"/>
    </xf>
    <xf numFmtId="4" fontId="3" fillId="8" borderId="1" xfId="0" applyNumberFormat="1" applyFont="1" applyFill="1" applyBorder="1" applyAlignment="1">
      <alignment horizontal="center" vertical="center" readingOrder="2"/>
    </xf>
    <xf numFmtId="4" fontId="3" fillId="8" borderId="9" xfId="0" applyNumberFormat="1" applyFont="1" applyFill="1" applyBorder="1" applyAlignment="1">
      <alignment horizontal="center" vertical="center" readingOrder="2"/>
    </xf>
    <xf numFmtId="4" fontId="3" fillId="0" borderId="1" xfId="0" applyNumberFormat="1" applyFont="1" applyBorder="1" applyAlignment="1">
      <alignment horizontal="center" vertical="center" readingOrder="2"/>
    </xf>
    <xf numFmtId="4" fontId="3" fillId="2" borderId="1" xfId="0" applyNumberFormat="1" applyFont="1" applyFill="1" applyBorder="1" applyAlignment="1">
      <alignment horizontal="center" vertical="center" readingOrder="2"/>
    </xf>
    <xf numFmtId="4" fontId="3" fillId="2" borderId="9" xfId="0" applyNumberFormat="1" applyFont="1" applyFill="1" applyBorder="1" applyAlignment="1">
      <alignment horizontal="center" vertical="center" readingOrder="2"/>
    </xf>
    <xf numFmtId="4" fontId="3" fillId="0" borderId="9" xfId="0" applyNumberFormat="1" applyFont="1" applyBorder="1" applyAlignment="1">
      <alignment horizontal="center" vertical="center" readingOrder="2"/>
    </xf>
    <xf numFmtId="4" fontId="3" fillId="8" borderId="20" xfId="0" applyNumberFormat="1" applyFont="1" applyFill="1" applyBorder="1" applyAlignment="1">
      <alignment horizontal="center" vertical="center" readingOrder="2"/>
    </xf>
    <xf numFmtId="4" fontId="3" fillId="4" borderId="3" xfId="0" applyNumberFormat="1" applyFont="1" applyFill="1" applyBorder="1" applyAlignment="1">
      <alignment horizontal="center" vertical="center" readingOrder="2"/>
    </xf>
    <xf numFmtId="4" fontId="3" fillId="6" borderId="9" xfId="0" applyNumberFormat="1" applyFont="1" applyFill="1" applyBorder="1" applyAlignment="1">
      <alignment horizontal="center" vertical="center" readingOrder="2"/>
    </xf>
    <xf numFmtId="4" fontId="0" fillId="8" borderId="1" xfId="0" applyNumberFormat="1" applyFill="1" applyBorder="1" applyAlignment="1">
      <alignment readingOrder="2"/>
    </xf>
    <xf numFmtId="4" fontId="0" fillId="0" borderId="9" xfId="0" applyNumberFormat="1" applyBorder="1" applyAlignment="1">
      <alignment readingOrder="2"/>
    </xf>
    <xf numFmtId="0" fontId="4" fillId="0" borderId="0" xfId="0" applyFont="1" applyAlignment="1">
      <alignment horizontal="right" vertical="center" wrapText="1"/>
    </xf>
    <xf numFmtId="0" fontId="4" fillId="8" borderId="5" xfId="0" applyFont="1" applyFill="1" applyBorder="1" applyAlignment="1">
      <alignment horizontal="center" vertical="center" wrapText="1"/>
    </xf>
    <xf numFmtId="0" fontId="4" fillId="8" borderId="6"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3" fillId="0" borderId="14" xfId="0" applyFont="1" applyBorder="1" applyAlignment="1">
      <alignment horizontal="center" vertical="center" wrapText="1"/>
    </xf>
    <xf numFmtId="0" fontId="3" fillId="0" borderId="1" xfId="0" applyFont="1" applyBorder="1" applyAlignment="1">
      <alignment horizontal="right" vertical="center" wrapText="1"/>
    </xf>
    <xf numFmtId="0" fontId="3" fillId="0" borderId="9" xfId="0" applyFont="1" applyBorder="1" applyAlignment="1">
      <alignment horizontal="right" vertical="center" wrapText="1"/>
    </xf>
    <xf numFmtId="0" fontId="3" fillId="0" borderId="15" xfId="0" applyFont="1" applyBorder="1" applyAlignment="1">
      <alignment horizontal="right" vertical="center" wrapText="1"/>
    </xf>
    <xf numFmtId="0" fontId="3" fillId="0" borderId="13" xfId="0" applyFont="1" applyBorder="1" applyAlignment="1">
      <alignment horizontal="center" vertical="center" wrapText="1"/>
    </xf>
    <xf numFmtId="4" fontId="3" fillId="5" borderId="1" xfId="0" applyNumberFormat="1" applyFont="1" applyFill="1" applyBorder="1" applyAlignment="1">
      <alignment horizontal="center" vertical="center" readingOrder="2"/>
    </xf>
    <xf numFmtId="0" fontId="30" fillId="14" borderId="1" xfId="7" applyFont="1" applyBorder="1" applyAlignment="1">
      <alignment horizontal="center" vertical="center"/>
    </xf>
    <xf numFmtId="0" fontId="30" fillId="0" borderId="1" xfId="0" applyFont="1" applyBorder="1" applyAlignment="1">
      <alignment horizontal="right" vertical="center"/>
    </xf>
    <xf numFmtId="0" fontId="30" fillId="0" borderId="1" xfId="0" applyFont="1" applyBorder="1" applyAlignment="1">
      <alignment horizontal="right" vertical="center"/>
    </xf>
    <xf numFmtId="1" fontId="30" fillId="0" borderId="1" xfId="0" applyNumberFormat="1" applyFont="1" applyBorder="1" applyAlignment="1">
      <alignment horizontal="center" vertical="center"/>
    </xf>
    <xf numFmtId="0" fontId="33" fillId="0" borderId="0" xfId="0" applyFont="1" applyBorder="1"/>
    <xf numFmtId="0" fontId="30" fillId="0" borderId="0" xfId="0" applyFont="1" applyBorder="1" applyAlignment="1">
      <alignment horizontal="center" vertical="center"/>
    </xf>
    <xf numFmtId="0" fontId="34" fillId="0" borderId="0" xfId="0" applyFont="1" applyBorder="1"/>
    <xf numFmtId="0" fontId="30" fillId="0" borderId="1" xfId="0" applyFont="1" applyBorder="1" applyAlignment="1">
      <alignment horizontal="right" vertical="center"/>
    </xf>
    <xf numFmtId="0" fontId="31" fillId="3" borderId="47" xfId="0" applyFont="1" applyFill="1" applyBorder="1" applyAlignment="1">
      <alignment horizontal="center" vertical="center"/>
    </xf>
    <xf numFmtId="0" fontId="36" fillId="3" borderId="47" xfId="0" applyFont="1" applyFill="1" applyBorder="1" applyAlignment="1">
      <alignment horizontal="center" vertical="center" wrapText="1"/>
    </xf>
    <xf numFmtId="1" fontId="30" fillId="5" borderId="1" xfId="7" applyNumberFormat="1" applyFont="1" applyFill="1" applyBorder="1" applyAlignment="1">
      <alignment horizontal="center" vertical="center"/>
    </xf>
    <xf numFmtId="1" fontId="30" fillId="5" borderId="1" xfId="8" applyNumberFormat="1" applyFont="1" applyFill="1" applyBorder="1" applyAlignment="1">
      <alignment horizontal="center" vertical="center"/>
    </xf>
    <xf numFmtId="1" fontId="30" fillId="5" borderId="1" xfId="2" applyNumberFormat="1" applyFont="1" applyFill="1" applyBorder="1" applyAlignment="1">
      <alignment horizontal="center" vertical="center"/>
    </xf>
    <xf numFmtId="0" fontId="30" fillId="2" borderId="1" xfId="7" applyFont="1" applyFill="1" applyBorder="1" applyAlignment="1">
      <alignment horizontal="center" vertical="center"/>
    </xf>
    <xf numFmtId="0" fontId="30" fillId="2" borderId="1" xfId="0" applyFont="1" applyFill="1" applyBorder="1" applyAlignment="1">
      <alignment horizontal="center" vertical="center"/>
    </xf>
    <xf numFmtId="0" fontId="30" fillId="2" borderId="1" xfId="5" applyFont="1" applyFill="1" applyBorder="1" applyAlignment="1">
      <alignment horizontal="center" vertical="center"/>
    </xf>
    <xf numFmtId="0" fontId="30" fillId="2" borderId="1" xfId="8" applyFont="1" applyFill="1" applyBorder="1" applyAlignment="1">
      <alignment horizontal="center" vertical="center"/>
    </xf>
    <xf numFmtId="0" fontId="30" fillId="2" borderId="1" xfId="3" applyFont="1" applyFill="1" applyBorder="1" applyAlignment="1">
      <alignment horizontal="center" vertical="center"/>
    </xf>
    <xf numFmtId="0" fontId="30" fillId="2" borderId="1" xfId="4" applyFont="1" applyFill="1" applyBorder="1" applyAlignment="1">
      <alignment horizontal="center" vertical="center"/>
    </xf>
    <xf numFmtId="1" fontId="30" fillId="4" borderId="1" xfId="3" applyNumberFormat="1" applyFont="1" applyFill="1" applyBorder="1" applyAlignment="1">
      <alignment horizontal="center" vertical="center"/>
    </xf>
    <xf numFmtId="1" fontId="30" fillId="4" borderId="1" xfId="5" applyNumberFormat="1" applyFont="1" applyFill="1" applyBorder="1" applyAlignment="1">
      <alignment horizontal="center" vertical="center"/>
    </xf>
    <xf numFmtId="1" fontId="30" fillId="4" borderId="1" xfId="4" applyNumberFormat="1" applyFont="1" applyFill="1" applyBorder="1" applyAlignment="1">
      <alignment horizontal="center" vertical="center"/>
    </xf>
    <xf numFmtId="0" fontId="32" fillId="5" borderId="1" xfId="4" applyFont="1" applyFill="1" applyBorder="1" applyAlignment="1">
      <alignment horizontal="center" vertical="center"/>
    </xf>
    <xf numFmtId="0" fontId="16" fillId="16" borderId="8" xfId="0" applyFont="1" applyFill="1" applyBorder="1" applyAlignment="1">
      <alignment horizontal="center" vertical="center" readingOrder="2"/>
    </xf>
    <xf numFmtId="0" fontId="3" fillId="16" borderId="8" xfId="0" applyFont="1" applyFill="1" applyBorder="1" applyAlignment="1">
      <alignment horizontal="center" vertical="center" wrapText="1"/>
    </xf>
    <xf numFmtId="0" fontId="3" fillId="16" borderId="8" xfId="0" applyFont="1" applyFill="1" applyBorder="1" applyAlignment="1">
      <alignment horizontal="center" vertical="center" readingOrder="2"/>
    </xf>
    <xf numFmtId="0" fontId="3" fillId="16" borderId="8" xfId="0" applyFont="1" applyFill="1" applyBorder="1" applyAlignment="1">
      <alignment horizontal="center" vertical="center"/>
    </xf>
    <xf numFmtId="164" fontId="3" fillId="4" borderId="9" xfId="0" applyNumberFormat="1" applyFont="1" applyFill="1" applyBorder="1" applyAlignment="1">
      <alignment horizontal="center" vertical="center" readingOrder="2"/>
    </xf>
    <xf numFmtId="0" fontId="3" fillId="16" borderId="31" xfId="0" applyFont="1" applyFill="1" applyBorder="1" applyAlignment="1">
      <alignment horizontal="center" vertical="center" readingOrder="2"/>
    </xf>
    <xf numFmtId="0" fontId="20" fillId="0" borderId="3" xfId="0" applyFont="1" applyBorder="1" applyAlignment="1">
      <alignment horizontal="center" vertical="center" readingOrder="2"/>
    </xf>
    <xf numFmtId="0" fontId="20" fillId="4" borderId="42" xfId="0" applyFont="1" applyFill="1" applyBorder="1" applyAlignment="1">
      <alignment horizontal="center" vertical="center" readingOrder="2"/>
    </xf>
    <xf numFmtId="0" fontId="20" fillId="0" borderId="1" xfId="0" applyFont="1" applyBorder="1" applyAlignment="1">
      <alignment horizontal="center" vertical="center" readingOrder="2"/>
    </xf>
    <xf numFmtId="0" fontId="20" fillId="4" borderId="9" xfId="0" applyFont="1" applyFill="1" applyBorder="1" applyAlignment="1">
      <alignment horizontal="center" vertical="center" readingOrder="2"/>
    </xf>
    <xf numFmtId="14" fontId="20" fillId="0" borderId="1" xfId="0" applyNumberFormat="1" applyFont="1" applyBorder="1" applyAlignment="1">
      <alignment horizontal="center" vertical="center" readingOrder="2"/>
    </xf>
    <xf numFmtId="0" fontId="20" fillId="0" borderId="2" xfId="0" applyFont="1" applyBorder="1" applyAlignment="1">
      <alignment horizontal="center" vertical="center" readingOrder="2"/>
    </xf>
    <xf numFmtId="14" fontId="20" fillId="0" borderId="2" xfId="0" applyNumberFormat="1" applyFont="1" applyBorder="1" applyAlignment="1">
      <alignment horizontal="center" vertical="center" readingOrder="2"/>
    </xf>
    <xf numFmtId="0" fontId="20" fillId="4" borderId="10" xfId="0" applyFont="1" applyFill="1" applyBorder="1" applyAlignment="1">
      <alignment horizontal="center" vertical="center" readingOrder="2"/>
    </xf>
    <xf numFmtId="0" fontId="20" fillId="4" borderId="40" xfId="0" applyFont="1" applyFill="1" applyBorder="1" applyAlignment="1">
      <alignment horizontal="center" vertical="center" readingOrder="2"/>
    </xf>
    <xf numFmtId="0" fontId="20" fillId="4" borderId="41" xfId="0" applyFont="1" applyFill="1" applyBorder="1" applyAlignment="1">
      <alignment horizontal="center" vertical="center" readingOrder="2"/>
    </xf>
    <xf numFmtId="0" fontId="20" fillId="0" borderId="1" xfId="0" applyFont="1" applyBorder="1" applyAlignment="1">
      <alignment horizontal="center" vertical="center" wrapText="1" readingOrder="2"/>
    </xf>
    <xf numFmtId="0" fontId="20" fillId="0" borderId="2" xfId="0" applyFont="1" applyBorder="1" applyAlignment="1">
      <alignment horizontal="center" vertical="center" wrapText="1" readingOrder="2"/>
    </xf>
    <xf numFmtId="0" fontId="20" fillId="4" borderId="1" xfId="0" applyFont="1" applyFill="1" applyBorder="1" applyAlignment="1">
      <alignment horizontal="center" vertical="center" wrapText="1" readingOrder="2"/>
    </xf>
    <xf numFmtId="0" fontId="20" fillId="4" borderId="1" xfId="0" applyFont="1" applyFill="1" applyBorder="1" applyAlignment="1">
      <alignment horizontal="center" vertical="center" readingOrder="2"/>
    </xf>
    <xf numFmtId="0" fontId="20" fillId="4" borderId="17" xfId="0" applyFont="1" applyFill="1" applyBorder="1" applyAlignment="1">
      <alignment horizontal="center" vertical="center" readingOrder="2"/>
    </xf>
    <xf numFmtId="0" fontId="20" fillId="4" borderId="14" xfId="0" applyFont="1" applyFill="1" applyBorder="1" applyAlignment="1">
      <alignment horizontal="center" vertical="center" readingOrder="2"/>
    </xf>
    <xf numFmtId="0" fontId="3" fillId="0" borderId="0" xfId="0" applyFont="1" applyAlignment="1">
      <alignment horizontal="center" vertical="center"/>
    </xf>
    <xf numFmtId="0" fontId="3" fillId="0" borderId="0" xfId="0" applyFont="1" applyAlignment="1">
      <alignment horizontal="center"/>
    </xf>
    <xf numFmtId="0" fontId="5" fillId="0" borderId="0" xfId="0" applyFont="1" applyAlignment="1">
      <alignment horizontal="right"/>
    </xf>
    <xf numFmtId="0" fontId="5" fillId="0" borderId="0" xfId="0" applyFont="1" applyAlignment="1"/>
    <xf numFmtId="0" fontId="3" fillId="0" borderId="11" xfId="0" applyFont="1" applyBorder="1" applyAlignment="1">
      <alignment horizontal="right" vertical="center"/>
    </xf>
    <xf numFmtId="0" fontId="3" fillId="0" borderId="12" xfId="0" applyFont="1" applyBorder="1" applyAlignment="1">
      <alignment horizontal="right" vertical="center"/>
    </xf>
    <xf numFmtId="0" fontId="3" fillId="0" borderId="13" xfId="0" applyFont="1" applyBorder="1" applyAlignment="1">
      <alignment horizontal="right" vertical="center"/>
    </xf>
    <xf numFmtId="0" fontId="2" fillId="2" borderId="18"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6" xfId="0" applyFont="1" applyFill="1" applyBorder="1" applyAlignment="1">
      <alignment horizontal="center" vertical="center"/>
    </xf>
    <xf numFmtId="0" fontId="3" fillId="0" borderId="18" xfId="0" applyFont="1" applyBorder="1" applyAlignment="1">
      <alignment horizontal="right" vertical="center"/>
    </xf>
    <xf numFmtId="0" fontId="3" fillId="0" borderId="4" xfId="0" applyFont="1" applyBorder="1" applyAlignment="1">
      <alignment horizontal="right" vertical="center"/>
    </xf>
    <xf numFmtId="0" fontId="3" fillId="0" borderId="16" xfId="0" applyFont="1" applyBorder="1" applyAlignment="1">
      <alignment horizontal="right" vertical="center"/>
    </xf>
    <xf numFmtId="0" fontId="12" fillId="0" borderId="25" xfId="1" applyFont="1" applyBorder="1" applyAlignment="1" applyProtection="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0" borderId="0" xfId="0" applyFont="1" applyAlignment="1">
      <alignment horizontal="center" readingOrder="2"/>
    </xf>
    <xf numFmtId="0" fontId="0" fillId="0" borderId="0" xfId="0" applyAlignment="1">
      <alignment horizontal="center" vertical="center"/>
    </xf>
    <xf numFmtId="0" fontId="12" fillId="0" borderId="0" xfId="1" applyFont="1" applyAlignment="1" applyProtection="1">
      <alignment horizontal="center" vertical="center"/>
    </xf>
    <xf numFmtId="0" fontId="12" fillId="0" borderId="0" xfId="1" applyFont="1" applyAlignment="1" applyProtection="1">
      <alignment horizontal="center"/>
    </xf>
    <xf numFmtId="0" fontId="12" fillId="5" borderId="0" xfId="1" applyFont="1" applyFill="1" applyBorder="1" applyAlignment="1" applyProtection="1">
      <alignment horizontal="center" vertical="center" readingOrder="2"/>
    </xf>
    <xf numFmtId="0" fontId="5" fillId="0" borderId="0" xfId="0" applyFont="1" applyAlignment="1">
      <alignment horizontal="right" vertical="center" readingOrder="2"/>
    </xf>
    <xf numFmtId="0" fontId="0" fillId="0" borderId="0" xfId="0" applyAlignment="1">
      <alignment horizontal="right" vertical="center" readingOrder="2"/>
    </xf>
    <xf numFmtId="0" fontId="3" fillId="0" borderId="0" xfId="0" applyFont="1" applyAlignment="1">
      <alignment horizontal="right" vertical="center" readingOrder="2"/>
    </xf>
    <xf numFmtId="0" fontId="3" fillId="2" borderId="11" xfId="0" applyFont="1" applyFill="1" applyBorder="1" applyAlignment="1">
      <alignment horizontal="right" vertical="center" readingOrder="2"/>
    </xf>
    <xf numFmtId="0" fontId="3" fillId="2" borderId="12" xfId="0" applyFont="1" applyFill="1" applyBorder="1" applyAlignment="1">
      <alignment horizontal="right" vertical="center" readingOrder="2"/>
    </xf>
    <xf numFmtId="0" fontId="3" fillId="2" borderId="13" xfId="0" applyFont="1" applyFill="1" applyBorder="1" applyAlignment="1">
      <alignment horizontal="right" vertical="center" readingOrder="2"/>
    </xf>
    <xf numFmtId="0" fontId="5" fillId="0" borderId="0" xfId="0" applyFont="1" applyAlignment="1">
      <alignment vertical="center" readingOrder="2"/>
    </xf>
    <xf numFmtId="0" fontId="0" fillId="0" borderId="0" xfId="0" applyAlignment="1">
      <alignment vertical="center" readingOrder="2"/>
    </xf>
    <xf numFmtId="0" fontId="4" fillId="0" borderId="0" xfId="0" applyFont="1" applyFill="1" applyBorder="1" applyAlignment="1">
      <alignment horizontal="right" vertical="center"/>
    </xf>
    <xf numFmtId="0" fontId="8" fillId="0" borderId="0" xfId="0" applyFont="1" applyBorder="1" applyAlignment="1">
      <alignment horizontal="right" vertical="center"/>
    </xf>
    <xf numFmtId="0" fontId="4" fillId="0" borderId="0" xfId="0" applyFont="1" applyAlignment="1">
      <alignment horizontal="right" vertical="center"/>
    </xf>
    <xf numFmtId="0" fontId="4" fillId="0" borderId="0" xfId="0" applyFont="1" applyAlignment="1">
      <alignment horizontal="center" vertical="center" readingOrder="2"/>
    </xf>
    <xf numFmtId="0" fontId="0" fillId="0" borderId="0" xfId="0" applyAlignment="1">
      <alignment horizontal="center" vertical="center" readingOrder="2"/>
    </xf>
    <xf numFmtId="0" fontId="3" fillId="0" borderId="0" xfId="0" applyFont="1" applyAlignment="1">
      <alignment horizontal="right" vertical="center"/>
    </xf>
    <xf numFmtId="0" fontId="4" fillId="5" borderId="0" xfId="0" applyFont="1" applyFill="1" applyBorder="1" applyAlignment="1">
      <alignment horizontal="right" vertical="center" readingOrder="2"/>
    </xf>
    <xf numFmtId="0" fontId="0" fillId="0" borderId="0" xfId="0" applyBorder="1" applyAlignment="1">
      <alignment horizontal="right" vertical="center"/>
    </xf>
    <xf numFmtId="0" fontId="5" fillId="2" borderId="22" xfId="0" applyFont="1" applyFill="1" applyBorder="1" applyAlignment="1">
      <alignment horizontal="center" vertical="center"/>
    </xf>
    <xf numFmtId="0" fontId="0" fillId="2" borderId="24" xfId="0" applyFill="1" applyBorder="1" applyAlignment="1">
      <alignment horizontal="center" vertical="center"/>
    </xf>
    <xf numFmtId="0" fontId="0" fillId="2" borderId="23" xfId="0" applyFill="1" applyBorder="1" applyAlignment="1">
      <alignment horizontal="center" vertical="center"/>
    </xf>
    <xf numFmtId="0" fontId="5" fillId="2" borderId="6" xfId="0" applyFont="1" applyFill="1" applyBorder="1" applyAlignment="1">
      <alignment horizontal="center" vertical="center" readingOrder="2"/>
    </xf>
    <xf numFmtId="0" fontId="0" fillId="2" borderId="6" xfId="0" applyFill="1" applyBorder="1" applyAlignment="1">
      <alignment horizontal="center" vertical="center" readingOrder="2"/>
    </xf>
    <xf numFmtId="0" fontId="0" fillId="2" borderId="1" xfId="0" applyFill="1" applyBorder="1" applyAlignment="1">
      <alignment horizontal="center" vertical="center" readingOrder="2"/>
    </xf>
    <xf numFmtId="0" fontId="5" fillId="2" borderId="28" xfId="0" applyFont="1" applyFill="1" applyBorder="1" applyAlignment="1">
      <alignment horizontal="center" vertical="center" readingOrder="2"/>
    </xf>
    <xf numFmtId="0" fontId="0" fillId="2" borderId="29" xfId="0" applyFill="1" applyBorder="1" applyAlignment="1">
      <alignment horizontal="center" vertical="center" readingOrder="2"/>
    </xf>
    <xf numFmtId="0" fontId="0" fillId="2" borderId="26" xfId="0" applyFill="1" applyBorder="1" applyAlignment="1">
      <alignment horizontal="center" vertical="center" readingOrder="2"/>
    </xf>
    <xf numFmtId="0" fontId="0" fillId="2" borderId="27" xfId="0" applyFill="1" applyBorder="1" applyAlignment="1">
      <alignment horizontal="center" vertical="center" readingOrder="2"/>
    </xf>
    <xf numFmtId="0" fontId="0" fillId="2" borderId="7" xfId="0" applyFill="1" applyBorder="1" applyAlignment="1">
      <alignment horizontal="center" vertical="center" readingOrder="2"/>
    </xf>
    <xf numFmtId="0" fontId="0" fillId="2" borderId="9" xfId="0" applyFill="1" applyBorder="1" applyAlignment="1">
      <alignment horizontal="center" vertical="center" readingOrder="2"/>
    </xf>
    <xf numFmtId="0" fontId="5" fillId="0" borderId="0" xfId="0" applyFont="1" applyAlignment="1">
      <alignment horizontal="right" vertical="center"/>
    </xf>
    <xf numFmtId="0" fontId="5" fillId="0" borderId="0" xfId="0" applyFont="1" applyBorder="1" applyAlignment="1">
      <alignment horizontal="right" vertical="center"/>
    </xf>
    <xf numFmtId="0" fontId="3" fillId="0" borderId="25" xfId="0" applyFont="1" applyBorder="1" applyAlignment="1">
      <alignment horizontal="right" vertical="center"/>
    </xf>
    <xf numFmtId="0" fontId="3" fillId="0" borderId="0" xfId="0" applyFont="1" applyFill="1" applyBorder="1" applyAlignment="1">
      <alignment horizontal="right" vertical="center"/>
    </xf>
    <xf numFmtId="0" fontId="10" fillId="0" borderId="0" xfId="0" applyFont="1" applyBorder="1" applyAlignment="1">
      <alignment horizontal="right" vertical="center"/>
    </xf>
    <xf numFmtId="0" fontId="3" fillId="0" borderId="0" xfId="0" applyFont="1" applyAlignment="1">
      <alignment horizontal="center" vertical="center" readingOrder="2"/>
    </xf>
    <xf numFmtId="0" fontId="3" fillId="2" borderId="32" xfId="0" applyFont="1" applyFill="1" applyBorder="1" applyAlignment="1">
      <alignment horizontal="center" vertical="center" readingOrder="2"/>
    </xf>
    <xf numFmtId="0" fontId="3" fillId="2" borderId="34" xfId="0" applyFont="1" applyFill="1" applyBorder="1" applyAlignment="1">
      <alignment horizontal="center" vertical="center" readingOrder="2"/>
    </xf>
    <xf numFmtId="0" fontId="7" fillId="2" borderId="32" xfId="0" applyFont="1" applyFill="1" applyBorder="1" applyAlignment="1">
      <alignment horizontal="center" vertical="center" readingOrder="2"/>
    </xf>
    <xf numFmtId="0" fontId="7" fillId="2" borderId="34" xfId="0" applyFont="1" applyFill="1" applyBorder="1" applyAlignment="1">
      <alignment horizontal="center" vertical="center" readingOrder="2"/>
    </xf>
    <xf numFmtId="0" fontId="0" fillId="2" borderId="33" xfId="0" applyFill="1" applyBorder="1" applyAlignment="1">
      <alignment readingOrder="2"/>
    </xf>
    <xf numFmtId="0" fontId="3" fillId="2" borderId="30" xfId="0" applyFont="1" applyFill="1" applyBorder="1" applyAlignment="1">
      <alignment horizontal="center" vertical="center"/>
    </xf>
    <xf numFmtId="0" fontId="0" fillId="2" borderId="31" xfId="0" applyFill="1" applyBorder="1"/>
    <xf numFmtId="0" fontId="12" fillId="0" borderId="0" xfId="1" applyNumberFormat="1" applyFont="1" applyAlignment="1" applyProtection="1">
      <alignment horizontal="right" vertical="center" readingOrder="2"/>
    </xf>
    <xf numFmtId="0" fontId="16" fillId="0" borderId="38" xfId="0" applyFont="1" applyBorder="1" applyAlignment="1">
      <alignment horizontal="right" vertical="center" wrapText="1" readingOrder="2"/>
    </xf>
    <xf numFmtId="0" fontId="17" fillId="0" borderId="0" xfId="0" applyFont="1" applyAlignment="1">
      <alignment horizontal="right" vertical="center" wrapText="1" readingOrder="2"/>
    </xf>
    <xf numFmtId="0" fontId="0" fillId="0" borderId="0" xfId="0" applyAlignment="1">
      <alignment horizontal="right" vertical="center" wrapText="1" readingOrder="2"/>
    </xf>
    <xf numFmtId="0" fontId="16" fillId="0" borderId="0" xfId="0" applyFont="1" applyAlignment="1">
      <alignment horizontal="right" vertical="center" readingOrder="2"/>
    </xf>
    <xf numFmtId="0" fontId="16" fillId="2" borderId="11" xfId="0" applyFont="1" applyFill="1" applyBorder="1" applyAlignment="1">
      <alignment horizontal="center" vertical="center" readingOrder="2"/>
    </xf>
    <xf numFmtId="0" fontId="16" fillId="2" borderId="12" xfId="0" applyFont="1" applyFill="1" applyBorder="1" applyAlignment="1">
      <alignment horizontal="center" vertical="center" readingOrder="2"/>
    </xf>
    <xf numFmtId="0" fontId="16" fillId="2" borderId="13" xfId="0" applyFont="1" applyFill="1" applyBorder="1" applyAlignment="1">
      <alignment horizontal="center" vertical="center" readingOrder="2"/>
    </xf>
    <xf numFmtId="0" fontId="16" fillId="0" borderId="0" xfId="0" applyFont="1" applyAlignment="1">
      <alignment horizontal="center" readingOrder="2"/>
    </xf>
    <xf numFmtId="0" fontId="12" fillId="0" borderId="25" xfId="1" applyNumberFormat="1" applyFont="1" applyBorder="1" applyAlignment="1" applyProtection="1">
      <alignment horizontal="right" vertical="center" readingOrder="2"/>
    </xf>
    <xf numFmtId="0" fontId="3" fillId="0" borderId="0" xfId="0" applyFont="1" applyBorder="1" applyAlignment="1">
      <alignment horizontal="right" vertical="center" wrapText="1" readingOrder="2"/>
    </xf>
    <xf numFmtId="0" fontId="3" fillId="0" borderId="0" xfId="0" applyFont="1" applyBorder="1" applyAlignment="1">
      <alignment horizontal="right" wrapText="1" readingOrder="2"/>
    </xf>
    <xf numFmtId="0" fontId="3" fillId="0" borderId="0" xfId="0" applyFont="1" applyAlignment="1">
      <alignment horizontal="right" wrapText="1" readingOrder="2"/>
    </xf>
    <xf numFmtId="0" fontId="3" fillId="2" borderId="8" xfId="0" applyFont="1" applyFill="1" applyBorder="1" applyAlignment="1">
      <alignment horizontal="center" vertical="center" readingOrder="2"/>
    </xf>
    <xf numFmtId="0" fontId="3" fillId="2" borderId="1" xfId="0" applyFont="1" applyFill="1" applyBorder="1" applyAlignment="1">
      <alignment horizontal="center" vertical="center" readingOrder="2"/>
    </xf>
    <xf numFmtId="0" fontId="3" fillId="0" borderId="0" xfId="0" applyFont="1" applyBorder="1" applyAlignment="1">
      <alignment horizontal="right" vertical="center" readingOrder="2"/>
    </xf>
    <xf numFmtId="0" fontId="3" fillId="2" borderId="21" xfId="0" applyFont="1" applyFill="1" applyBorder="1" applyAlignment="1">
      <alignment horizontal="center" vertical="center" readingOrder="2"/>
    </xf>
    <xf numFmtId="0" fontId="3" fillId="2" borderId="14" xfId="0" applyFont="1" applyFill="1" applyBorder="1" applyAlignment="1">
      <alignment horizontal="center" vertical="center" readingOrder="2"/>
    </xf>
    <xf numFmtId="0" fontId="3" fillId="4" borderId="14" xfId="0" applyFont="1" applyFill="1" applyBorder="1" applyAlignment="1">
      <alignment horizontal="center" vertical="center" readingOrder="2"/>
    </xf>
    <xf numFmtId="0" fontId="20" fillId="0" borderId="0" xfId="0" applyFont="1" applyAlignment="1">
      <alignment horizontal="right" vertical="center"/>
    </xf>
    <xf numFmtId="0" fontId="20" fillId="0" borderId="0" xfId="0" applyFont="1" applyAlignment="1">
      <alignment horizontal="center"/>
    </xf>
    <xf numFmtId="0" fontId="20" fillId="0" borderId="0" xfId="0" applyFont="1" applyAlignment="1">
      <alignment horizontal="center" vertical="center" readingOrder="2"/>
    </xf>
    <xf numFmtId="0" fontId="0" fillId="0" borderId="0" xfId="0" applyFont="1" applyAlignment="1">
      <alignment vertical="center" readingOrder="2"/>
    </xf>
    <xf numFmtId="0" fontId="16" fillId="0" borderId="0" xfId="0" applyFont="1" applyAlignment="1">
      <alignment horizontal="center"/>
    </xf>
    <xf numFmtId="0" fontId="3" fillId="0" borderId="25" xfId="0" applyFont="1" applyBorder="1" applyAlignment="1">
      <alignment horizontal="center" vertical="center" readingOrder="2"/>
    </xf>
    <xf numFmtId="0" fontId="3" fillId="7" borderId="43" xfId="0" applyFont="1" applyFill="1" applyBorder="1" applyAlignment="1">
      <alignment horizontal="center" vertical="center"/>
    </xf>
    <xf numFmtId="0" fontId="3" fillId="7" borderId="44" xfId="0" applyFont="1" applyFill="1" applyBorder="1" applyAlignment="1">
      <alignment horizontal="center" vertical="center"/>
    </xf>
    <xf numFmtId="0" fontId="3" fillId="7" borderId="45" xfId="0" applyFont="1" applyFill="1" applyBorder="1" applyAlignment="1">
      <alignment horizontal="center" vertical="center"/>
    </xf>
    <xf numFmtId="0" fontId="20" fillId="0" borderId="38" xfId="0" applyFont="1" applyBorder="1" applyAlignment="1">
      <alignment horizontal="center" vertical="center"/>
    </xf>
    <xf numFmtId="0" fontId="4" fillId="0" borderId="0" xfId="0" applyFont="1" applyAlignment="1">
      <alignment horizontal="right" vertical="center" wrapText="1"/>
    </xf>
    <xf numFmtId="0" fontId="0" fillId="0" borderId="25" xfId="0" applyBorder="1" applyAlignment="1">
      <alignment horizontal="center" vertical="center" wrapText="1"/>
    </xf>
    <xf numFmtId="0" fontId="4" fillId="0" borderId="11" xfId="0" applyFont="1" applyBorder="1" applyAlignment="1">
      <alignment horizontal="center" vertical="center" wrapText="1"/>
    </xf>
    <xf numFmtId="0" fontId="4" fillId="0" borderId="13" xfId="0" applyFont="1" applyBorder="1" applyAlignment="1">
      <alignment horizontal="center" vertical="center" wrapText="1"/>
    </xf>
    <xf numFmtId="0" fontId="30" fillId="0" borderId="0" xfId="0" applyFont="1" applyBorder="1" applyAlignment="1">
      <alignment horizontal="center"/>
    </xf>
    <xf numFmtId="0" fontId="28" fillId="17" borderId="1" xfId="6" applyFont="1" applyFill="1" applyBorder="1" applyAlignment="1">
      <alignment horizontal="center" vertical="center"/>
    </xf>
    <xf numFmtId="0" fontId="30" fillId="2" borderId="1" xfId="8" applyFont="1" applyFill="1" applyBorder="1" applyAlignment="1">
      <alignment horizontal="center" vertical="center" textRotation="90"/>
    </xf>
    <xf numFmtId="0" fontId="30" fillId="2" borderId="1" xfId="4" applyFont="1" applyFill="1" applyBorder="1" applyAlignment="1">
      <alignment horizontal="center" vertical="center"/>
    </xf>
    <xf numFmtId="0" fontId="31" fillId="2" borderId="1" xfId="0" applyFont="1" applyFill="1" applyBorder="1" applyAlignment="1">
      <alignment horizontal="center" vertical="center"/>
    </xf>
    <xf numFmtId="0" fontId="29" fillId="2" borderId="2" xfId="2" applyFont="1" applyFill="1" applyBorder="1" applyAlignment="1">
      <alignment horizontal="center" vertical="center" wrapText="1"/>
    </xf>
    <xf numFmtId="0" fontId="29" fillId="2" borderId="3" xfId="2" applyFont="1" applyFill="1" applyBorder="1" applyAlignment="1">
      <alignment horizontal="center" vertical="center" wrapText="1"/>
    </xf>
    <xf numFmtId="0" fontId="30" fillId="0" borderId="1" xfId="0" applyFont="1" applyBorder="1" applyAlignment="1">
      <alignment horizontal="right" vertical="center"/>
    </xf>
  </cellXfs>
  <cellStyles count="9">
    <cellStyle name="20% - Accent2" xfId="4" builtinId="34"/>
    <cellStyle name="20% - Accent3" xfId="5" builtinId="38"/>
    <cellStyle name="20% - Accent5" xfId="7" builtinId="46"/>
    <cellStyle name="20% - Accent6" xfId="8" builtinId="50"/>
    <cellStyle name="40% - Accent3" xfId="6" builtinId="39"/>
    <cellStyle name="Good" xfId="2" builtinId="26"/>
    <cellStyle name="Hyperlink" xfId="1" builtinId="8"/>
    <cellStyle name="Normal" xfId="0" builtinId="0"/>
    <cellStyle name="Note" xfId="3" builtinId="10"/>
  </cellStyles>
  <dxfs count="0"/>
  <tableStyles count="0" defaultTableStyle="TableStyleMedium9" defaultPivotStyle="PivotStyleLight16"/>
  <colors>
    <mruColors>
      <color rgb="FFFFCCFF"/>
      <color rgb="FFFF8F8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tabColor rgb="FFFFFF00"/>
  </sheetPr>
  <dimension ref="A1:T38"/>
  <sheetViews>
    <sheetView rightToLeft="1" zoomScale="90" zoomScaleNormal="90" workbookViewId="0">
      <selection activeCell="C21" sqref="C21"/>
    </sheetView>
  </sheetViews>
  <sheetFormatPr defaultRowHeight="15"/>
  <cols>
    <col min="1" max="1" width="4.85546875" customWidth="1"/>
    <col min="2" max="2" width="12" customWidth="1"/>
    <col min="3" max="3" width="14.140625" customWidth="1"/>
    <col min="4" max="6" width="16.42578125" style="5" customWidth="1"/>
    <col min="7" max="7" width="18.5703125" customWidth="1"/>
    <col min="8" max="8" width="1.85546875" customWidth="1"/>
    <col min="9" max="9" width="4.85546875" style="5" customWidth="1"/>
    <col min="10" max="10" width="15.7109375" style="5" customWidth="1"/>
    <col min="11" max="11" width="29.140625" style="5" customWidth="1"/>
    <col min="12" max="14" width="15.7109375" style="18" customWidth="1"/>
    <col min="15" max="15" width="1.85546875" customWidth="1"/>
    <col min="16" max="16" width="32.7109375" customWidth="1"/>
    <col min="17" max="18" width="15.7109375" style="23" customWidth="1"/>
    <col min="19" max="20" width="16.28515625" style="23" customWidth="1"/>
  </cols>
  <sheetData>
    <row r="1" spans="1:8" ht="19.5" customHeight="1">
      <c r="A1" s="219" t="s">
        <v>13</v>
      </c>
      <c r="B1" s="219"/>
      <c r="C1" s="219"/>
      <c r="D1" s="219"/>
      <c r="E1" s="219"/>
      <c r="F1" s="219"/>
      <c r="G1" s="9"/>
      <c r="H1" s="9"/>
    </row>
    <row r="2" spans="1:8" ht="19.5" customHeight="1">
      <c r="A2" s="220" t="s">
        <v>14</v>
      </c>
      <c r="B2" s="220"/>
      <c r="C2" s="220"/>
      <c r="D2" s="220"/>
      <c r="E2" s="220"/>
      <c r="F2" s="220"/>
      <c r="G2" s="9"/>
      <c r="H2" s="9"/>
    </row>
    <row r="3" spans="1:8" ht="19.5" customHeight="1" thickBot="1">
      <c r="A3" s="24"/>
      <c r="B3" s="24"/>
      <c r="C3" s="24"/>
      <c r="D3" s="24"/>
      <c r="E3" s="24"/>
      <c r="F3" s="24"/>
      <c r="G3" s="9"/>
      <c r="H3" s="9"/>
    </row>
    <row r="4" spans="1:8" ht="28.5" customHeight="1">
      <c r="A4" s="10" t="s">
        <v>0</v>
      </c>
      <c r="B4" s="11" t="s">
        <v>6</v>
      </c>
      <c r="C4" s="11" t="s">
        <v>5</v>
      </c>
      <c r="D4" s="12" t="s">
        <v>1</v>
      </c>
      <c r="E4" s="12" t="s">
        <v>2</v>
      </c>
      <c r="F4" s="12" t="s">
        <v>12</v>
      </c>
      <c r="G4" s="13" t="s">
        <v>3</v>
      </c>
    </row>
    <row r="5" spans="1:8" ht="21" customHeight="1">
      <c r="A5" s="196">
        <v>1</v>
      </c>
      <c r="B5" s="1"/>
      <c r="C5" s="1"/>
      <c r="D5" s="211"/>
      <c r="E5" s="83" t="e">
        <f t="shared" ref="E5:E34" si="0">F5/D5</f>
        <v>#DIV/0!</v>
      </c>
      <c r="F5" s="211"/>
      <c r="G5" s="14"/>
      <c r="H5" s="8"/>
    </row>
    <row r="6" spans="1:8" ht="21" customHeight="1">
      <c r="A6" s="196">
        <v>2</v>
      </c>
      <c r="B6" s="1"/>
      <c r="C6" s="1"/>
      <c r="D6" s="211"/>
      <c r="E6" s="83" t="e">
        <f t="shared" si="0"/>
        <v>#DIV/0!</v>
      </c>
      <c r="F6" s="211"/>
      <c r="G6" s="14"/>
    </row>
    <row r="7" spans="1:8" ht="21" customHeight="1">
      <c r="A7" s="196">
        <v>3</v>
      </c>
      <c r="B7" s="1"/>
      <c r="C7" s="1"/>
      <c r="D7" s="211"/>
      <c r="E7" s="83" t="e">
        <f t="shared" si="0"/>
        <v>#DIV/0!</v>
      </c>
      <c r="F7" s="211"/>
      <c r="G7" s="14"/>
    </row>
    <row r="8" spans="1:8" ht="21" customHeight="1">
      <c r="A8" s="196">
        <v>4</v>
      </c>
      <c r="B8" s="1"/>
      <c r="C8" s="1"/>
      <c r="D8" s="211"/>
      <c r="E8" s="83" t="e">
        <f t="shared" si="0"/>
        <v>#DIV/0!</v>
      </c>
      <c r="F8" s="211"/>
      <c r="G8" s="14"/>
    </row>
    <row r="9" spans="1:8" ht="21" customHeight="1">
      <c r="A9" s="196">
        <v>5</v>
      </c>
      <c r="B9" s="1"/>
      <c r="C9" s="1"/>
      <c r="D9" s="211"/>
      <c r="E9" s="83" t="e">
        <f t="shared" si="0"/>
        <v>#DIV/0!</v>
      </c>
      <c r="F9" s="211"/>
      <c r="G9" s="14"/>
    </row>
    <row r="10" spans="1:8" ht="21" customHeight="1">
      <c r="A10" s="196">
        <v>6</v>
      </c>
      <c r="B10" s="1"/>
      <c r="C10" s="1"/>
      <c r="D10" s="211"/>
      <c r="E10" s="83" t="e">
        <f t="shared" si="0"/>
        <v>#DIV/0!</v>
      </c>
      <c r="F10" s="211"/>
      <c r="G10" s="14"/>
    </row>
    <row r="11" spans="1:8" ht="21" customHeight="1">
      <c r="A11" s="196">
        <v>7</v>
      </c>
      <c r="B11" s="1"/>
      <c r="C11" s="1"/>
      <c r="D11" s="211"/>
      <c r="E11" s="83" t="e">
        <f t="shared" si="0"/>
        <v>#DIV/0!</v>
      </c>
      <c r="F11" s="211"/>
      <c r="G11" s="14"/>
    </row>
    <row r="12" spans="1:8" ht="21" customHeight="1">
      <c r="A12" s="196">
        <v>8</v>
      </c>
      <c r="B12" s="1"/>
      <c r="C12" s="1"/>
      <c r="D12" s="211"/>
      <c r="E12" s="83" t="e">
        <f t="shared" si="0"/>
        <v>#DIV/0!</v>
      </c>
      <c r="F12" s="211"/>
      <c r="G12" s="14"/>
    </row>
    <row r="13" spans="1:8" ht="21" customHeight="1">
      <c r="A13" s="196">
        <v>9</v>
      </c>
      <c r="B13" s="1"/>
      <c r="C13" s="1"/>
      <c r="D13" s="211"/>
      <c r="E13" s="83" t="e">
        <f t="shared" si="0"/>
        <v>#DIV/0!</v>
      </c>
      <c r="F13" s="211"/>
      <c r="G13" s="14"/>
    </row>
    <row r="14" spans="1:8" ht="21" customHeight="1">
      <c r="A14" s="196">
        <v>10</v>
      </c>
      <c r="B14" s="1"/>
      <c r="C14" s="1"/>
      <c r="D14" s="211"/>
      <c r="E14" s="83" t="e">
        <f t="shared" si="0"/>
        <v>#DIV/0!</v>
      </c>
      <c r="F14" s="211"/>
      <c r="G14" s="14"/>
    </row>
    <row r="15" spans="1:8" ht="21" customHeight="1">
      <c r="A15" s="196">
        <v>11</v>
      </c>
      <c r="B15" s="1"/>
      <c r="C15" s="1"/>
      <c r="D15" s="211"/>
      <c r="E15" s="83" t="e">
        <f t="shared" si="0"/>
        <v>#DIV/0!</v>
      </c>
      <c r="F15" s="211"/>
      <c r="G15" s="14"/>
    </row>
    <row r="16" spans="1:8" ht="21" customHeight="1">
      <c r="A16" s="196">
        <v>12</v>
      </c>
      <c r="B16" s="1"/>
      <c r="C16" s="1"/>
      <c r="D16" s="211"/>
      <c r="E16" s="83" t="e">
        <f t="shared" si="0"/>
        <v>#DIV/0!</v>
      </c>
      <c r="F16" s="211"/>
      <c r="G16" s="14"/>
    </row>
    <row r="17" spans="1:7" ht="23.25" customHeight="1">
      <c r="A17" s="196">
        <v>13</v>
      </c>
      <c r="B17" s="1"/>
      <c r="C17" s="1"/>
      <c r="D17" s="211"/>
      <c r="E17" s="83" t="e">
        <f t="shared" si="0"/>
        <v>#DIV/0!</v>
      </c>
      <c r="F17" s="211"/>
      <c r="G17" s="14"/>
    </row>
    <row r="18" spans="1:7" ht="21" customHeight="1">
      <c r="A18" s="196">
        <v>14</v>
      </c>
      <c r="B18" s="1"/>
      <c r="C18" s="1"/>
      <c r="D18" s="211"/>
      <c r="E18" s="83" t="e">
        <f t="shared" si="0"/>
        <v>#DIV/0!</v>
      </c>
      <c r="F18" s="211"/>
      <c r="G18" s="14"/>
    </row>
    <row r="19" spans="1:7" ht="21" customHeight="1">
      <c r="A19" s="196">
        <v>15</v>
      </c>
      <c r="B19" s="1"/>
      <c r="C19" s="1"/>
      <c r="D19" s="211"/>
      <c r="E19" s="83" t="e">
        <f t="shared" si="0"/>
        <v>#DIV/0!</v>
      </c>
      <c r="F19" s="211"/>
      <c r="G19" s="14"/>
    </row>
    <row r="20" spans="1:7" ht="21" customHeight="1">
      <c r="A20" s="196">
        <v>16</v>
      </c>
      <c r="B20" s="1"/>
      <c r="C20" s="1"/>
      <c r="D20" s="211"/>
      <c r="E20" s="83" t="e">
        <f t="shared" si="0"/>
        <v>#DIV/0!</v>
      </c>
      <c r="F20" s="211"/>
      <c r="G20" s="14"/>
    </row>
    <row r="21" spans="1:7" ht="21" customHeight="1">
      <c r="A21" s="196">
        <v>17</v>
      </c>
      <c r="B21" s="1"/>
      <c r="C21" s="1"/>
      <c r="D21" s="211"/>
      <c r="E21" s="83" t="e">
        <f t="shared" si="0"/>
        <v>#DIV/0!</v>
      </c>
      <c r="F21" s="211"/>
      <c r="G21" s="14"/>
    </row>
    <row r="22" spans="1:7" ht="21" customHeight="1">
      <c r="A22" s="196">
        <v>18</v>
      </c>
      <c r="B22" s="1"/>
      <c r="C22" s="1"/>
      <c r="D22" s="211"/>
      <c r="E22" s="83" t="e">
        <f t="shared" si="0"/>
        <v>#DIV/0!</v>
      </c>
      <c r="F22" s="211"/>
      <c r="G22" s="14"/>
    </row>
    <row r="23" spans="1:7" ht="21" customHeight="1">
      <c r="A23" s="196">
        <v>19</v>
      </c>
      <c r="B23" s="1"/>
      <c r="C23" s="1"/>
      <c r="D23" s="211"/>
      <c r="E23" s="83" t="e">
        <f t="shared" si="0"/>
        <v>#DIV/0!</v>
      </c>
      <c r="F23" s="211"/>
      <c r="G23" s="14"/>
    </row>
    <row r="24" spans="1:7" ht="21" customHeight="1">
      <c r="A24" s="196">
        <v>20</v>
      </c>
      <c r="B24" s="1"/>
      <c r="C24" s="1"/>
      <c r="D24" s="211"/>
      <c r="E24" s="83" t="e">
        <f t="shared" si="0"/>
        <v>#DIV/0!</v>
      </c>
      <c r="F24" s="211"/>
      <c r="G24" s="14"/>
    </row>
    <row r="25" spans="1:7" ht="21" customHeight="1">
      <c r="A25" s="196">
        <v>21</v>
      </c>
      <c r="B25" s="1"/>
      <c r="C25" s="1"/>
      <c r="D25" s="211"/>
      <c r="E25" s="83" t="e">
        <f t="shared" si="0"/>
        <v>#DIV/0!</v>
      </c>
      <c r="F25" s="211"/>
      <c r="G25" s="14"/>
    </row>
    <row r="26" spans="1:7" ht="21" customHeight="1">
      <c r="A26" s="196">
        <v>22</v>
      </c>
      <c r="B26" s="1"/>
      <c r="C26" s="1"/>
      <c r="D26" s="211"/>
      <c r="E26" s="83" t="e">
        <f t="shared" si="0"/>
        <v>#DIV/0!</v>
      </c>
      <c r="F26" s="211"/>
      <c r="G26" s="14"/>
    </row>
    <row r="27" spans="1:7" ht="21" customHeight="1">
      <c r="A27" s="196">
        <v>23</v>
      </c>
      <c r="B27" s="2"/>
      <c r="C27" s="2"/>
      <c r="D27" s="211"/>
      <c r="E27" s="83" t="e">
        <f t="shared" si="0"/>
        <v>#DIV/0!</v>
      </c>
      <c r="F27" s="211"/>
      <c r="G27" s="15"/>
    </row>
    <row r="28" spans="1:7" ht="21" customHeight="1">
      <c r="A28" s="196">
        <v>24</v>
      </c>
      <c r="B28" s="2"/>
      <c r="C28" s="2"/>
      <c r="D28" s="211"/>
      <c r="E28" s="83" t="e">
        <f t="shared" si="0"/>
        <v>#DIV/0!</v>
      </c>
      <c r="F28" s="211"/>
      <c r="G28" s="15"/>
    </row>
    <row r="29" spans="1:7" ht="21" customHeight="1">
      <c r="A29" s="196">
        <v>25</v>
      </c>
      <c r="B29" s="2"/>
      <c r="C29" s="2"/>
      <c r="D29" s="211"/>
      <c r="E29" s="83" t="e">
        <f t="shared" si="0"/>
        <v>#DIV/0!</v>
      </c>
      <c r="F29" s="211"/>
      <c r="G29" s="15"/>
    </row>
    <row r="30" spans="1:7" ht="21" customHeight="1">
      <c r="A30" s="196">
        <v>26</v>
      </c>
      <c r="B30" s="2"/>
      <c r="C30" s="2"/>
      <c r="D30" s="211"/>
      <c r="E30" s="83" t="e">
        <f t="shared" si="0"/>
        <v>#DIV/0!</v>
      </c>
      <c r="F30" s="211"/>
      <c r="G30" s="15"/>
    </row>
    <row r="31" spans="1:7" ht="21" customHeight="1">
      <c r="A31" s="196">
        <v>27</v>
      </c>
      <c r="B31" s="2"/>
      <c r="C31" s="2"/>
      <c r="D31" s="211"/>
      <c r="E31" s="83" t="e">
        <f t="shared" si="0"/>
        <v>#DIV/0!</v>
      </c>
      <c r="F31" s="211"/>
      <c r="G31" s="15"/>
    </row>
    <row r="32" spans="1:7" ht="21" customHeight="1">
      <c r="A32" s="196">
        <v>28</v>
      </c>
      <c r="B32" s="2"/>
      <c r="C32" s="2"/>
      <c r="D32" s="211"/>
      <c r="E32" s="83" t="e">
        <f t="shared" si="0"/>
        <v>#DIV/0!</v>
      </c>
      <c r="F32" s="211"/>
      <c r="G32" s="15"/>
    </row>
    <row r="33" spans="1:7" ht="21" customHeight="1">
      <c r="A33" s="196">
        <v>29</v>
      </c>
      <c r="B33" s="2"/>
      <c r="C33" s="2"/>
      <c r="D33" s="212"/>
      <c r="E33" s="134" t="e">
        <f t="shared" si="0"/>
        <v>#DIV/0!</v>
      </c>
      <c r="F33" s="212"/>
      <c r="G33" s="15"/>
    </row>
    <row r="34" spans="1:7" ht="21" customHeight="1">
      <c r="A34" s="224" t="s">
        <v>4</v>
      </c>
      <c r="B34" s="225"/>
      <c r="C34" s="226"/>
      <c r="D34" s="213">
        <f>SUM(D5:D33)</f>
        <v>0</v>
      </c>
      <c r="E34" s="57" t="e">
        <f t="shared" si="0"/>
        <v>#DIV/0!</v>
      </c>
      <c r="F34" s="214">
        <f>SUM(F5:F33)</f>
        <v>0</v>
      </c>
      <c r="G34" s="30"/>
    </row>
    <row r="35" spans="1:7" ht="21" customHeight="1">
      <c r="A35" s="227" t="s">
        <v>10</v>
      </c>
      <c r="B35" s="228"/>
      <c r="C35" s="228"/>
      <c r="D35" s="228"/>
      <c r="E35" s="229"/>
      <c r="F35" s="214">
        <f>'روكش جاري و فرهنگي'!D81+'روكش جاري و فرهنگي'!D35</f>
        <v>0</v>
      </c>
      <c r="G35" s="30"/>
    </row>
    <row r="36" spans="1:7" ht="21" customHeight="1" thickBot="1">
      <c r="A36" s="221" t="s">
        <v>11</v>
      </c>
      <c r="B36" s="222"/>
      <c r="C36" s="223"/>
      <c r="D36" s="82" t="e">
        <f>F36/E36</f>
        <v>#DIV/0!</v>
      </c>
      <c r="E36" s="81" t="e">
        <f>F34/D34</f>
        <v>#DIV/0!</v>
      </c>
      <c r="F36" s="215">
        <f>F34-F35</f>
        <v>0</v>
      </c>
      <c r="G36" s="29"/>
    </row>
    <row r="38" spans="1:7">
      <c r="A38" s="218" t="s">
        <v>7</v>
      </c>
      <c r="B38" s="218"/>
      <c r="C38" s="3"/>
      <c r="D38" s="6" t="s">
        <v>8</v>
      </c>
      <c r="E38" s="7"/>
      <c r="F38" s="217" t="s">
        <v>9</v>
      </c>
      <c r="G38" s="217"/>
    </row>
  </sheetData>
  <mergeCells count="7">
    <mergeCell ref="F38:G38"/>
    <mergeCell ref="A38:B38"/>
    <mergeCell ref="A1:F1"/>
    <mergeCell ref="A2:F2"/>
    <mergeCell ref="A36:C36"/>
    <mergeCell ref="A34:C34"/>
    <mergeCell ref="A35:E35"/>
  </mergeCells>
  <pageMargins left="0.27559055118110237" right="0.23622047244094491" top="0.35433070866141736" bottom="0.19685039370078741" header="0.31496062992125984" footer="0.31496062992125984"/>
  <pageSetup paperSize="9" orientation="portrait" verticalDpi="1200" r:id="rId1"/>
  <legacyDrawing r:id="rId2"/>
</worksheet>
</file>

<file path=xl/worksheets/sheet2.xml><?xml version="1.0" encoding="utf-8"?>
<worksheet xmlns="http://schemas.openxmlformats.org/spreadsheetml/2006/main" xmlns:r="http://schemas.openxmlformats.org/officeDocument/2006/relationships">
  <sheetPr>
    <tabColor rgb="FF92D050"/>
  </sheetPr>
  <dimension ref="A1:L494"/>
  <sheetViews>
    <sheetView rightToLeft="1" zoomScale="90" zoomScaleNormal="90" workbookViewId="0">
      <selection activeCell="G5" sqref="G5:G30"/>
    </sheetView>
  </sheetViews>
  <sheetFormatPr defaultRowHeight="15"/>
  <cols>
    <col min="1" max="1" width="4.7109375" style="5" customWidth="1"/>
    <col min="2" max="2" width="9.7109375" style="5" customWidth="1"/>
    <col min="3" max="3" width="30.7109375" style="5" customWidth="1"/>
    <col min="4" max="4" width="4.7109375" style="5" customWidth="1"/>
    <col min="5" max="5" width="10.7109375" style="5" customWidth="1"/>
    <col min="6" max="6" width="10.7109375" style="65" customWidth="1"/>
    <col min="7" max="7" width="10.7109375" style="124" customWidth="1"/>
    <col min="8" max="8" width="10.7109375" style="65" customWidth="1"/>
    <col min="9" max="9" width="1.5703125" customWidth="1"/>
  </cols>
  <sheetData>
    <row r="1" spans="1:12" ht="17.25" customHeight="1">
      <c r="A1" s="217" t="s">
        <v>106</v>
      </c>
      <c r="B1" s="235"/>
      <c r="C1" s="235"/>
      <c r="D1" s="235"/>
      <c r="E1" s="235"/>
      <c r="J1" s="236" t="s">
        <v>108</v>
      </c>
      <c r="K1" s="236"/>
      <c r="L1" s="236"/>
    </row>
    <row r="2" spans="1:12" ht="17.25" customHeight="1">
      <c r="A2" s="217" t="s">
        <v>107</v>
      </c>
      <c r="B2" s="235"/>
      <c r="C2" s="235"/>
      <c r="D2" s="235"/>
      <c r="E2" s="235"/>
      <c r="J2" s="236" t="s">
        <v>121</v>
      </c>
      <c r="K2" s="236"/>
      <c r="L2" s="236"/>
    </row>
    <row r="3" spans="1:12" ht="17.25" customHeight="1" thickBot="1">
      <c r="A3" s="230" t="s">
        <v>127</v>
      </c>
      <c r="B3" s="230"/>
      <c r="C3" s="230"/>
      <c r="D3" s="230"/>
      <c r="E3" s="230"/>
      <c r="F3" s="66" t="s">
        <v>119</v>
      </c>
      <c r="G3" s="129" t="e">
        <f>تسعير!E34</f>
        <v>#DIV/0!</v>
      </c>
      <c r="J3" s="236" t="s">
        <v>110</v>
      </c>
      <c r="K3" s="236"/>
      <c r="L3" s="236"/>
    </row>
    <row r="4" spans="1:12" ht="21" customHeight="1">
      <c r="A4" s="109" t="s">
        <v>0</v>
      </c>
      <c r="B4" s="64" t="s">
        <v>101</v>
      </c>
      <c r="C4" s="64" t="s">
        <v>100</v>
      </c>
      <c r="D4" s="64" t="s">
        <v>103</v>
      </c>
      <c r="E4" s="64" t="s">
        <v>17</v>
      </c>
      <c r="F4" s="67" t="s">
        <v>109</v>
      </c>
      <c r="G4" s="131" t="s">
        <v>18</v>
      </c>
      <c r="H4" s="69" t="s">
        <v>102</v>
      </c>
      <c r="J4" s="236" t="s">
        <v>111</v>
      </c>
      <c r="K4" s="236"/>
      <c r="L4" s="236"/>
    </row>
    <row r="5" spans="1:12" ht="21" customHeight="1">
      <c r="A5" s="197">
        <v>1</v>
      </c>
      <c r="B5" s="19" t="s">
        <v>120</v>
      </c>
      <c r="C5" s="4"/>
      <c r="D5" s="19"/>
      <c r="E5" s="203"/>
      <c r="F5" s="71" t="e">
        <f>E5/G3</f>
        <v>#DIV/0!</v>
      </c>
      <c r="G5" s="203"/>
      <c r="H5" s="72" t="e">
        <f>G5+F5</f>
        <v>#DIV/0!</v>
      </c>
      <c r="J5" s="236" t="s">
        <v>112</v>
      </c>
      <c r="K5" s="236"/>
      <c r="L5" s="236"/>
    </row>
    <row r="6" spans="1:12" ht="21" customHeight="1">
      <c r="A6" s="197">
        <v>2</v>
      </c>
      <c r="B6" s="19"/>
      <c r="C6" s="19"/>
      <c r="D6" s="19"/>
      <c r="E6" s="203"/>
      <c r="F6" s="71" t="e">
        <f>E6/G3</f>
        <v>#DIV/0!</v>
      </c>
      <c r="G6" s="203"/>
      <c r="H6" s="72" t="e">
        <f t="shared" ref="H6:H29" si="0">G6+F6</f>
        <v>#DIV/0!</v>
      </c>
      <c r="J6" s="236" t="s">
        <v>113</v>
      </c>
      <c r="K6" s="236"/>
      <c r="L6" s="236"/>
    </row>
    <row r="7" spans="1:12" ht="21" customHeight="1">
      <c r="A7" s="197">
        <v>3</v>
      </c>
      <c r="B7" s="19"/>
      <c r="C7" s="19"/>
      <c r="D7" s="19"/>
      <c r="E7" s="203"/>
      <c r="F7" s="71" t="e">
        <f>E7/G3</f>
        <v>#DIV/0!</v>
      </c>
      <c r="G7" s="203"/>
      <c r="H7" s="72" t="e">
        <f t="shared" si="0"/>
        <v>#DIV/0!</v>
      </c>
      <c r="J7" s="236" t="s">
        <v>114</v>
      </c>
      <c r="K7" s="236"/>
      <c r="L7" s="236"/>
    </row>
    <row r="8" spans="1:12" ht="21" customHeight="1">
      <c r="A8" s="197">
        <v>4</v>
      </c>
      <c r="B8" s="19"/>
      <c r="C8" s="19"/>
      <c r="D8" s="19"/>
      <c r="E8" s="203"/>
      <c r="F8" s="71" t="e">
        <f>E8/G3</f>
        <v>#DIV/0!</v>
      </c>
      <c r="G8" s="203"/>
      <c r="H8" s="72" t="e">
        <f t="shared" si="0"/>
        <v>#DIV/0!</v>
      </c>
      <c r="J8" s="236" t="s">
        <v>115</v>
      </c>
      <c r="K8" s="236"/>
      <c r="L8" s="236"/>
    </row>
    <row r="9" spans="1:12" ht="21" customHeight="1">
      <c r="A9" s="197">
        <v>5</v>
      </c>
      <c r="B9" s="19"/>
      <c r="C9" s="19"/>
      <c r="D9" s="19"/>
      <c r="E9" s="203"/>
      <c r="F9" s="71" t="e">
        <f>E9/G3</f>
        <v>#DIV/0!</v>
      </c>
      <c r="G9" s="203"/>
      <c r="H9" s="72" t="e">
        <f t="shared" si="0"/>
        <v>#DIV/0!</v>
      </c>
      <c r="J9" s="236" t="s">
        <v>116</v>
      </c>
      <c r="K9" s="236"/>
      <c r="L9" s="236"/>
    </row>
    <row r="10" spans="1:12" ht="21" customHeight="1">
      <c r="A10" s="197">
        <v>6</v>
      </c>
      <c r="B10" s="19"/>
      <c r="C10" s="19"/>
      <c r="D10" s="19"/>
      <c r="E10" s="203"/>
      <c r="F10" s="71" t="e">
        <f>E10/G3</f>
        <v>#DIV/0!</v>
      </c>
      <c r="G10" s="203"/>
      <c r="H10" s="72" t="e">
        <f t="shared" si="0"/>
        <v>#DIV/0!</v>
      </c>
      <c r="J10" s="236" t="s">
        <v>117</v>
      </c>
      <c r="K10" s="236"/>
      <c r="L10" s="236"/>
    </row>
    <row r="11" spans="1:12" ht="21" customHeight="1">
      <c r="A11" s="197">
        <v>7</v>
      </c>
      <c r="B11" s="19"/>
      <c r="C11" s="19"/>
      <c r="D11" s="19"/>
      <c r="E11" s="203"/>
      <c r="F11" s="71" t="e">
        <f>E11/G3</f>
        <v>#DIV/0!</v>
      </c>
      <c r="G11" s="203"/>
      <c r="H11" s="72" t="e">
        <f t="shared" si="0"/>
        <v>#DIV/0!</v>
      </c>
      <c r="J11" s="236" t="s">
        <v>20</v>
      </c>
      <c r="K11" s="236"/>
      <c r="L11" s="236"/>
    </row>
    <row r="12" spans="1:12" ht="21" customHeight="1">
      <c r="A12" s="197">
        <v>8</v>
      </c>
      <c r="B12" s="19"/>
      <c r="C12" s="19"/>
      <c r="D12" s="19"/>
      <c r="E12" s="203"/>
      <c r="F12" s="71" t="e">
        <f>E12/G3</f>
        <v>#DIV/0!</v>
      </c>
      <c r="G12" s="203"/>
      <c r="H12" s="72" t="e">
        <f t="shared" si="0"/>
        <v>#DIV/0!</v>
      </c>
      <c r="J12" s="236" t="s">
        <v>118</v>
      </c>
      <c r="K12" s="236"/>
      <c r="L12" s="236"/>
    </row>
    <row r="13" spans="1:12" ht="21" customHeight="1">
      <c r="A13" s="197">
        <v>9</v>
      </c>
      <c r="B13" s="19"/>
      <c r="C13" s="19"/>
      <c r="D13" s="19"/>
      <c r="E13" s="203"/>
      <c r="F13" s="71" t="e">
        <f>E13/G3</f>
        <v>#DIV/0!</v>
      </c>
      <c r="G13" s="203"/>
      <c r="H13" s="72" t="e">
        <f t="shared" si="0"/>
        <v>#DIV/0!</v>
      </c>
    </row>
    <row r="14" spans="1:12" ht="21" customHeight="1">
      <c r="A14" s="197">
        <v>10</v>
      </c>
      <c r="B14" s="19"/>
      <c r="C14" s="19"/>
      <c r="D14" s="19"/>
      <c r="E14" s="203"/>
      <c r="F14" s="71" t="e">
        <f>E14/G3</f>
        <v>#DIV/0!</v>
      </c>
      <c r="G14" s="203"/>
      <c r="H14" s="72" t="e">
        <f t="shared" si="0"/>
        <v>#DIV/0!</v>
      </c>
    </row>
    <row r="15" spans="1:12" ht="21" customHeight="1">
      <c r="A15" s="197">
        <v>11</v>
      </c>
      <c r="B15" s="19"/>
      <c r="C15" s="19"/>
      <c r="D15" s="19"/>
      <c r="E15" s="203"/>
      <c r="F15" s="71" t="e">
        <f>E15/G3</f>
        <v>#DIV/0!</v>
      </c>
      <c r="G15" s="203"/>
      <c r="H15" s="72" t="e">
        <f t="shared" si="0"/>
        <v>#DIV/0!</v>
      </c>
    </row>
    <row r="16" spans="1:12" ht="21" customHeight="1">
      <c r="A16" s="197">
        <v>12</v>
      </c>
      <c r="B16" s="19"/>
      <c r="C16" s="19"/>
      <c r="D16" s="19"/>
      <c r="E16" s="203"/>
      <c r="F16" s="71" t="e">
        <f>E16/G3</f>
        <v>#DIV/0!</v>
      </c>
      <c r="G16" s="203"/>
      <c r="H16" s="72" t="e">
        <f t="shared" si="0"/>
        <v>#DIV/0!</v>
      </c>
    </row>
    <row r="17" spans="1:8" ht="21" customHeight="1">
      <c r="A17" s="197">
        <v>13</v>
      </c>
      <c r="B17" s="19"/>
      <c r="C17" s="19"/>
      <c r="D17" s="19"/>
      <c r="E17" s="203"/>
      <c r="F17" s="71" t="e">
        <f>E17/G3</f>
        <v>#DIV/0!</v>
      </c>
      <c r="G17" s="203"/>
      <c r="H17" s="72" t="e">
        <f t="shared" si="0"/>
        <v>#DIV/0!</v>
      </c>
    </row>
    <row r="18" spans="1:8" ht="21" customHeight="1">
      <c r="A18" s="197">
        <v>14</v>
      </c>
      <c r="B18" s="19"/>
      <c r="C18" s="19"/>
      <c r="D18" s="19"/>
      <c r="E18" s="203"/>
      <c r="F18" s="71" t="e">
        <f>E18/G3</f>
        <v>#DIV/0!</v>
      </c>
      <c r="G18" s="203"/>
      <c r="H18" s="72" t="e">
        <f t="shared" si="0"/>
        <v>#DIV/0!</v>
      </c>
    </row>
    <row r="19" spans="1:8" ht="21" customHeight="1">
      <c r="A19" s="197">
        <v>15</v>
      </c>
      <c r="B19" s="19"/>
      <c r="C19" s="19"/>
      <c r="D19" s="19"/>
      <c r="E19" s="203"/>
      <c r="F19" s="71" t="e">
        <f>E19/G3</f>
        <v>#DIV/0!</v>
      </c>
      <c r="G19" s="203"/>
      <c r="H19" s="72" t="e">
        <f t="shared" si="0"/>
        <v>#DIV/0!</v>
      </c>
    </row>
    <row r="20" spans="1:8" ht="21" customHeight="1">
      <c r="A20" s="197">
        <v>16</v>
      </c>
      <c r="B20" s="19"/>
      <c r="C20" s="19"/>
      <c r="D20" s="19"/>
      <c r="E20" s="203"/>
      <c r="F20" s="71" t="e">
        <f>E20/G3</f>
        <v>#DIV/0!</v>
      </c>
      <c r="G20" s="203"/>
      <c r="H20" s="72" t="e">
        <f t="shared" si="0"/>
        <v>#DIV/0!</v>
      </c>
    </row>
    <row r="21" spans="1:8" ht="21" customHeight="1">
      <c r="A21" s="197">
        <v>17</v>
      </c>
      <c r="B21" s="19"/>
      <c r="C21" s="19"/>
      <c r="D21" s="19"/>
      <c r="E21" s="203"/>
      <c r="F21" s="71" t="e">
        <f>E21/G3</f>
        <v>#DIV/0!</v>
      </c>
      <c r="G21" s="203"/>
      <c r="H21" s="72" t="e">
        <f t="shared" si="0"/>
        <v>#DIV/0!</v>
      </c>
    </row>
    <row r="22" spans="1:8" ht="21" customHeight="1">
      <c r="A22" s="197">
        <v>18</v>
      </c>
      <c r="B22" s="19"/>
      <c r="C22" s="19"/>
      <c r="D22" s="19"/>
      <c r="E22" s="203"/>
      <c r="F22" s="71" t="e">
        <f>E22/G3</f>
        <v>#DIV/0!</v>
      </c>
      <c r="G22" s="203"/>
      <c r="H22" s="72" t="e">
        <f t="shared" si="0"/>
        <v>#DIV/0!</v>
      </c>
    </row>
    <row r="23" spans="1:8" ht="21" customHeight="1">
      <c r="A23" s="197">
        <v>19</v>
      </c>
      <c r="B23" s="19"/>
      <c r="C23" s="19"/>
      <c r="D23" s="19"/>
      <c r="E23" s="203"/>
      <c r="F23" s="71" t="e">
        <f>E23/G3</f>
        <v>#DIV/0!</v>
      </c>
      <c r="G23" s="203"/>
      <c r="H23" s="72" t="e">
        <f t="shared" si="0"/>
        <v>#DIV/0!</v>
      </c>
    </row>
    <row r="24" spans="1:8" ht="21" customHeight="1">
      <c r="A24" s="197">
        <v>20</v>
      </c>
      <c r="B24" s="19"/>
      <c r="C24" s="19"/>
      <c r="D24" s="19"/>
      <c r="E24" s="203"/>
      <c r="F24" s="71" t="e">
        <f>E24/G3</f>
        <v>#DIV/0!</v>
      </c>
      <c r="G24" s="203"/>
      <c r="H24" s="72" t="e">
        <f t="shared" si="0"/>
        <v>#DIV/0!</v>
      </c>
    </row>
    <row r="25" spans="1:8" ht="21" customHeight="1">
      <c r="A25" s="197">
        <v>21</v>
      </c>
      <c r="B25" s="19"/>
      <c r="C25" s="19"/>
      <c r="D25" s="19"/>
      <c r="E25" s="203"/>
      <c r="F25" s="71" t="e">
        <f>E25/G3</f>
        <v>#DIV/0!</v>
      </c>
      <c r="G25" s="203"/>
      <c r="H25" s="72" t="e">
        <f t="shared" si="0"/>
        <v>#DIV/0!</v>
      </c>
    </row>
    <row r="26" spans="1:8" ht="21" customHeight="1">
      <c r="A26" s="197">
        <v>22</v>
      </c>
      <c r="B26" s="19"/>
      <c r="C26" s="19"/>
      <c r="D26" s="19"/>
      <c r="E26" s="203"/>
      <c r="F26" s="71" t="e">
        <f>E26/G3</f>
        <v>#DIV/0!</v>
      </c>
      <c r="G26" s="203"/>
      <c r="H26" s="72" t="e">
        <f t="shared" si="0"/>
        <v>#DIV/0!</v>
      </c>
    </row>
    <row r="27" spans="1:8" ht="21" customHeight="1">
      <c r="A27" s="197">
        <v>23</v>
      </c>
      <c r="B27" s="19"/>
      <c r="C27" s="19"/>
      <c r="D27" s="19"/>
      <c r="E27" s="203"/>
      <c r="F27" s="71" t="e">
        <f>E27/G3</f>
        <v>#DIV/0!</v>
      </c>
      <c r="G27" s="203"/>
      <c r="H27" s="72" t="e">
        <f t="shared" si="0"/>
        <v>#DIV/0!</v>
      </c>
    </row>
    <row r="28" spans="1:8" ht="21" customHeight="1">
      <c r="A28" s="197">
        <v>24</v>
      </c>
      <c r="B28" s="19"/>
      <c r="C28" s="19"/>
      <c r="D28" s="19"/>
      <c r="E28" s="203"/>
      <c r="F28" s="71" t="e">
        <f>E28/G3</f>
        <v>#DIV/0!</v>
      </c>
      <c r="G28" s="203"/>
      <c r="H28" s="72" t="e">
        <f t="shared" si="0"/>
        <v>#DIV/0!</v>
      </c>
    </row>
    <row r="29" spans="1:8" ht="21" customHeight="1">
      <c r="A29" s="197">
        <v>25</v>
      </c>
      <c r="B29" s="19"/>
      <c r="C29" s="19"/>
      <c r="D29" s="19"/>
      <c r="E29" s="203"/>
      <c r="F29" s="71" t="e">
        <f>E29/G3</f>
        <v>#DIV/0!</v>
      </c>
      <c r="G29" s="203"/>
      <c r="H29" s="72" t="e">
        <f t="shared" si="0"/>
        <v>#DIV/0!</v>
      </c>
    </row>
    <row r="30" spans="1:8" ht="21" customHeight="1" thickBot="1">
      <c r="A30" s="231" t="s">
        <v>4</v>
      </c>
      <c r="B30" s="232"/>
      <c r="C30" s="232"/>
      <c r="D30" s="233"/>
      <c r="E30" s="216">
        <f>SUM(E5:E29)</f>
        <v>0</v>
      </c>
      <c r="F30" s="74" t="e">
        <f>E30/G3</f>
        <v>#DIV/0!</v>
      </c>
      <c r="G30" s="216">
        <f>SUM(G5:G29)</f>
        <v>0</v>
      </c>
      <c r="H30" s="72" t="e">
        <f>SUM(H5:H29)</f>
        <v>#DIV/0!</v>
      </c>
    </row>
    <row r="32" spans="1:8">
      <c r="A32" s="218" t="s">
        <v>7</v>
      </c>
      <c r="B32" s="218"/>
      <c r="C32" s="234" t="s">
        <v>8</v>
      </c>
      <c r="D32" s="234"/>
      <c r="E32" s="234" t="s">
        <v>104</v>
      </c>
      <c r="F32" s="234"/>
      <c r="G32" s="234"/>
    </row>
    <row r="43" spans="1:8" ht="17.25" customHeight="1">
      <c r="A43" s="217" t="s">
        <v>106</v>
      </c>
      <c r="B43" s="217"/>
      <c r="C43" s="217"/>
      <c r="D43" s="217"/>
      <c r="E43" s="217"/>
    </row>
    <row r="44" spans="1:8" ht="17.25" customHeight="1">
      <c r="A44" s="217" t="s">
        <v>107</v>
      </c>
      <c r="B44" s="217"/>
      <c r="C44" s="217"/>
      <c r="D44" s="217"/>
      <c r="E44" s="217"/>
    </row>
    <row r="45" spans="1:8" ht="17.25" customHeight="1" thickBot="1">
      <c r="A45" s="230" t="s">
        <v>128</v>
      </c>
      <c r="B45" s="230"/>
      <c r="C45" s="230"/>
      <c r="D45" s="230"/>
      <c r="E45" s="230"/>
      <c r="F45" s="130" t="s">
        <v>119</v>
      </c>
      <c r="G45" s="129" t="e">
        <f>تسعير!E34</f>
        <v>#DIV/0!</v>
      </c>
    </row>
    <row r="46" spans="1:8" ht="21" customHeight="1">
      <c r="A46" s="109" t="s">
        <v>0</v>
      </c>
      <c r="B46" s="64" t="s">
        <v>101</v>
      </c>
      <c r="C46" s="64" t="s">
        <v>100</v>
      </c>
      <c r="D46" s="64" t="s">
        <v>103</v>
      </c>
      <c r="E46" s="64" t="s">
        <v>17</v>
      </c>
      <c r="F46" s="67" t="s">
        <v>109</v>
      </c>
      <c r="G46" s="131" t="s">
        <v>18</v>
      </c>
      <c r="H46" s="69" t="s">
        <v>102</v>
      </c>
    </row>
    <row r="47" spans="1:8" ht="21" customHeight="1">
      <c r="A47" s="28">
        <v>1</v>
      </c>
      <c r="B47" s="19" t="s">
        <v>105</v>
      </c>
      <c r="C47" s="108" t="s">
        <v>220</v>
      </c>
      <c r="D47" s="19"/>
      <c r="E47" s="19"/>
      <c r="F47" s="71" t="e">
        <f>E47/G3</f>
        <v>#DIV/0!</v>
      </c>
      <c r="G47" s="132"/>
      <c r="H47" s="72" t="e">
        <f>G47+F47</f>
        <v>#DIV/0!</v>
      </c>
    </row>
    <row r="48" spans="1:8" ht="21" customHeight="1">
      <c r="A48" s="28">
        <v>2</v>
      </c>
      <c r="B48" s="19"/>
      <c r="C48" s="108" t="s">
        <v>221</v>
      </c>
      <c r="D48" s="19"/>
      <c r="E48" s="19"/>
      <c r="F48" s="71" t="e">
        <f>E48/G3</f>
        <v>#DIV/0!</v>
      </c>
      <c r="G48" s="132"/>
      <c r="H48" s="72" t="e">
        <f t="shared" ref="H48:H71" si="1">G48+F48</f>
        <v>#DIV/0!</v>
      </c>
    </row>
    <row r="49" spans="1:8" ht="21" customHeight="1">
      <c r="A49" s="28">
        <v>3</v>
      </c>
      <c r="B49" s="19"/>
      <c r="C49" s="108" t="s">
        <v>222</v>
      </c>
      <c r="D49" s="19"/>
      <c r="E49" s="19"/>
      <c r="F49" s="71" t="e">
        <f>E49/G3</f>
        <v>#DIV/0!</v>
      </c>
      <c r="G49" s="132"/>
      <c r="H49" s="72" t="e">
        <f t="shared" si="1"/>
        <v>#DIV/0!</v>
      </c>
    </row>
    <row r="50" spans="1:8" ht="21" customHeight="1">
      <c r="A50" s="28">
        <v>4</v>
      </c>
      <c r="B50" s="19"/>
      <c r="C50" s="108" t="s">
        <v>223</v>
      </c>
      <c r="D50" s="19"/>
      <c r="E50" s="19"/>
      <c r="F50" s="71" t="e">
        <f>E50/G3</f>
        <v>#DIV/0!</v>
      </c>
      <c r="G50" s="132"/>
      <c r="H50" s="72" t="e">
        <f t="shared" si="1"/>
        <v>#DIV/0!</v>
      </c>
    </row>
    <row r="51" spans="1:8" ht="21" customHeight="1">
      <c r="A51" s="28">
        <v>5</v>
      </c>
      <c r="B51" s="19"/>
      <c r="C51" s="108" t="s">
        <v>224</v>
      </c>
      <c r="D51" s="19"/>
      <c r="E51" s="19"/>
      <c r="F51" s="71" t="e">
        <f>E51/G3</f>
        <v>#DIV/0!</v>
      </c>
      <c r="G51" s="132"/>
      <c r="H51" s="72" t="e">
        <f t="shared" si="1"/>
        <v>#DIV/0!</v>
      </c>
    </row>
    <row r="52" spans="1:8" ht="21" customHeight="1">
      <c r="A52" s="28">
        <v>6</v>
      </c>
      <c r="B52" s="19"/>
      <c r="C52" s="108" t="s">
        <v>225</v>
      </c>
      <c r="D52" s="19"/>
      <c r="E52" s="19"/>
      <c r="F52" s="71" t="e">
        <f>E52/G3</f>
        <v>#DIV/0!</v>
      </c>
      <c r="G52" s="132"/>
      <c r="H52" s="72" t="e">
        <f t="shared" si="1"/>
        <v>#DIV/0!</v>
      </c>
    </row>
    <row r="53" spans="1:8" ht="21" customHeight="1">
      <c r="A53" s="28">
        <v>7</v>
      </c>
      <c r="B53" s="19"/>
      <c r="C53" s="19"/>
      <c r="D53" s="19"/>
      <c r="E53" s="19"/>
      <c r="F53" s="71" t="e">
        <f>E53/G3</f>
        <v>#DIV/0!</v>
      </c>
      <c r="G53" s="132"/>
      <c r="H53" s="72" t="e">
        <f t="shared" si="1"/>
        <v>#DIV/0!</v>
      </c>
    </row>
    <row r="54" spans="1:8" ht="21" customHeight="1">
      <c r="A54" s="28">
        <v>8</v>
      </c>
      <c r="B54" s="19"/>
      <c r="C54" s="19"/>
      <c r="D54" s="19"/>
      <c r="E54" s="19"/>
      <c r="F54" s="71" t="e">
        <f>E54/G3</f>
        <v>#DIV/0!</v>
      </c>
      <c r="G54" s="132"/>
      <c r="H54" s="72" t="e">
        <f t="shared" si="1"/>
        <v>#DIV/0!</v>
      </c>
    </row>
    <row r="55" spans="1:8" ht="21" customHeight="1">
      <c r="A55" s="28">
        <v>9</v>
      </c>
      <c r="B55" s="19"/>
      <c r="C55" s="19"/>
      <c r="D55" s="19"/>
      <c r="E55" s="19"/>
      <c r="F55" s="71" t="e">
        <f>E55/G3</f>
        <v>#DIV/0!</v>
      </c>
      <c r="G55" s="132"/>
      <c r="H55" s="72" t="e">
        <f t="shared" si="1"/>
        <v>#DIV/0!</v>
      </c>
    </row>
    <row r="56" spans="1:8" ht="21" customHeight="1">
      <c r="A56" s="28">
        <v>10</v>
      </c>
      <c r="B56" s="19"/>
      <c r="C56" s="19"/>
      <c r="D56" s="19"/>
      <c r="E56" s="19"/>
      <c r="F56" s="71" t="e">
        <f>E56/G3</f>
        <v>#DIV/0!</v>
      </c>
      <c r="G56" s="132"/>
      <c r="H56" s="72" t="e">
        <f t="shared" si="1"/>
        <v>#DIV/0!</v>
      </c>
    </row>
    <row r="57" spans="1:8" ht="21" customHeight="1">
      <c r="A57" s="28">
        <v>11</v>
      </c>
      <c r="B57" s="19"/>
      <c r="C57" s="19"/>
      <c r="D57" s="19"/>
      <c r="E57" s="19"/>
      <c r="F57" s="71" t="e">
        <f>E57/G3</f>
        <v>#DIV/0!</v>
      </c>
      <c r="G57" s="132"/>
      <c r="H57" s="72" t="e">
        <f t="shared" si="1"/>
        <v>#DIV/0!</v>
      </c>
    </row>
    <row r="58" spans="1:8" ht="21" customHeight="1">
      <c r="A58" s="28">
        <v>12</v>
      </c>
      <c r="B58" s="19"/>
      <c r="C58" s="19"/>
      <c r="D58" s="19"/>
      <c r="E58" s="19"/>
      <c r="F58" s="71" t="e">
        <f>E58/G3</f>
        <v>#DIV/0!</v>
      </c>
      <c r="G58" s="132"/>
      <c r="H58" s="72" t="e">
        <f t="shared" si="1"/>
        <v>#DIV/0!</v>
      </c>
    </row>
    <row r="59" spans="1:8" ht="21" customHeight="1">
      <c r="A59" s="28">
        <v>13</v>
      </c>
      <c r="B59" s="19"/>
      <c r="C59" s="19"/>
      <c r="D59" s="19"/>
      <c r="E59" s="19"/>
      <c r="F59" s="71" t="e">
        <f>E59/G3</f>
        <v>#DIV/0!</v>
      </c>
      <c r="G59" s="132"/>
      <c r="H59" s="72" t="e">
        <f t="shared" si="1"/>
        <v>#DIV/0!</v>
      </c>
    </row>
    <row r="60" spans="1:8" ht="21" customHeight="1">
      <c r="A60" s="28">
        <v>14</v>
      </c>
      <c r="B60" s="19"/>
      <c r="C60" s="19"/>
      <c r="D60" s="19"/>
      <c r="E60" s="19"/>
      <c r="F60" s="71" t="e">
        <f>E60/G3</f>
        <v>#DIV/0!</v>
      </c>
      <c r="G60" s="132"/>
      <c r="H60" s="72" t="e">
        <f t="shared" si="1"/>
        <v>#DIV/0!</v>
      </c>
    </row>
    <row r="61" spans="1:8" ht="21" customHeight="1">
      <c r="A61" s="28">
        <v>15</v>
      </c>
      <c r="B61" s="19"/>
      <c r="C61" s="19"/>
      <c r="D61" s="19"/>
      <c r="E61" s="19"/>
      <c r="F61" s="71" t="e">
        <f>E61/G3</f>
        <v>#DIV/0!</v>
      </c>
      <c r="G61" s="132"/>
      <c r="H61" s="72" t="e">
        <f t="shared" si="1"/>
        <v>#DIV/0!</v>
      </c>
    </row>
    <row r="62" spans="1:8" ht="21" customHeight="1">
      <c r="A62" s="28">
        <v>16</v>
      </c>
      <c r="B62" s="19"/>
      <c r="C62" s="19"/>
      <c r="D62" s="19"/>
      <c r="E62" s="19"/>
      <c r="F62" s="71" t="e">
        <f>E62/G3</f>
        <v>#DIV/0!</v>
      </c>
      <c r="G62" s="132"/>
      <c r="H62" s="72" t="e">
        <f t="shared" si="1"/>
        <v>#DIV/0!</v>
      </c>
    </row>
    <row r="63" spans="1:8" ht="21" customHeight="1">
      <c r="A63" s="28">
        <v>17</v>
      </c>
      <c r="B63" s="19"/>
      <c r="C63" s="19"/>
      <c r="D63" s="19"/>
      <c r="E63" s="19"/>
      <c r="F63" s="71" t="e">
        <f>E63/G3</f>
        <v>#DIV/0!</v>
      </c>
      <c r="G63" s="132"/>
      <c r="H63" s="72" t="e">
        <f t="shared" si="1"/>
        <v>#DIV/0!</v>
      </c>
    </row>
    <row r="64" spans="1:8" ht="21" customHeight="1">
      <c r="A64" s="28">
        <v>18</v>
      </c>
      <c r="B64" s="19"/>
      <c r="C64" s="19"/>
      <c r="D64" s="19"/>
      <c r="E64" s="19"/>
      <c r="F64" s="71" t="e">
        <f>E64/G3</f>
        <v>#DIV/0!</v>
      </c>
      <c r="G64" s="132"/>
      <c r="H64" s="72" t="e">
        <f t="shared" si="1"/>
        <v>#DIV/0!</v>
      </c>
    </row>
    <row r="65" spans="1:8" ht="21" customHeight="1">
      <c r="A65" s="28">
        <v>19</v>
      </c>
      <c r="B65" s="19"/>
      <c r="C65" s="19"/>
      <c r="D65" s="19"/>
      <c r="E65" s="19"/>
      <c r="F65" s="71" t="e">
        <f>E65/G3</f>
        <v>#DIV/0!</v>
      </c>
      <c r="G65" s="132"/>
      <c r="H65" s="72" t="e">
        <f t="shared" si="1"/>
        <v>#DIV/0!</v>
      </c>
    </row>
    <row r="66" spans="1:8" ht="21" customHeight="1">
      <c r="A66" s="28">
        <v>20</v>
      </c>
      <c r="B66" s="19"/>
      <c r="C66" s="19"/>
      <c r="D66" s="19"/>
      <c r="E66" s="19"/>
      <c r="F66" s="71" t="e">
        <f>E66/G3</f>
        <v>#DIV/0!</v>
      </c>
      <c r="G66" s="132"/>
      <c r="H66" s="72" t="e">
        <f t="shared" si="1"/>
        <v>#DIV/0!</v>
      </c>
    </row>
    <row r="67" spans="1:8" ht="21" customHeight="1">
      <c r="A67" s="28">
        <v>21</v>
      </c>
      <c r="B67" s="19"/>
      <c r="C67" s="19"/>
      <c r="D67" s="19"/>
      <c r="E67" s="19"/>
      <c r="F67" s="71" t="e">
        <f>E67/G3</f>
        <v>#DIV/0!</v>
      </c>
      <c r="G67" s="132"/>
      <c r="H67" s="72" t="e">
        <f t="shared" si="1"/>
        <v>#DIV/0!</v>
      </c>
    </row>
    <row r="68" spans="1:8" ht="21" customHeight="1">
      <c r="A68" s="28">
        <v>22</v>
      </c>
      <c r="B68" s="19"/>
      <c r="C68" s="19"/>
      <c r="D68" s="19"/>
      <c r="E68" s="19"/>
      <c r="F68" s="71" t="e">
        <f>E68/G3</f>
        <v>#DIV/0!</v>
      </c>
      <c r="G68" s="132"/>
      <c r="H68" s="72" t="e">
        <f t="shared" si="1"/>
        <v>#DIV/0!</v>
      </c>
    </row>
    <row r="69" spans="1:8" ht="21" customHeight="1">
      <c r="A69" s="28">
        <v>23</v>
      </c>
      <c r="B69" s="19"/>
      <c r="C69" s="19"/>
      <c r="D69" s="19"/>
      <c r="E69" s="19"/>
      <c r="F69" s="71" t="e">
        <f>E69/G3</f>
        <v>#DIV/0!</v>
      </c>
      <c r="G69" s="132"/>
      <c r="H69" s="72" t="e">
        <f t="shared" si="1"/>
        <v>#DIV/0!</v>
      </c>
    </row>
    <row r="70" spans="1:8" ht="21" customHeight="1">
      <c r="A70" s="28">
        <v>24</v>
      </c>
      <c r="B70" s="19"/>
      <c r="C70" s="19"/>
      <c r="D70" s="19"/>
      <c r="E70" s="19"/>
      <c r="F70" s="71" t="e">
        <f>E70/G3</f>
        <v>#DIV/0!</v>
      </c>
      <c r="G70" s="132"/>
      <c r="H70" s="72" t="e">
        <f t="shared" si="1"/>
        <v>#DIV/0!</v>
      </c>
    </row>
    <row r="71" spans="1:8" ht="21" customHeight="1">
      <c r="A71" s="28">
        <v>25</v>
      </c>
      <c r="B71" s="19"/>
      <c r="C71" s="19"/>
      <c r="D71" s="19"/>
      <c r="E71" s="19"/>
      <c r="F71" s="71" t="e">
        <f>E71/G3</f>
        <v>#DIV/0!</v>
      </c>
      <c r="G71" s="132"/>
      <c r="H71" s="72" t="e">
        <f t="shared" si="1"/>
        <v>#DIV/0!</v>
      </c>
    </row>
    <row r="72" spans="1:8" ht="21" customHeight="1" thickBot="1">
      <c r="A72" s="231" t="s">
        <v>4</v>
      </c>
      <c r="B72" s="232"/>
      <c r="C72" s="232"/>
      <c r="D72" s="233"/>
      <c r="E72" s="21">
        <f>SUM(E47:E71)</f>
        <v>0</v>
      </c>
      <c r="F72" s="71" t="e">
        <f>E72/G3</f>
        <v>#DIV/0!</v>
      </c>
      <c r="G72" s="133">
        <f>SUM(G47:G71)</f>
        <v>0</v>
      </c>
      <c r="H72" s="72" t="e">
        <f>SUM(H47:H71)</f>
        <v>#DIV/0!</v>
      </c>
    </row>
    <row r="74" spans="1:8">
      <c r="A74" s="218" t="s">
        <v>7</v>
      </c>
      <c r="B74" s="218"/>
      <c r="C74" s="234" t="s">
        <v>8</v>
      </c>
      <c r="D74" s="234"/>
      <c r="E74" s="234" t="s">
        <v>104</v>
      </c>
      <c r="F74" s="234"/>
      <c r="G74" s="234"/>
    </row>
    <row r="85" spans="1:8" ht="17.25" customHeight="1">
      <c r="A85" s="217" t="s">
        <v>106</v>
      </c>
      <c r="B85" s="235"/>
      <c r="C85" s="235"/>
      <c r="D85" s="235"/>
      <c r="E85" s="235"/>
    </row>
    <row r="86" spans="1:8" ht="17.25" customHeight="1">
      <c r="A86" s="217" t="s">
        <v>107</v>
      </c>
      <c r="B86" s="235"/>
      <c r="C86" s="235"/>
      <c r="D86" s="235"/>
      <c r="E86" s="235"/>
    </row>
    <row r="87" spans="1:8" ht="17.25" customHeight="1" thickBot="1">
      <c r="A87" s="230" t="s">
        <v>129</v>
      </c>
      <c r="B87" s="230"/>
      <c r="C87" s="230"/>
      <c r="D87" s="230"/>
      <c r="E87" s="230"/>
      <c r="F87" s="66" t="s">
        <v>119</v>
      </c>
      <c r="G87" s="129" t="e">
        <f>تسعير!E34</f>
        <v>#DIV/0!</v>
      </c>
    </row>
    <row r="88" spans="1:8" ht="21" customHeight="1">
      <c r="A88" s="109" t="s">
        <v>0</v>
      </c>
      <c r="B88" s="64" t="s">
        <v>101</v>
      </c>
      <c r="C88" s="64" t="s">
        <v>100</v>
      </c>
      <c r="D88" s="64" t="s">
        <v>103</v>
      </c>
      <c r="E88" s="64" t="s">
        <v>17</v>
      </c>
      <c r="F88" s="67" t="s">
        <v>109</v>
      </c>
      <c r="G88" s="131" t="s">
        <v>18</v>
      </c>
      <c r="H88" s="69" t="s">
        <v>102</v>
      </c>
    </row>
    <row r="89" spans="1:8" ht="21" customHeight="1">
      <c r="A89" s="28">
        <v>1</v>
      </c>
      <c r="B89" s="19" t="s">
        <v>105</v>
      </c>
      <c r="C89" s="4"/>
      <c r="D89" s="19"/>
      <c r="E89" s="19"/>
      <c r="F89" s="71" t="e">
        <f>E89/G3</f>
        <v>#DIV/0!</v>
      </c>
      <c r="G89" s="132"/>
      <c r="H89" s="72" t="e">
        <f>G89+F89</f>
        <v>#DIV/0!</v>
      </c>
    </row>
    <row r="90" spans="1:8" ht="21" customHeight="1">
      <c r="A90" s="28">
        <v>2</v>
      </c>
      <c r="B90" s="19"/>
      <c r="C90" s="19"/>
      <c r="D90" s="19"/>
      <c r="E90" s="19"/>
      <c r="F90" s="71" t="e">
        <f>E90/G3</f>
        <v>#DIV/0!</v>
      </c>
      <c r="G90" s="132"/>
      <c r="H90" s="72" t="e">
        <f t="shared" ref="H90:H113" si="2">G90+F90</f>
        <v>#DIV/0!</v>
      </c>
    </row>
    <row r="91" spans="1:8" ht="21" customHeight="1">
      <c r="A91" s="28">
        <v>3</v>
      </c>
      <c r="B91" s="19"/>
      <c r="C91" s="19"/>
      <c r="D91" s="19"/>
      <c r="E91" s="19"/>
      <c r="F91" s="71" t="e">
        <f>E91/G3</f>
        <v>#DIV/0!</v>
      </c>
      <c r="G91" s="132"/>
      <c r="H91" s="72" t="e">
        <f t="shared" si="2"/>
        <v>#DIV/0!</v>
      </c>
    </row>
    <row r="92" spans="1:8" ht="21" customHeight="1">
      <c r="A92" s="28">
        <v>4</v>
      </c>
      <c r="B92" s="19"/>
      <c r="C92" s="19"/>
      <c r="D92" s="19"/>
      <c r="E92" s="19"/>
      <c r="F92" s="71" t="e">
        <f>E92/G3</f>
        <v>#DIV/0!</v>
      </c>
      <c r="G92" s="132"/>
      <c r="H92" s="72" t="e">
        <f t="shared" si="2"/>
        <v>#DIV/0!</v>
      </c>
    </row>
    <row r="93" spans="1:8" ht="21" customHeight="1">
      <c r="A93" s="28">
        <v>5</v>
      </c>
      <c r="B93" s="19"/>
      <c r="C93" s="19"/>
      <c r="D93" s="19"/>
      <c r="E93" s="19"/>
      <c r="F93" s="71" t="e">
        <f>E93/G3</f>
        <v>#DIV/0!</v>
      </c>
      <c r="G93" s="132"/>
      <c r="H93" s="72" t="e">
        <f t="shared" si="2"/>
        <v>#DIV/0!</v>
      </c>
    </row>
    <row r="94" spans="1:8" ht="21" customHeight="1">
      <c r="A94" s="28">
        <v>6</v>
      </c>
      <c r="B94" s="19"/>
      <c r="C94" s="19"/>
      <c r="D94" s="19"/>
      <c r="E94" s="19"/>
      <c r="F94" s="71" t="e">
        <f>E94/G3</f>
        <v>#DIV/0!</v>
      </c>
      <c r="G94" s="132"/>
      <c r="H94" s="72" t="e">
        <f t="shared" si="2"/>
        <v>#DIV/0!</v>
      </c>
    </row>
    <row r="95" spans="1:8" ht="21" customHeight="1">
      <c r="A95" s="28">
        <v>7</v>
      </c>
      <c r="B95" s="19"/>
      <c r="C95" s="19"/>
      <c r="D95" s="19"/>
      <c r="E95" s="19"/>
      <c r="F95" s="71" t="e">
        <f>E95/G3</f>
        <v>#DIV/0!</v>
      </c>
      <c r="G95" s="132"/>
      <c r="H95" s="72" t="e">
        <f t="shared" si="2"/>
        <v>#DIV/0!</v>
      </c>
    </row>
    <row r="96" spans="1:8" ht="21" customHeight="1">
      <c r="A96" s="28">
        <v>8</v>
      </c>
      <c r="B96" s="19"/>
      <c r="C96" s="19"/>
      <c r="D96" s="19"/>
      <c r="E96" s="19"/>
      <c r="F96" s="71" t="e">
        <f>E96/G3</f>
        <v>#DIV/0!</v>
      </c>
      <c r="G96" s="132"/>
      <c r="H96" s="72" t="e">
        <f t="shared" si="2"/>
        <v>#DIV/0!</v>
      </c>
    </row>
    <row r="97" spans="1:8" ht="21" customHeight="1">
      <c r="A97" s="28">
        <v>9</v>
      </c>
      <c r="B97" s="19"/>
      <c r="C97" s="19"/>
      <c r="D97" s="19"/>
      <c r="E97" s="19"/>
      <c r="F97" s="71" t="e">
        <f>E97/G3</f>
        <v>#DIV/0!</v>
      </c>
      <c r="G97" s="132"/>
      <c r="H97" s="72" t="e">
        <f t="shared" si="2"/>
        <v>#DIV/0!</v>
      </c>
    </row>
    <row r="98" spans="1:8" ht="21" customHeight="1">
      <c r="A98" s="28">
        <v>10</v>
      </c>
      <c r="B98" s="19"/>
      <c r="C98" s="19"/>
      <c r="D98" s="19"/>
      <c r="E98" s="19"/>
      <c r="F98" s="71" t="e">
        <f>E98/G3</f>
        <v>#DIV/0!</v>
      </c>
      <c r="G98" s="132"/>
      <c r="H98" s="72" t="e">
        <f t="shared" si="2"/>
        <v>#DIV/0!</v>
      </c>
    </row>
    <row r="99" spans="1:8" ht="21" customHeight="1">
      <c r="A99" s="28">
        <v>11</v>
      </c>
      <c r="B99" s="19"/>
      <c r="C99" s="19"/>
      <c r="D99" s="19"/>
      <c r="E99" s="19"/>
      <c r="F99" s="71" t="e">
        <f>E99/G3</f>
        <v>#DIV/0!</v>
      </c>
      <c r="G99" s="132"/>
      <c r="H99" s="72" t="e">
        <f t="shared" si="2"/>
        <v>#DIV/0!</v>
      </c>
    </row>
    <row r="100" spans="1:8" ht="21" customHeight="1">
      <c r="A100" s="28">
        <v>12</v>
      </c>
      <c r="B100" s="19"/>
      <c r="C100" s="19"/>
      <c r="D100" s="19"/>
      <c r="E100" s="19"/>
      <c r="F100" s="71" t="e">
        <f>E100/G3</f>
        <v>#DIV/0!</v>
      </c>
      <c r="G100" s="132"/>
      <c r="H100" s="72" t="e">
        <f t="shared" si="2"/>
        <v>#DIV/0!</v>
      </c>
    </row>
    <row r="101" spans="1:8" ht="21" customHeight="1">
      <c r="A101" s="28">
        <v>13</v>
      </c>
      <c r="B101" s="19"/>
      <c r="C101" s="19"/>
      <c r="D101" s="19"/>
      <c r="E101" s="19"/>
      <c r="F101" s="71" t="e">
        <f>E101/G3</f>
        <v>#DIV/0!</v>
      </c>
      <c r="G101" s="132"/>
      <c r="H101" s="72" t="e">
        <f t="shared" si="2"/>
        <v>#DIV/0!</v>
      </c>
    </row>
    <row r="102" spans="1:8" ht="21" customHeight="1">
      <c r="A102" s="28">
        <v>14</v>
      </c>
      <c r="B102" s="19"/>
      <c r="C102" s="19"/>
      <c r="D102" s="19"/>
      <c r="E102" s="19"/>
      <c r="F102" s="71" t="e">
        <f>E102/G3</f>
        <v>#DIV/0!</v>
      </c>
      <c r="G102" s="132"/>
      <c r="H102" s="72" t="e">
        <f t="shared" si="2"/>
        <v>#DIV/0!</v>
      </c>
    </row>
    <row r="103" spans="1:8" ht="21" customHeight="1">
      <c r="A103" s="28">
        <v>15</v>
      </c>
      <c r="B103" s="19"/>
      <c r="C103" s="19"/>
      <c r="D103" s="19"/>
      <c r="E103" s="19"/>
      <c r="F103" s="71" t="e">
        <f>E103/G3</f>
        <v>#DIV/0!</v>
      </c>
      <c r="G103" s="132"/>
      <c r="H103" s="72" t="e">
        <f t="shared" si="2"/>
        <v>#DIV/0!</v>
      </c>
    </row>
    <row r="104" spans="1:8" ht="21" customHeight="1">
      <c r="A104" s="28">
        <v>16</v>
      </c>
      <c r="B104" s="19"/>
      <c r="C104" s="19"/>
      <c r="D104" s="19"/>
      <c r="E104" s="19"/>
      <c r="F104" s="71" t="e">
        <f>E104/G3</f>
        <v>#DIV/0!</v>
      </c>
      <c r="G104" s="132"/>
      <c r="H104" s="72" t="e">
        <f t="shared" si="2"/>
        <v>#DIV/0!</v>
      </c>
    </row>
    <row r="105" spans="1:8" ht="21" customHeight="1">
      <c r="A105" s="28">
        <v>17</v>
      </c>
      <c r="B105" s="19"/>
      <c r="C105" s="19"/>
      <c r="D105" s="19"/>
      <c r="E105" s="19"/>
      <c r="F105" s="71" t="e">
        <f>E105/G3</f>
        <v>#DIV/0!</v>
      </c>
      <c r="G105" s="132"/>
      <c r="H105" s="72" t="e">
        <f t="shared" si="2"/>
        <v>#DIV/0!</v>
      </c>
    </row>
    <row r="106" spans="1:8" ht="21" customHeight="1">
      <c r="A106" s="28">
        <v>18</v>
      </c>
      <c r="B106" s="19"/>
      <c r="C106" s="19"/>
      <c r="D106" s="19"/>
      <c r="E106" s="19"/>
      <c r="F106" s="71" t="e">
        <f>E106/G3</f>
        <v>#DIV/0!</v>
      </c>
      <c r="G106" s="132"/>
      <c r="H106" s="72" t="e">
        <f t="shared" si="2"/>
        <v>#DIV/0!</v>
      </c>
    </row>
    <row r="107" spans="1:8" ht="21" customHeight="1">
      <c r="A107" s="28">
        <v>19</v>
      </c>
      <c r="B107" s="19"/>
      <c r="C107" s="19"/>
      <c r="D107" s="19"/>
      <c r="E107" s="19"/>
      <c r="F107" s="71" t="e">
        <f>E107/G3</f>
        <v>#DIV/0!</v>
      </c>
      <c r="G107" s="132"/>
      <c r="H107" s="72" t="e">
        <f t="shared" si="2"/>
        <v>#DIV/0!</v>
      </c>
    </row>
    <row r="108" spans="1:8" ht="21" customHeight="1">
      <c r="A108" s="28">
        <v>20</v>
      </c>
      <c r="B108" s="19"/>
      <c r="C108" s="19"/>
      <c r="D108" s="19"/>
      <c r="E108" s="19"/>
      <c r="F108" s="71" t="e">
        <f>E108/G3</f>
        <v>#DIV/0!</v>
      </c>
      <c r="G108" s="132"/>
      <c r="H108" s="72" t="e">
        <f t="shared" si="2"/>
        <v>#DIV/0!</v>
      </c>
    </row>
    <row r="109" spans="1:8" ht="21" customHeight="1">
      <c r="A109" s="28">
        <v>21</v>
      </c>
      <c r="B109" s="19"/>
      <c r="C109" s="19"/>
      <c r="D109" s="19"/>
      <c r="E109" s="19"/>
      <c r="F109" s="71" t="e">
        <f>E109/G3</f>
        <v>#DIV/0!</v>
      </c>
      <c r="G109" s="132"/>
      <c r="H109" s="72" t="e">
        <f t="shared" si="2"/>
        <v>#DIV/0!</v>
      </c>
    </row>
    <row r="110" spans="1:8" ht="21" customHeight="1">
      <c r="A110" s="28">
        <v>22</v>
      </c>
      <c r="B110" s="19"/>
      <c r="C110" s="19"/>
      <c r="D110" s="19"/>
      <c r="E110" s="19"/>
      <c r="F110" s="71" t="e">
        <f>E110/G3</f>
        <v>#DIV/0!</v>
      </c>
      <c r="G110" s="132"/>
      <c r="H110" s="72" t="e">
        <f t="shared" si="2"/>
        <v>#DIV/0!</v>
      </c>
    </row>
    <row r="111" spans="1:8" ht="21" customHeight="1">
      <c r="A111" s="28">
        <v>23</v>
      </c>
      <c r="B111" s="19"/>
      <c r="C111" s="19"/>
      <c r="D111" s="19"/>
      <c r="E111" s="19"/>
      <c r="F111" s="71" t="e">
        <f>E111/G3</f>
        <v>#DIV/0!</v>
      </c>
      <c r="G111" s="132"/>
      <c r="H111" s="72" t="e">
        <f t="shared" si="2"/>
        <v>#DIV/0!</v>
      </c>
    </row>
    <row r="112" spans="1:8" ht="21" customHeight="1">
      <c r="A112" s="28">
        <v>24</v>
      </c>
      <c r="B112" s="19"/>
      <c r="C112" s="19"/>
      <c r="D112" s="19"/>
      <c r="E112" s="19"/>
      <c r="F112" s="71" t="e">
        <f>E112/G3</f>
        <v>#DIV/0!</v>
      </c>
      <c r="G112" s="132"/>
      <c r="H112" s="72" t="e">
        <f t="shared" si="2"/>
        <v>#DIV/0!</v>
      </c>
    </row>
    <row r="113" spans="1:8" ht="21" customHeight="1">
      <c r="A113" s="28">
        <v>25</v>
      </c>
      <c r="B113" s="19"/>
      <c r="C113" s="19"/>
      <c r="D113" s="19"/>
      <c r="E113" s="19"/>
      <c r="F113" s="71" t="e">
        <f>E113/G3</f>
        <v>#DIV/0!</v>
      </c>
      <c r="G113" s="132"/>
      <c r="H113" s="72" t="e">
        <f t="shared" si="2"/>
        <v>#DIV/0!</v>
      </c>
    </row>
    <row r="114" spans="1:8" ht="21" customHeight="1" thickBot="1">
      <c r="A114" s="231" t="s">
        <v>4</v>
      </c>
      <c r="B114" s="232"/>
      <c r="C114" s="232"/>
      <c r="D114" s="233"/>
      <c r="E114" s="21">
        <f>SUM(E89:E113)</f>
        <v>0</v>
      </c>
      <c r="F114" s="71" t="e">
        <f>E114/G3</f>
        <v>#DIV/0!</v>
      </c>
      <c r="G114" s="133">
        <f>SUM(G89:G113)</f>
        <v>0</v>
      </c>
      <c r="H114" s="72" t="e">
        <f>SUM(H89:H113)</f>
        <v>#DIV/0!</v>
      </c>
    </row>
    <row r="116" spans="1:8">
      <c r="A116" s="218" t="s">
        <v>7</v>
      </c>
      <c r="B116" s="218"/>
      <c r="C116" s="234" t="s">
        <v>8</v>
      </c>
      <c r="D116" s="234"/>
      <c r="E116" s="234" t="s">
        <v>104</v>
      </c>
      <c r="F116" s="234"/>
      <c r="G116" s="234"/>
    </row>
    <row r="127" spans="1:8" ht="17.25" customHeight="1">
      <c r="A127" s="217" t="s">
        <v>106</v>
      </c>
      <c r="B127" s="235"/>
      <c r="C127" s="235"/>
      <c r="D127" s="235"/>
      <c r="E127" s="235"/>
    </row>
    <row r="128" spans="1:8" ht="17.25" customHeight="1">
      <c r="A128" s="217" t="s">
        <v>107</v>
      </c>
      <c r="B128" s="235"/>
      <c r="C128" s="235"/>
      <c r="D128" s="235"/>
      <c r="E128" s="235"/>
    </row>
    <row r="129" spans="1:8" ht="17.25" customHeight="1" thickBot="1">
      <c r="A129" s="230" t="s">
        <v>130</v>
      </c>
      <c r="B129" s="230"/>
      <c r="C129" s="230"/>
      <c r="D129" s="230"/>
      <c r="E129" s="230"/>
      <c r="F129" s="66" t="s">
        <v>119</v>
      </c>
      <c r="G129" s="129" t="e">
        <f>تسعير!E34</f>
        <v>#DIV/0!</v>
      </c>
    </row>
    <row r="130" spans="1:8" ht="21" customHeight="1">
      <c r="A130" s="109" t="s">
        <v>0</v>
      </c>
      <c r="B130" s="64" t="s">
        <v>101</v>
      </c>
      <c r="C130" s="64" t="s">
        <v>100</v>
      </c>
      <c r="D130" s="64" t="s">
        <v>103</v>
      </c>
      <c r="E130" s="64" t="s">
        <v>17</v>
      </c>
      <c r="F130" s="67" t="s">
        <v>109</v>
      </c>
      <c r="G130" s="131" t="s">
        <v>18</v>
      </c>
      <c r="H130" s="69" t="s">
        <v>102</v>
      </c>
    </row>
    <row r="131" spans="1:8" ht="21" customHeight="1">
      <c r="A131" s="28">
        <v>1</v>
      </c>
      <c r="B131" s="19" t="s">
        <v>105</v>
      </c>
      <c r="C131" s="4"/>
      <c r="D131" s="19"/>
      <c r="E131" s="19"/>
      <c r="F131" s="71" t="e">
        <f>E131/G3</f>
        <v>#DIV/0!</v>
      </c>
      <c r="G131" s="132"/>
      <c r="H131" s="72" t="e">
        <f>G131+F131</f>
        <v>#DIV/0!</v>
      </c>
    </row>
    <row r="132" spans="1:8" ht="21" customHeight="1">
      <c r="A132" s="28">
        <v>2</v>
      </c>
      <c r="B132" s="19"/>
      <c r="C132" s="19"/>
      <c r="D132" s="19"/>
      <c r="E132" s="19"/>
      <c r="F132" s="71" t="e">
        <f>E132/G3</f>
        <v>#DIV/0!</v>
      </c>
      <c r="G132" s="132"/>
      <c r="H132" s="72" t="e">
        <f t="shared" ref="H132:H155" si="3">G132+F132</f>
        <v>#DIV/0!</v>
      </c>
    </row>
    <row r="133" spans="1:8" ht="21" customHeight="1">
      <c r="A133" s="28">
        <v>3</v>
      </c>
      <c r="B133" s="19"/>
      <c r="C133" s="19"/>
      <c r="D133" s="19"/>
      <c r="E133" s="19"/>
      <c r="F133" s="71" t="e">
        <f>E133/G3</f>
        <v>#DIV/0!</v>
      </c>
      <c r="G133" s="132"/>
      <c r="H133" s="72" t="e">
        <f t="shared" si="3"/>
        <v>#DIV/0!</v>
      </c>
    </row>
    <row r="134" spans="1:8" ht="21" customHeight="1">
      <c r="A134" s="28">
        <v>4</v>
      </c>
      <c r="B134" s="19"/>
      <c r="C134" s="19"/>
      <c r="D134" s="19"/>
      <c r="E134" s="19"/>
      <c r="F134" s="71" t="e">
        <f>E134/G3</f>
        <v>#DIV/0!</v>
      </c>
      <c r="G134" s="132"/>
      <c r="H134" s="72" t="e">
        <f t="shared" si="3"/>
        <v>#DIV/0!</v>
      </c>
    </row>
    <row r="135" spans="1:8" ht="21" customHeight="1">
      <c r="A135" s="28">
        <v>5</v>
      </c>
      <c r="B135" s="19"/>
      <c r="C135" s="19"/>
      <c r="D135" s="19"/>
      <c r="E135" s="19"/>
      <c r="F135" s="71" t="e">
        <f>E135/G3</f>
        <v>#DIV/0!</v>
      </c>
      <c r="G135" s="132"/>
      <c r="H135" s="72" t="e">
        <f t="shared" si="3"/>
        <v>#DIV/0!</v>
      </c>
    </row>
    <row r="136" spans="1:8" ht="21" customHeight="1">
      <c r="A136" s="28">
        <v>6</v>
      </c>
      <c r="B136" s="19"/>
      <c r="C136" s="19"/>
      <c r="D136" s="19"/>
      <c r="E136" s="19"/>
      <c r="F136" s="71" t="e">
        <f>E136/G3</f>
        <v>#DIV/0!</v>
      </c>
      <c r="G136" s="132"/>
      <c r="H136" s="72" t="e">
        <f t="shared" si="3"/>
        <v>#DIV/0!</v>
      </c>
    </row>
    <row r="137" spans="1:8" ht="21" customHeight="1">
      <c r="A137" s="28">
        <v>7</v>
      </c>
      <c r="B137" s="19"/>
      <c r="C137" s="19"/>
      <c r="D137" s="19"/>
      <c r="E137" s="19"/>
      <c r="F137" s="71" t="e">
        <f>E137/G3</f>
        <v>#DIV/0!</v>
      </c>
      <c r="G137" s="132"/>
      <c r="H137" s="72" t="e">
        <f t="shared" si="3"/>
        <v>#DIV/0!</v>
      </c>
    </row>
    <row r="138" spans="1:8" ht="21" customHeight="1">
      <c r="A138" s="28">
        <v>8</v>
      </c>
      <c r="B138" s="19"/>
      <c r="C138" s="19"/>
      <c r="D138" s="19"/>
      <c r="E138" s="19"/>
      <c r="F138" s="71" t="e">
        <f>E138/G3</f>
        <v>#DIV/0!</v>
      </c>
      <c r="G138" s="132"/>
      <c r="H138" s="72" t="e">
        <f t="shared" si="3"/>
        <v>#DIV/0!</v>
      </c>
    </row>
    <row r="139" spans="1:8" ht="21" customHeight="1">
      <c r="A139" s="28">
        <v>9</v>
      </c>
      <c r="B139" s="19"/>
      <c r="C139" s="19"/>
      <c r="D139" s="19"/>
      <c r="E139" s="19"/>
      <c r="F139" s="71" t="e">
        <f>E139/G3</f>
        <v>#DIV/0!</v>
      </c>
      <c r="G139" s="132"/>
      <c r="H139" s="72" t="e">
        <f t="shared" si="3"/>
        <v>#DIV/0!</v>
      </c>
    </row>
    <row r="140" spans="1:8" ht="21" customHeight="1">
      <c r="A140" s="28">
        <v>10</v>
      </c>
      <c r="B140" s="19"/>
      <c r="C140" s="19"/>
      <c r="D140" s="19"/>
      <c r="E140" s="19"/>
      <c r="F140" s="71" t="e">
        <f>E140/G3</f>
        <v>#DIV/0!</v>
      </c>
      <c r="G140" s="132"/>
      <c r="H140" s="72" t="e">
        <f t="shared" si="3"/>
        <v>#DIV/0!</v>
      </c>
    </row>
    <row r="141" spans="1:8" ht="21" customHeight="1">
      <c r="A141" s="28">
        <v>11</v>
      </c>
      <c r="B141" s="19"/>
      <c r="C141" s="19"/>
      <c r="D141" s="19"/>
      <c r="E141" s="19"/>
      <c r="F141" s="71" t="e">
        <f>E141/G3</f>
        <v>#DIV/0!</v>
      </c>
      <c r="G141" s="132"/>
      <c r="H141" s="72" t="e">
        <f t="shared" si="3"/>
        <v>#DIV/0!</v>
      </c>
    </row>
    <row r="142" spans="1:8" ht="21" customHeight="1">
      <c r="A142" s="28">
        <v>12</v>
      </c>
      <c r="B142" s="19"/>
      <c r="C142" s="19"/>
      <c r="D142" s="19"/>
      <c r="E142" s="19"/>
      <c r="F142" s="71" t="e">
        <f>E142/G3</f>
        <v>#DIV/0!</v>
      </c>
      <c r="G142" s="132"/>
      <c r="H142" s="72" t="e">
        <f t="shared" si="3"/>
        <v>#DIV/0!</v>
      </c>
    </row>
    <row r="143" spans="1:8" ht="21" customHeight="1">
      <c r="A143" s="28">
        <v>13</v>
      </c>
      <c r="B143" s="19"/>
      <c r="C143" s="19"/>
      <c r="D143" s="19"/>
      <c r="E143" s="19"/>
      <c r="F143" s="71" t="e">
        <f>E143/G3</f>
        <v>#DIV/0!</v>
      </c>
      <c r="G143" s="132"/>
      <c r="H143" s="72" t="e">
        <f t="shared" si="3"/>
        <v>#DIV/0!</v>
      </c>
    </row>
    <row r="144" spans="1:8" ht="21" customHeight="1">
      <c r="A144" s="28">
        <v>14</v>
      </c>
      <c r="B144" s="19"/>
      <c r="C144" s="19"/>
      <c r="D144" s="19"/>
      <c r="E144" s="19"/>
      <c r="F144" s="71" t="e">
        <f>E144/G3</f>
        <v>#DIV/0!</v>
      </c>
      <c r="G144" s="132"/>
      <c r="H144" s="72" t="e">
        <f t="shared" si="3"/>
        <v>#DIV/0!</v>
      </c>
    </row>
    <row r="145" spans="1:8" ht="21" customHeight="1">
      <c r="A145" s="28">
        <v>15</v>
      </c>
      <c r="B145" s="19"/>
      <c r="C145" s="19"/>
      <c r="D145" s="19"/>
      <c r="E145" s="19"/>
      <c r="F145" s="71" t="e">
        <f>E145/G3</f>
        <v>#DIV/0!</v>
      </c>
      <c r="G145" s="132"/>
      <c r="H145" s="72" t="e">
        <f t="shared" si="3"/>
        <v>#DIV/0!</v>
      </c>
    </row>
    <row r="146" spans="1:8" ht="21" customHeight="1">
      <c r="A146" s="28">
        <v>16</v>
      </c>
      <c r="B146" s="19"/>
      <c r="C146" s="19"/>
      <c r="D146" s="19"/>
      <c r="E146" s="19"/>
      <c r="F146" s="71" t="e">
        <f>E146/G3</f>
        <v>#DIV/0!</v>
      </c>
      <c r="G146" s="132"/>
      <c r="H146" s="72" t="e">
        <f t="shared" si="3"/>
        <v>#DIV/0!</v>
      </c>
    </row>
    <row r="147" spans="1:8" ht="21" customHeight="1">
      <c r="A147" s="28">
        <v>17</v>
      </c>
      <c r="B147" s="19"/>
      <c r="C147" s="19"/>
      <c r="D147" s="19"/>
      <c r="E147" s="19"/>
      <c r="F147" s="71" t="e">
        <f>E147/G3</f>
        <v>#DIV/0!</v>
      </c>
      <c r="G147" s="132"/>
      <c r="H147" s="72" t="e">
        <f t="shared" si="3"/>
        <v>#DIV/0!</v>
      </c>
    </row>
    <row r="148" spans="1:8" ht="21" customHeight="1">
      <c r="A148" s="28">
        <v>18</v>
      </c>
      <c r="B148" s="19"/>
      <c r="C148" s="19"/>
      <c r="D148" s="19"/>
      <c r="E148" s="19"/>
      <c r="F148" s="71" t="e">
        <f>E148/G3</f>
        <v>#DIV/0!</v>
      </c>
      <c r="G148" s="132"/>
      <c r="H148" s="72" t="e">
        <f t="shared" si="3"/>
        <v>#DIV/0!</v>
      </c>
    </row>
    <row r="149" spans="1:8" ht="21" customHeight="1">
      <c r="A149" s="28">
        <v>19</v>
      </c>
      <c r="B149" s="19"/>
      <c r="C149" s="19"/>
      <c r="D149" s="19"/>
      <c r="E149" s="19"/>
      <c r="F149" s="71" t="e">
        <f>E149/G3</f>
        <v>#DIV/0!</v>
      </c>
      <c r="G149" s="132"/>
      <c r="H149" s="72" t="e">
        <f t="shared" si="3"/>
        <v>#DIV/0!</v>
      </c>
    </row>
    <row r="150" spans="1:8" ht="21" customHeight="1">
      <c r="A150" s="28">
        <v>20</v>
      </c>
      <c r="B150" s="19"/>
      <c r="C150" s="19"/>
      <c r="D150" s="19"/>
      <c r="E150" s="19"/>
      <c r="F150" s="71" t="e">
        <f>E150/G3</f>
        <v>#DIV/0!</v>
      </c>
      <c r="G150" s="132"/>
      <c r="H150" s="72" t="e">
        <f t="shared" si="3"/>
        <v>#DIV/0!</v>
      </c>
    </row>
    <row r="151" spans="1:8" ht="21" customHeight="1">
      <c r="A151" s="28">
        <v>21</v>
      </c>
      <c r="B151" s="19"/>
      <c r="C151" s="19"/>
      <c r="D151" s="19"/>
      <c r="E151" s="19"/>
      <c r="F151" s="71" t="e">
        <f>E151/G3</f>
        <v>#DIV/0!</v>
      </c>
      <c r="G151" s="132"/>
      <c r="H151" s="72" t="e">
        <f t="shared" si="3"/>
        <v>#DIV/0!</v>
      </c>
    </row>
    <row r="152" spans="1:8" ht="21" customHeight="1">
      <c r="A152" s="28">
        <v>22</v>
      </c>
      <c r="B152" s="19"/>
      <c r="C152" s="19"/>
      <c r="D152" s="19"/>
      <c r="E152" s="19"/>
      <c r="F152" s="71" t="e">
        <f>E152/G3</f>
        <v>#DIV/0!</v>
      </c>
      <c r="G152" s="132"/>
      <c r="H152" s="72" t="e">
        <f t="shared" si="3"/>
        <v>#DIV/0!</v>
      </c>
    </row>
    <row r="153" spans="1:8" ht="21" customHeight="1">
      <c r="A153" s="28">
        <v>23</v>
      </c>
      <c r="B153" s="19"/>
      <c r="C153" s="19"/>
      <c r="D153" s="19"/>
      <c r="E153" s="19"/>
      <c r="F153" s="71" t="e">
        <f>E153/G3</f>
        <v>#DIV/0!</v>
      </c>
      <c r="G153" s="132"/>
      <c r="H153" s="72" t="e">
        <f t="shared" si="3"/>
        <v>#DIV/0!</v>
      </c>
    </row>
    <row r="154" spans="1:8" ht="21" customHeight="1">
      <c r="A154" s="28">
        <v>24</v>
      </c>
      <c r="B154" s="19"/>
      <c r="C154" s="19"/>
      <c r="D154" s="19"/>
      <c r="E154" s="19"/>
      <c r="F154" s="71" t="e">
        <f>E154/G3</f>
        <v>#DIV/0!</v>
      </c>
      <c r="G154" s="132"/>
      <c r="H154" s="72" t="e">
        <f t="shared" si="3"/>
        <v>#DIV/0!</v>
      </c>
    </row>
    <row r="155" spans="1:8" ht="21" customHeight="1">
      <c r="A155" s="28">
        <v>25</v>
      </c>
      <c r="B155" s="19"/>
      <c r="C155" s="19"/>
      <c r="D155" s="19"/>
      <c r="E155" s="19"/>
      <c r="F155" s="71" t="e">
        <f>E155/G3</f>
        <v>#DIV/0!</v>
      </c>
      <c r="G155" s="132"/>
      <c r="H155" s="72" t="e">
        <f t="shared" si="3"/>
        <v>#DIV/0!</v>
      </c>
    </row>
    <row r="156" spans="1:8" ht="21" customHeight="1" thickBot="1">
      <c r="A156" s="231" t="s">
        <v>4</v>
      </c>
      <c r="B156" s="232"/>
      <c r="C156" s="232"/>
      <c r="D156" s="233"/>
      <c r="E156" s="21">
        <f>SUM(E131:E155)</f>
        <v>0</v>
      </c>
      <c r="F156" s="71" t="e">
        <f>E156/G3</f>
        <v>#DIV/0!</v>
      </c>
      <c r="G156" s="133">
        <f>SUM(G131:G155)</f>
        <v>0</v>
      </c>
      <c r="H156" s="72" t="e">
        <f>SUM(H131:H155)</f>
        <v>#DIV/0!</v>
      </c>
    </row>
    <row r="158" spans="1:8">
      <c r="A158" s="218" t="s">
        <v>7</v>
      </c>
      <c r="B158" s="218"/>
      <c r="C158" s="234" t="s">
        <v>8</v>
      </c>
      <c r="D158" s="234"/>
      <c r="E158" s="234" t="s">
        <v>104</v>
      </c>
      <c r="F158" s="234"/>
      <c r="G158" s="234"/>
    </row>
    <row r="169" spans="1:8" ht="17.25" customHeight="1">
      <c r="A169" s="217" t="s">
        <v>106</v>
      </c>
      <c r="B169" s="235"/>
      <c r="C169" s="235"/>
      <c r="D169" s="235"/>
      <c r="E169" s="235"/>
    </row>
    <row r="170" spans="1:8" ht="17.25" customHeight="1">
      <c r="A170" s="217" t="s">
        <v>107</v>
      </c>
      <c r="B170" s="235"/>
      <c r="C170" s="235"/>
      <c r="D170" s="235"/>
      <c r="E170" s="235"/>
    </row>
    <row r="171" spans="1:8" ht="17.25" customHeight="1" thickBot="1">
      <c r="A171" s="230" t="s">
        <v>131</v>
      </c>
      <c r="B171" s="230"/>
      <c r="C171" s="230"/>
      <c r="D171" s="230"/>
      <c r="E171" s="230"/>
      <c r="F171" s="66" t="s">
        <v>119</v>
      </c>
      <c r="G171" s="129" t="e">
        <f>تسعير!E34</f>
        <v>#DIV/0!</v>
      </c>
    </row>
    <row r="172" spans="1:8" ht="21" customHeight="1">
      <c r="A172" s="109" t="s">
        <v>0</v>
      </c>
      <c r="B172" s="64" t="s">
        <v>101</v>
      </c>
      <c r="C172" s="64" t="s">
        <v>100</v>
      </c>
      <c r="D172" s="64" t="s">
        <v>103</v>
      </c>
      <c r="E172" s="64" t="s">
        <v>17</v>
      </c>
      <c r="F172" s="67" t="s">
        <v>109</v>
      </c>
      <c r="G172" s="131" t="s">
        <v>18</v>
      </c>
      <c r="H172" s="69" t="s">
        <v>102</v>
      </c>
    </row>
    <row r="173" spans="1:8" ht="21" customHeight="1">
      <c r="A173" s="28">
        <v>1</v>
      </c>
      <c r="B173" s="19" t="s">
        <v>105</v>
      </c>
      <c r="C173" s="4"/>
      <c r="D173" s="19"/>
      <c r="E173" s="19"/>
      <c r="F173" s="71" t="e">
        <f>E173/G3</f>
        <v>#DIV/0!</v>
      </c>
      <c r="G173" s="132"/>
      <c r="H173" s="72" t="e">
        <f>G173+F173</f>
        <v>#DIV/0!</v>
      </c>
    </row>
    <row r="174" spans="1:8" ht="21" customHeight="1">
      <c r="A174" s="28">
        <v>2</v>
      </c>
      <c r="B174" s="19"/>
      <c r="C174" s="19"/>
      <c r="D174" s="19"/>
      <c r="E174" s="19"/>
      <c r="F174" s="71" t="e">
        <f>E174/G3</f>
        <v>#DIV/0!</v>
      </c>
      <c r="G174" s="132"/>
      <c r="H174" s="72" t="e">
        <f t="shared" ref="H174:H197" si="4">G174+F174</f>
        <v>#DIV/0!</v>
      </c>
    </row>
    <row r="175" spans="1:8" ht="21" customHeight="1">
      <c r="A175" s="28">
        <v>3</v>
      </c>
      <c r="B175" s="19"/>
      <c r="C175" s="19"/>
      <c r="D175" s="19"/>
      <c r="E175" s="19"/>
      <c r="F175" s="71" t="e">
        <f>E175/G3</f>
        <v>#DIV/0!</v>
      </c>
      <c r="G175" s="132"/>
      <c r="H175" s="72" t="e">
        <f t="shared" si="4"/>
        <v>#DIV/0!</v>
      </c>
    </row>
    <row r="176" spans="1:8" ht="21" customHeight="1">
      <c r="A176" s="28">
        <v>4</v>
      </c>
      <c r="B176" s="19"/>
      <c r="C176" s="19"/>
      <c r="D176" s="19"/>
      <c r="E176" s="19"/>
      <c r="F176" s="71" t="e">
        <f>E176/G3</f>
        <v>#DIV/0!</v>
      </c>
      <c r="G176" s="132"/>
      <c r="H176" s="72" t="e">
        <f t="shared" si="4"/>
        <v>#DIV/0!</v>
      </c>
    </row>
    <row r="177" spans="1:8" ht="21" customHeight="1">
      <c r="A177" s="28">
        <v>5</v>
      </c>
      <c r="B177" s="19"/>
      <c r="C177" s="19"/>
      <c r="D177" s="19"/>
      <c r="E177" s="19"/>
      <c r="F177" s="71" t="e">
        <f>E177/G3</f>
        <v>#DIV/0!</v>
      </c>
      <c r="G177" s="132"/>
      <c r="H177" s="72" t="e">
        <f t="shared" si="4"/>
        <v>#DIV/0!</v>
      </c>
    </row>
    <row r="178" spans="1:8" ht="21" customHeight="1">
      <c r="A178" s="28">
        <v>6</v>
      </c>
      <c r="B178" s="19"/>
      <c r="C178" s="19"/>
      <c r="D178" s="19"/>
      <c r="E178" s="19"/>
      <c r="F178" s="71" t="e">
        <f>E178/G3</f>
        <v>#DIV/0!</v>
      </c>
      <c r="G178" s="132"/>
      <c r="H178" s="72" t="e">
        <f t="shared" si="4"/>
        <v>#DIV/0!</v>
      </c>
    </row>
    <row r="179" spans="1:8" ht="21" customHeight="1">
      <c r="A179" s="28">
        <v>7</v>
      </c>
      <c r="B179" s="19"/>
      <c r="C179" s="19"/>
      <c r="D179" s="19"/>
      <c r="E179" s="19"/>
      <c r="F179" s="71" t="e">
        <f>E179/G3</f>
        <v>#DIV/0!</v>
      </c>
      <c r="G179" s="132"/>
      <c r="H179" s="72" t="e">
        <f t="shared" si="4"/>
        <v>#DIV/0!</v>
      </c>
    </row>
    <row r="180" spans="1:8" ht="21" customHeight="1">
      <c r="A180" s="28">
        <v>8</v>
      </c>
      <c r="B180" s="19"/>
      <c r="C180" s="19"/>
      <c r="D180" s="19"/>
      <c r="E180" s="19"/>
      <c r="F180" s="71" t="e">
        <f>E180/G3</f>
        <v>#DIV/0!</v>
      </c>
      <c r="G180" s="132"/>
      <c r="H180" s="72" t="e">
        <f t="shared" si="4"/>
        <v>#DIV/0!</v>
      </c>
    </row>
    <row r="181" spans="1:8" ht="21" customHeight="1">
      <c r="A181" s="28">
        <v>9</v>
      </c>
      <c r="B181" s="19"/>
      <c r="C181" s="19"/>
      <c r="D181" s="19"/>
      <c r="E181" s="19"/>
      <c r="F181" s="71" t="e">
        <f>E181/G3</f>
        <v>#DIV/0!</v>
      </c>
      <c r="G181" s="132"/>
      <c r="H181" s="72" t="e">
        <f t="shared" si="4"/>
        <v>#DIV/0!</v>
      </c>
    </row>
    <row r="182" spans="1:8" ht="21" customHeight="1">
      <c r="A182" s="28">
        <v>10</v>
      </c>
      <c r="B182" s="19"/>
      <c r="C182" s="19"/>
      <c r="D182" s="19"/>
      <c r="E182" s="19"/>
      <c r="F182" s="71" t="e">
        <f>E182/G3</f>
        <v>#DIV/0!</v>
      </c>
      <c r="G182" s="132"/>
      <c r="H182" s="72" t="e">
        <f t="shared" si="4"/>
        <v>#DIV/0!</v>
      </c>
    </row>
    <row r="183" spans="1:8" ht="21" customHeight="1">
      <c r="A183" s="28">
        <v>11</v>
      </c>
      <c r="B183" s="19"/>
      <c r="C183" s="19"/>
      <c r="D183" s="19"/>
      <c r="E183" s="19"/>
      <c r="F183" s="71" t="e">
        <f>E183/G3</f>
        <v>#DIV/0!</v>
      </c>
      <c r="G183" s="132"/>
      <c r="H183" s="72" t="e">
        <f t="shared" si="4"/>
        <v>#DIV/0!</v>
      </c>
    </row>
    <row r="184" spans="1:8" ht="21" customHeight="1">
      <c r="A184" s="28">
        <v>12</v>
      </c>
      <c r="B184" s="19"/>
      <c r="C184" s="19"/>
      <c r="D184" s="19"/>
      <c r="E184" s="19"/>
      <c r="F184" s="71" t="e">
        <f>E184/G3</f>
        <v>#DIV/0!</v>
      </c>
      <c r="G184" s="132"/>
      <c r="H184" s="72" t="e">
        <f t="shared" si="4"/>
        <v>#DIV/0!</v>
      </c>
    </row>
    <row r="185" spans="1:8" ht="21" customHeight="1">
      <c r="A185" s="28">
        <v>13</v>
      </c>
      <c r="B185" s="19"/>
      <c r="C185" s="19"/>
      <c r="D185" s="19"/>
      <c r="E185" s="19"/>
      <c r="F185" s="71" t="e">
        <f>E185/G3</f>
        <v>#DIV/0!</v>
      </c>
      <c r="G185" s="132"/>
      <c r="H185" s="72" t="e">
        <f t="shared" si="4"/>
        <v>#DIV/0!</v>
      </c>
    </row>
    <row r="186" spans="1:8" ht="21" customHeight="1">
      <c r="A186" s="28">
        <v>14</v>
      </c>
      <c r="B186" s="19"/>
      <c r="C186" s="19"/>
      <c r="D186" s="19"/>
      <c r="E186" s="19"/>
      <c r="F186" s="71" t="e">
        <f>E186/G3</f>
        <v>#DIV/0!</v>
      </c>
      <c r="G186" s="132"/>
      <c r="H186" s="72" t="e">
        <f t="shared" si="4"/>
        <v>#DIV/0!</v>
      </c>
    </row>
    <row r="187" spans="1:8" ht="21" customHeight="1">
      <c r="A187" s="28">
        <v>15</v>
      </c>
      <c r="B187" s="19"/>
      <c r="C187" s="19"/>
      <c r="D187" s="19"/>
      <c r="E187" s="19"/>
      <c r="F187" s="71" t="e">
        <f>E187/G3</f>
        <v>#DIV/0!</v>
      </c>
      <c r="G187" s="132"/>
      <c r="H187" s="72" t="e">
        <f t="shared" si="4"/>
        <v>#DIV/0!</v>
      </c>
    </row>
    <row r="188" spans="1:8" ht="21" customHeight="1">
      <c r="A188" s="28">
        <v>16</v>
      </c>
      <c r="B188" s="19"/>
      <c r="C188" s="19"/>
      <c r="D188" s="19"/>
      <c r="E188" s="19"/>
      <c r="F188" s="71" t="e">
        <f>E188/G3</f>
        <v>#DIV/0!</v>
      </c>
      <c r="G188" s="132"/>
      <c r="H188" s="72" t="e">
        <f t="shared" si="4"/>
        <v>#DIV/0!</v>
      </c>
    </row>
    <row r="189" spans="1:8" ht="21" customHeight="1">
      <c r="A189" s="28">
        <v>17</v>
      </c>
      <c r="B189" s="19"/>
      <c r="C189" s="19"/>
      <c r="D189" s="19"/>
      <c r="E189" s="19"/>
      <c r="F189" s="71" t="e">
        <f>E189/G3</f>
        <v>#DIV/0!</v>
      </c>
      <c r="G189" s="132"/>
      <c r="H189" s="72" t="e">
        <f t="shared" si="4"/>
        <v>#DIV/0!</v>
      </c>
    </row>
    <row r="190" spans="1:8" ht="21" customHeight="1">
      <c r="A190" s="28">
        <v>18</v>
      </c>
      <c r="B190" s="19"/>
      <c r="C190" s="19"/>
      <c r="D190" s="19"/>
      <c r="E190" s="19"/>
      <c r="F190" s="71" t="e">
        <f>E190/G3</f>
        <v>#DIV/0!</v>
      </c>
      <c r="G190" s="132"/>
      <c r="H190" s="72" t="e">
        <f t="shared" si="4"/>
        <v>#DIV/0!</v>
      </c>
    </row>
    <row r="191" spans="1:8" ht="21" customHeight="1">
      <c r="A191" s="28">
        <v>19</v>
      </c>
      <c r="B191" s="19"/>
      <c r="C191" s="19"/>
      <c r="D191" s="19"/>
      <c r="E191" s="19"/>
      <c r="F191" s="71" t="e">
        <f>E191/G3</f>
        <v>#DIV/0!</v>
      </c>
      <c r="G191" s="132"/>
      <c r="H191" s="72" t="e">
        <f t="shared" si="4"/>
        <v>#DIV/0!</v>
      </c>
    </row>
    <row r="192" spans="1:8" ht="21" customHeight="1">
      <c r="A192" s="28">
        <v>20</v>
      </c>
      <c r="B192" s="19"/>
      <c r="C192" s="19"/>
      <c r="D192" s="19"/>
      <c r="E192" s="19"/>
      <c r="F192" s="71" t="e">
        <f>E192/G3</f>
        <v>#DIV/0!</v>
      </c>
      <c r="G192" s="132"/>
      <c r="H192" s="72" t="e">
        <f t="shared" si="4"/>
        <v>#DIV/0!</v>
      </c>
    </row>
    <row r="193" spans="1:8" ht="21" customHeight="1">
      <c r="A193" s="28">
        <v>21</v>
      </c>
      <c r="B193" s="19"/>
      <c r="C193" s="19"/>
      <c r="D193" s="19"/>
      <c r="E193" s="19"/>
      <c r="F193" s="71" t="e">
        <f>E193/G3</f>
        <v>#DIV/0!</v>
      </c>
      <c r="G193" s="132"/>
      <c r="H193" s="72" t="e">
        <f t="shared" si="4"/>
        <v>#DIV/0!</v>
      </c>
    </row>
    <row r="194" spans="1:8" ht="21" customHeight="1">
      <c r="A194" s="28">
        <v>22</v>
      </c>
      <c r="B194" s="19"/>
      <c r="C194" s="19"/>
      <c r="D194" s="19"/>
      <c r="E194" s="19"/>
      <c r="F194" s="71" t="e">
        <f>E194/G3</f>
        <v>#DIV/0!</v>
      </c>
      <c r="G194" s="132"/>
      <c r="H194" s="72" t="e">
        <f t="shared" si="4"/>
        <v>#DIV/0!</v>
      </c>
    </row>
    <row r="195" spans="1:8" ht="21" customHeight="1">
      <c r="A195" s="28">
        <v>23</v>
      </c>
      <c r="B195" s="19"/>
      <c r="C195" s="19"/>
      <c r="D195" s="19"/>
      <c r="E195" s="19"/>
      <c r="F195" s="71" t="e">
        <f>E195/G3</f>
        <v>#DIV/0!</v>
      </c>
      <c r="G195" s="132"/>
      <c r="H195" s="72" t="e">
        <f t="shared" si="4"/>
        <v>#DIV/0!</v>
      </c>
    </row>
    <row r="196" spans="1:8" ht="21" customHeight="1">
      <c r="A196" s="28">
        <v>24</v>
      </c>
      <c r="B196" s="19"/>
      <c r="C196" s="19"/>
      <c r="D196" s="19"/>
      <c r="E196" s="19"/>
      <c r="F196" s="71" t="e">
        <f>E196/G3</f>
        <v>#DIV/0!</v>
      </c>
      <c r="G196" s="132"/>
      <c r="H196" s="72" t="e">
        <f t="shared" si="4"/>
        <v>#DIV/0!</v>
      </c>
    </row>
    <row r="197" spans="1:8" ht="21" customHeight="1">
      <c r="A197" s="28">
        <v>25</v>
      </c>
      <c r="B197" s="19"/>
      <c r="C197" s="19"/>
      <c r="D197" s="19"/>
      <c r="E197" s="19"/>
      <c r="F197" s="71" t="e">
        <f>E197/G3</f>
        <v>#DIV/0!</v>
      </c>
      <c r="G197" s="132"/>
      <c r="H197" s="72" t="e">
        <f t="shared" si="4"/>
        <v>#DIV/0!</v>
      </c>
    </row>
    <row r="198" spans="1:8" ht="21" customHeight="1" thickBot="1">
      <c r="A198" s="231" t="s">
        <v>4</v>
      </c>
      <c r="B198" s="232"/>
      <c r="C198" s="232"/>
      <c r="D198" s="233"/>
      <c r="E198" s="21">
        <f>SUM(E173:E197)</f>
        <v>0</v>
      </c>
      <c r="F198" s="71" t="e">
        <f>E198/G3</f>
        <v>#DIV/0!</v>
      </c>
      <c r="G198" s="133">
        <f>SUM(G173:G197)</f>
        <v>0</v>
      </c>
      <c r="H198" s="72" t="e">
        <f>SUM(H173:H197)</f>
        <v>#DIV/0!</v>
      </c>
    </row>
    <row r="200" spans="1:8">
      <c r="A200" s="218" t="s">
        <v>7</v>
      </c>
      <c r="B200" s="218"/>
      <c r="C200" s="234" t="s">
        <v>8</v>
      </c>
      <c r="D200" s="234"/>
      <c r="E200" s="234" t="s">
        <v>104</v>
      </c>
      <c r="F200" s="234"/>
      <c r="G200" s="234"/>
    </row>
    <row r="211" spans="1:8" ht="17.25" customHeight="1">
      <c r="A211" s="217" t="s">
        <v>106</v>
      </c>
      <c r="B211" s="235"/>
      <c r="C211" s="235"/>
      <c r="D211" s="235"/>
      <c r="E211" s="235"/>
    </row>
    <row r="212" spans="1:8" ht="17.25" customHeight="1">
      <c r="A212" s="217" t="s">
        <v>107</v>
      </c>
      <c r="B212" s="235"/>
      <c r="C212" s="235"/>
      <c r="D212" s="235"/>
      <c r="E212" s="235"/>
    </row>
    <row r="213" spans="1:8" ht="17.25" customHeight="1" thickBot="1">
      <c r="A213" s="230" t="s">
        <v>132</v>
      </c>
      <c r="B213" s="230"/>
      <c r="C213" s="230"/>
      <c r="D213" s="230"/>
      <c r="E213" s="230"/>
      <c r="F213" s="66" t="s">
        <v>119</v>
      </c>
      <c r="G213" s="129" t="e">
        <f>تسعير!E34</f>
        <v>#DIV/0!</v>
      </c>
    </row>
    <row r="214" spans="1:8" ht="21" customHeight="1">
      <c r="A214" s="109" t="s">
        <v>0</v>
      </c>
      <c r="B214" s="64" t="s">
        <v>101</v>
      </c>
      <c r="C214" s="64" t="s">
        <v>100</v>
      </c>
      <c r="D214" s="64" t="s">
        <v>103</v>
      </c>
      <c r="E214" s="64" t="s">
        <v>17</v>
      </c>
      <c r="F214" s="67" t="s">
        <v>109</v>
      </c>
      <c r="G214" s="131" t="s">
        <v>18</v>
      </c>
      <c r="H214" s="69" t="s">
        <v>102</v>
      </c>
    </row>
    <row r="215" spans="1:8" ht="21" customHeight="1">
      <c r="A215" s="28">
        <v>1</v>
      </c>
      <c r="B215" s="19" t="s">
        <v>105</v>
      </c>
      <c r="C215" s="4"/>
      <c r="D215" s="19"/>
      <c r="E215" s="19"/>
      <c r="F215" s="71" t="e">
        <f>E215/G3</f>
        <v>#DIV/0!</v>
      </c>
      <c r="G215" s="132"/>
      <c r="H215" s="72" t="e">
        <f>G215+F215</f>
        <v>#DIV/0!</v>
      </c>
    </row>
    <row r="216" spans="1:8" ht="21" customHeight="1">
      <c r="A216" s="28">
        <v>2</v>
      </c>
      <c r="B216" s="19"/>
      <c r="C216" s="19"/>
      <c r="D216" s="19"/>
      <c r="E216" s="19"/>
      <c r="F216" s="71" t="e">
        <f>E216/G3</f>
        <v>#DIV/0!</v>
      </c>
      <c r="G216" s="132"/>
      <c r="H216" s="72" t="e">
        <f t="shared" ref="H216:H239" si="5">G216+F216</f>
        <v>#DIV/0!</v>
      </c>
    </row>
    <row r="217" spans="1:8" ht="21" customHeight="1">
      <c r="A217" s="28">
        <v>3</v>
      </c>
      <c r="B217" s="19"/>
      <c r="C217" s="19"/>
      <c r="D217" s="19"/>
      <c r="E217" s="19"/>
      <c r="F217" s="71" t="e">
        <f>E217/G3</f>
        <v>#DIV/0!</v>
      </c>
      <c r="G217" s="132"/>
      <c r="H217" s="72" t="e">
        <f t="shared" si="5"/>
        <v>#DIV/0!</v>
      </c>
    </row>
    <row r="218" spans="1:8" ht="21" customHeight="1">
      <c r="A218" s="28">
        <v>4</v>
      </c>
      <c r="B218" s="19"/>
      <c r="C218" s="19"/>
      <c r="D218" s="19"/>
      <c r="E218" s="19"/>
      <c r="F218" s="71" t="e">
        <f>E218/G3</f>
        <v>#DIV/0!</v>
      </c>
      <c r="G218" s="132"/>
      <c r="H218" s="72" t="e">
        <f t="shared" si="5"/>
        <v>#DIV/0!</v>
      </c>
    </row>
    <row r="219" spans="1:8" ht="21" customHeight="1">
      <c r="A219" s="28">
        <v>5</v>
      </c>
      <c r="B219" s="19"/>
      <c r="C219" s="19"/>
      <c r="D219" s="19"/>
      <c r="E219" s="19"/>
      <c r="F219" s="71" t="e">
        <f>E219/G3</f>
        <v>#DIV/0!</v>
      </c>
      <c r="G219" s="132"/>
      <c r="H219" s="72" t="e">
        <f t="shared" si="5"/>
        <v>#DIV/0!</v>
      </c>
    </row>
    <row r="220" spans="1:8" ht="21" customHeight="1">
      <c r="A220" s="28">
        <v>6</v>
      </c>
      <c r="B220" s="19"/>
      <c r="C220" s="19"/>
      <c r="D220" s="19"/>
      <c r="E220" s="19"/>
      <c r="F220" s="71" t="e">
        <f>E220/G3</f>
        <v>#DIV/0!</v>
      </c>
      <c r="G220" s="132"/>
      <c r="H220" s="72" t="e">
        <f t="shared" si="5"/>
        <v>#DIV/0!</v>
      </c>
    </row>
    <row r="221" spans="1:8" ht="21" customHeight="1">
      <c r="A221" s="28">
        <v>7</v>
      </c>
      <c r="B221" s="19"/>
      <c r="C221" s="19"/>
      <c r="D221" s="19"/>
      <c r="E221" s="19"/>
      <c r="F221" s="71" t="e">
        <f>E221/G3</f>
        <v>#DIV/0!</v>
      </c>
      <c r="G221" s="132"/>
      <c r="H221" s="72" t="e">
        <f t="shared" si="5"/>
        <v>#DIV/0!</v>
      </c>
    </row>
    <row r="222" spans="1:8" ht="21" customHeight="1">
      <c r="A222" s="28">
        <v>8</v>
      </c>
      <c r="B222" s="19"/>
      <c r="C222" s="19"/>
      <c r="D222" s="19"/>
      <c r="E222" s="19"/>
      <c r="F222" s="71" t="e">
        <f>E222/G3</f>
        <v>#DIV/0!</v>
      </c>
      <c r="G222" s="132"/>
      <c r="H222" s="72" t="e">
        <f t="shared" si="5"/>
        <v>#DIV/0!</v>
      </c>
    </row>
    <row r="223" spans="1:8" ht="21" customHeight="1">
      <c r="A223" s="28">
        <v>9</v>
      </c>
      <c r="B223" s="19"/>
      <c r="C223" s="19"/>
      <c r="D223" s="19"/>
      <c r="E223" s="19"/>
      <c r="F223" s="71" t="e">
        <f>E223/G3</f>
        <v>#DIV/0!</v>
      </c>
      <c r="G223" s="132"/>
      <c r="H223" s="72" t="e">
        <f t="shared" si="5"/>
        <v>#DIV/0!</v>
      </c>
    </row>
    <row r="224" spans="1:8" ht="21" customHeight="1">
      <c r="A224" s="28">
        <v>10</v>
      </c>
      <c r="B224" s="19"/>
      <c r="C224" s="19"/>
      <c r="D224" s="19"/>
      <c r="E224" s="19"/>
      <c r="F224" s="71" t="e">
        <f>E224/G3</f>
        <v>#DIV/0!</v>
      </c>
      <c r="G224" s="132"/>
      <c r="H224" s="72" t="e">
        <f t="shared" si="5"/>
        <v>#DIV/0!</v>
      </c>
    </row>
    <row r="225" spans="1:8" ht="21" customHeight="1">
      <c r="A225" s="28">
        <v>11</v>
      </c>
      <c r="B225" s="19"/>
      <c r="C225" s="19"/>
      <c r="D225" s="19"/>
      <c r="E225" s="19"/>
      <c r="F225" s="71" t="e">
        <f>E225/G3</f>
        <v>#DIV/0!</v>
      </c>
      <c r="G225" s="132"/>
      <c r="H225" s="72" t="e">
        <f t="shared" si="5"/>
        <v>#DIV/0!</v>
      </c>
    </row>
    <row r="226" spans="1:8" ht="21" customHeight="1">
      <c r="A226" s="28">
        <v>12</v>
      </c>
      <c r="B226" s="19"/>
      <c r="C226" s="19"/>
      <c r="D226" s="19"/>
      <c r="E226" s="19"/>
      <c r="F226" s="71" t="e">
        <f>E226/G3</f>
        <v>#DIV/0!</v>
      </c>
      <c r="G226" s="132"/>
      <c r="H226" s="72" t="e">
        <f t="shared" si="5"/>
        <v>#DIV/0!</v>
      </c>
    </row>
    <row r="227" spans="1:8" ht="21" customHeight="1">
      <c r="A227" s="28">
        <v>13</v>
      </c>
      <c r="B227" s="19"/>
      <c r="C227" s="19"/>
      <c r="D227" s="19"/>
      <c r="E227" s="19"/>
      <c r="F227" s="71" t="e">
        <f>E227/G3</f>
        <v>#DIV/0!</v>
      </c>
      <c r="G227" s="132"/>
      <c r="H227" s="72" t="e">
        <f t="shared" si="5"/>
        <v>#DIV/0!</v>
      </c>
    </row>
    <row r="228" spans="1:8" ht="21" customHeight="1">
      <c r="A228" s="28">
        <v>14</v>
      </c>
      <c r="B228" s="19"/>
      <c r="C228" s="19"/>
      <c r="D228" s="19"/>
      <c r="E228" s="19"/>
      <c r="F228" s="71" t="e">
        <f>E228/G3</f>
        <v>#DIV/0!</v>
      </c>
      <c r="G228" s="132"/>
      <c r="H228" s="72" t="e">
        <f t="shared" si="5"/>
        <v>#DIV/0!</v>
      </c>
    </row>
    <row r="229" spans="1:8" ht="21" customHeight="1">
      <c r="A229" s="28">
        <v>15</v>
      </c>
      <c r="B229" s="19"/>
      <c r="C229" s="19"/>
      <c r="D229" s="19"/>
      <c r="E229" s="19"/>
      <c r="F229" s="71" t="e">
        <f>E229/G3</f>
        <v>#DIV/0!</v>
      </c>
      <c r="G229" s="132"/>
      <c r="H229" s="72" t="e">
        <f t="shared" si="5"/>
        <v>#DIV/0!</v>
      </c>
    </row>
    <row r="230" spans="1:8" ht="21" customHeight="1">
      <c r="A230" s="28">
        <v>16</v>
      </c>
      <c r="B230" s="19"/>
      <c r="C230" s="19"/>
      <c r="D230" s="19"/>
      <c r="E230" s="19"/>
      <c r="F230" s="71" t="e">
        <f>E230/G3</f>
        <v>#DIV/0!</v>
      </c>
      <c r="G230" s="132"/>
      <c r="H230" s="72" t="e">
        <f t="shared" si="5"/>
        <v>#DIV/0!</v>
      </c>
    </row>
    <row r="231" spans="1:8" ht="21" customHeight="1">
      <c r="A231" s="28">
        <v>17</v>
      </c>
      <c r="B231" s="19"/>
      <c r="C231" s="19"/>
      <c r="D231" s="19"/>
      <c r="E231" s="19"/>
      <c r="F231" s="71" t="e">
        <f>E231/G3</f>
        <v>#DIV/0!</v>
      </c>
      <c r="G231" s="132"/>
      <c r="H231" s="72" t="e">
        <f t="shared" si="5"/>
        <v>#DIV/0!</v>
      </c>
    </row>
    <row r="232" spans="1:8" ht="21" customHeight="1">
      <c r="A232" s="28">
        <v>18</v>
      </c>
      <c r="B232" s="19"/>
      <c r="C232" s="19"/>
      <c r="D232" s="19"/>
      <c r="E232" s="19"/>
      <c r="F232" s="71" t="e">
        <f>E232/G3</f>
        <v>#DIV/0!</v>
      </c>
      <c r="G232" s="132"/>
      <c r="H232" s="72" t="e">
        <f t="shared" si="5"/>
        <v>#DIV/0!</v>
      </c>
    </row>
    <row r="233" spans="1:8" ht="21" customHeight="1">
      <c r="A233" s="28">
        <v>19</v>
      </c>
      <c r="B233" s="19"/>
      <c r="C233" s="19"/>
      <c r="D233" s="19"/>
      <c r="E233" s="19"/>
      <c r="F233" s="71" t="e">
        <f>E233/G3</f>
        <v>#DIV/0!</v>
      </c>
      <c r="G233" s="132"/>
      <c r="H233" s="72" t="e">
        <f t="shared" si="5"/>
        <v>#DIV/0!</v>
      </c>
    </row>
    <row r="234" spans="1:8" ht="21" customHeight="1">
      <c r="A234" s="28">
        <v>20</v>
      </c>
      <c r="B234" s="19"/>
      <c r="C234" s="19"/>
      <c r="D234" s="19"/>
      <c r="E234" s="19"/>
      <c r="F234" s="71" t="e">
        <f>E234/G3</f>
        <v>#DIV/0!</v>
      </c>
      <c r="G234" s="132"/>
      <c r="H234" s="72" t="e">
        <f t="shared" si="5"/>
        <v>#DIV/0!</v>
      </c>
    </row>
    <row r="235" spans="1:8" ht="21" customHeight="1">
      <c r="A235" s="28">
        <v>21</v>
      </c>
      <c r="B235" s="19"/>
      <c r="C235" s="19"/>
      <c r="D235" s="19"/>
      <c r="E235" s="19"/>
      <c r="F235" s="71" t="e">
        <f>E235/G3</f>
        <v>#DIV/0!</v>
      </c>
      <c r="G235" s="132"/>
      <c r="H235" s="72" t="e">
        <f t="shared" si="5"/>
        <v>#DIV/0!</v>
      </c>
    </row>
    <row r="236" spans="1:8" ht="21" customHeight="1">
      <c r="A236" s="28">
        <v>22</v>
      </c>
      <c r="B236" s="19"/>
      <c r="C236" s="19"/>
      <c r="D236" s="19"/>
      <c r="E236" s="19"/>
      <c r="F236" s="71" t="e">
        <f>E236/G3</f>
        <v>#DIV/0!</v>
      </c>
      <c r="G236" s="132"/>
      <c r="H236" s="72" t="e">
        <f t="shared" si="5"/>
        <v>#DIV/0!</v>
      </c>
    </row>
    <row r="237" spans="1:8" ht="21" customHeight="1">
      <c r="A237" s="28">
        <v>23</v>
      </c>
      <c r="B237" s="19"/>
      <c r="C237" s="19"/>
      <c r="D237" s="19"/>
      <c r="E237" s="19"/>
      <c r="F237" s="71" t="e">
        <f>E237/G3</f>
        <v>#DIV/0!</v>
      </c>
      <c r="G237" s="132"/>
      <c r="H237" s="72" t="e">
        <f t="shared" si="5"/>
        <v>#DIV/0!</v>
      </c>
    </row>
    <row r="238" spans="1:8" ht="21" customHeight="1">
      <c r="A238" s="28">
        <v>24</v>
      </c>
      <c r="B238" s="19"/>
      <c r="C238" s="19"/>
      <c r="D238" s="19"/>
      <c r="E238" s="19"/>
      <c r="F238" s="71" t="e">
        <f>E238/G3</f>
        <v>#DIV/0!</v>
      </c>
      <c r="G238" s="132"/>
      <c r="H238" s="72" t="e">
        <f t="shared" si="5"/>
        <v>#DIV/0!</v>
      </c>
    </row>
    <row r="239" spans="1:8" ht="21" customHeight="1">
      <c r="A239" s="28">
        <v>25</v>
      </c>
      <c r="B239" s="19"/>
      <c r="C239" s="19"/>
      <c r="D239" s="19"/>
      <c r="E239" s="19"/>
      <c r="F239" s="71" t="e">
        <f>E239/G3</f>
        <v>#DIV/0!</v>
      </c>
      <c r="G239" s="132"/>
      <c r="H239" s="72" t="e">
        <f t="shared" si="5"/>
        <v>#DIV/0!</v>
      </c>
    </row>
    <row r="240" spans="1:8" ht="21" customHeight="1" thickBot="1">
      <c r="A240" s="231" t="s">
        <v>4</v>
      </c>
      <c r="B240" s="232"/>
      <c r="C240" s="232"/>
      <c r="D240" s="233"/>
      <c r="E240" s="21">
        <f>SUM(E215:E239)</f>
        <v>0</v>
      </c>
      <c r="F240" s="71" t="e">
        <f>E240/G3</f>
        <v>#DIV/0!</v>
      </c>
      <c r="G240" s="133">
        <f>SUM(G215:G239)</f>
        <v>0</v>
      </c>
      <c r="H240" s="72" t="e">
        <f>SUM(H215:H239)</f>
        <v>#DIV/0!</v>
      </c>
    </row>
    <row r="242" spans="1:8">
      <c r="A242" s="218" t="s">
        <v>7</v>
      </c>
      <c r="B242" s="218"/>
      <c r="C242" s="234" t="s">
        <v>8</v>
      </c>
      <c r="D242" s="234"/>
      <c r="E242" s="234" t="s">
        <v>104</v>
      </c>
      <c r="F242" s="234"/>
      <c r="G242" s="234"/>
    </row>
    <row r="253" spans="1:8" ht="17.25" customHeight="1">
      <c r="A253" s="217" t="s">
        <v>106</v>
      </c>
      <c r="B253" s="235"/>
      <c r="C253" s="235"/>
      <c r="D253" s="235"/>
      <c r="E253" s="235"/>
    </row>
    <row r="254" spans="1:8" ht="17.25" customHeight="1">
      <c r="A254" s="217" t="s">
        <v>107</v>
      </c>
      <c r="B254" s="235"/>
      <c r="C254" s="235"/>
      <c r="D254" s="235"/>
      <c r="E254" s="235"/>
    </row>
    <row r="255" spans="1:8" ht="17.25" customHeight="1" thickBot="1">
      <c r="A255" s="230" t="s">
        <v>133</v>
      </c>
      <c r="B255" s="230"/>
      <c r="C255" s="230"/>
      <c r="D255" s="230"/>
      <c r="E255" s="230"/>
      <c r="F255" s="66" t="s">
        <v>119</v>
      </c>
      <c r="G255" s="129" t="e">
        <f>تسعير!E34</f>
        <v>#DIV/0!</v>
      </c>
    </row>
    <row r="256" spans="1:8" ht="21" customHeight="1">
      <c r="A256" s="109" t="s">
        <v>0</v>
      </c>
      <c r="B256" s="64" t="s">
        <v>101</v>
      </c>
      <c r="C256" s="64" t="s">
        <v>100</v>
      </c>
      <c r="D256" s="64" t="s">
        <v>103</v>
      </c>
      <c r="E256" s="64" t="s">
        <v>17</v>
      </c>
      <c r="F256" s="67" t="s">
        <v>109</v>
      </c>
      <c r="G256" s="131" t="s">
        <v>18</v>
      </c>
      <c r="H256" s="69" t="s">
        <v>102</v>
      </c>
    </row>
    <row r="257" spans="1:8" ht="21" customHeight="1">
      <c r="A257" s="28">
        <v>1</v>
      </c>
      <c r="B257" s="19" t="s">
        <v>105</v>
      </c>
      <c r="C257" s="4"/>
      <c r="D257" s="19"/>
      <c r="E257" s="19"/>
      <c r="F257" s="71" t="e">
        <f>E257/G3</f>
        <v>#DIV/0!</v>
      </c>
      <c r="G257" s="132"/>
      <c r="H257" s="72" t="e">
        <f>G257+F257</f>
        <v>#DIV/0!</v>
      </c>
    </row>
    <row r="258" spans="1:8" ht="21" customHeight="1">
      <c r="A258" s="28">
        <v>2</v>
      </c>
      <c r="B258" s="19"/>
      <c r="C258" s="19"/>
      <c r="D258" s="19"/>
      <c r="E258" s="19"/>
      <c r="F258" s="71" t="e">
        <f>E258/G3</f>
        <v>#DIV/0!</v>
      </c>
      <c r="G258" s="132"/>
      <c r="H258" s="72" t="e">
        <f t="shared" ref="H258:H281" si="6">G258+F258</f>
        <v>#DIV/0!</v>
      </c>
    </row>
    <row r="259" spans="1:8" ht="21" customHeight="1">
      <c r="A259" s="28">
        <v>3</v>
      </c>
      <c r="B259" s="19"/>
      <c r="C259" s="19"/>
      <c r="D259" s="19"/>
      <c r="E259" s="19"/>
      <c r="F259" s="71" t="e">
        <f>E259/G3</f>
        <v>#DIV/0!</v>
      </c>
      <c r="G259" s="132"/>
      <c r="H259" s="72" t="e">
        <f t="shared" si="6"/>
        <v>#DIV/0!</v>
      </c>
    </row>
    <row r="260" spans="1:8" ht="21" customHeight="1">
      <c r="A260" s="28">
        <v>4</v>
      </c>
      <c r="B260" s="19"/>
      <c r="C260" s="19"/>
      <c r="D260" s="19"/>
      <c r="E260" s="19"/>
      <c r="F260" s="71" t="e">
        <f>E260/G3</f>
        <v>#DIV/0!</v>
      </c>
      <c r="G260" s="132"/>
      <c r="H260" s="72" t="e">
        <f t="shared" si="6"/>
        <v>#DIV/0!</v>
      </c>
    </row>
    <row r="261" spans="1:8" ht="21" customHeight="1">
      <c r="A261" s="28">
        <v>5</v>
      </c>
      <c r="B261" s="19"/>
      <c r="C261" s="19"/>
      <c r="D261" s="19"/>
      <c r="E261" s="19"/>
      <c r="F261" s="71" t="e">
        <f>E261/G3</f>
        <v>#DIV/0!</v>
      </c>
      <c r="G261" s="132"/>
      <c r="H261" s="72" t="e">
        <f t="shared" si="6"/>
        <v>#DIV/0!</v>
      </c>
    </row>
    <row r="262" spans="1:8" ht="21" customHeight="1">
      <c r="A262" s="28">
        <v>6</v>
      </c>
      <c r="B262" s="19"/>
      <c r="C262" s="19"/>
      <c r="D262" s="19"/>
      <c r="E262" s="19"/>
      <c r="F262" s="71" t="e">
        <f>E262/G3</f>
        <v>#DIV/0!</v>
      </c>
      <c r="G262" s="132"/>
      <c r="H262" s="72" t="e">
        <f t="shared" si="6"/>
        <v>#DIV/0!</v>
      </c>
    </row>
    <row r="263" spans="1:8" ht="21" customHeight="1">
      <c r="A263" s="28">
        <v>7</v>
      </c>
      <c r="B263" s="19"/>
      <c r="C263" s="19"/>
      <c r="D263" s="19"/>
      <c r="E263" s="19"/>
      <c r="F263" s="71" t="e">
        <f>E263/G3</f>
        <v>#DIV/0!</v>
      </c>
      <c r="G263" s="132"/>
      <c r="H263" s="72" t="e">
        <f t="shared" si="6"/>
        <v>#DIV/0!</v>
      </c>
    </row>
    <row r="264" spans="1:8" ht="21" customHeight="1">
      <c r="A264" s="28">
        <v>8</v>
      </c>
      <c r="B264" s="19"/>
      <c r="C264" s="19"/>
      <c r="D264" s="19"/>
      <c r="E264" s="19"/>
      <c r="F264" s="71" t="e">
        <f>E264/G3</f>
        <v>#DIV/0!</v>
      </c>
      <c r="G264" s="132"/>
      <c r="H264" s="72" t="e">
        <f t="shared" si="6"/>
        <v>#DIV/0!</v>
      </c>
    </row>
    <row r="265" spans="1:8" ht="21" customHeight="1">
      <c r="A265" s="28">
        <v>9</v>
      </c>
      <c r="B265" s="19"/>
      <c r="C265" s="19"/>
      <c r="D265" s="19"/>
      <c r="E265" s="19"/>
      <c r="F265" s="71" t="e">
        <f>E265/G3</f>
        <v>#DIV/0!</v>
      </c>
      <c r="G265" s="132"/>
      <c r="H265" s="72" t="e">
        <f t="shared" si="6"/>
        <v>#DIV/0!</v>
      </c>
    </row>
    <row r="266" spans="1:8" ht="21" customHeight="1">
      <c r="A266" s="28">
        <v>10</v>
      </c>
      <c r="B266" s="19"/>
      <c r="C266" s="19"/>
      <c r="D266" s="19"/>
      <c r="E266" s="19"/>
      <c r="F266" s="71" t="e">
        <f>E266/G3</f>
        <v>#DIV/0!</v>
      </c>
      <c r="G266" s="132"/>
      <c r="H266" s="72" t="e">
        <f t="shared" si="6"/>
        <v>#DIV/0!</v>
      </c>
    </row>
    <row r="267" spans="1:8" ht="21" customHeight="1">
      <c r="A267" s="28">
        <v>11</v>
      </c>
      <c r="B267" s="19"/>
      <c r="C267" s="19"/>
      <c r="D267" s="19"/>
      <c r="E267" s="19"/>
      <c r="F267" s="71" t="e">
        <f>E267/G3</f>
        <v>#DIV/0!</v>
      </c>
      <c r="G267" s="132"/>
      <c r="H267" s="72" t="e">
        <f t="shared" si="6"/>
        <v>#DIV/0!</v>
      </c>
    </row>
    <row r="268" spans="1:8" ht="21" customHeight="1">
      <c r="A268" s="28">
        <v>12</v>
      </c>
      <c r="B268" s="19"/>
      <c r="C268" s="19"/>
      <c r="D268" s="19"/>
      <c r="E268" s="19"/>
      <c r="F268" s="71" t="e">
        <f>E268/G3</f>
        <v>#DIV/0!</v>
      </c>
      <c r="G268" s="132"/>
      <c r="H268" s="72" t="e">
        <f t="shared" si="6"/>
        <v>#DIV/0!</v>
      </c>
    </row>
    <row r="269" spans="1:8" ht="21" customHeight="1">
      <c r="A269" s="28">
        <v>13</v>
      </c>
      <c r="B269" s="19"/>
      <c r="C269" s="19"/>
      <c r="D269" s="19"/>
      <c r="E269" s="19"/>
      <c r="F269" s="71" t="e">
        <f>E269/G3</f>
        <v>#DIV/0!</v>
      </c>
      <c r="G269" s="132"/>
      <c r="H269" s="72" t="e">
        <f t="shared" si="6"/>
        <v>#DIV/0!</v>
      </c>
    </row>
    <row r="270" spans="1:8" ht="21" customHeight="1">
      <c r="A270" s="28">
        <v>14</v>
      </c>
      <c r="B270" s="19"/>
      <c r="C270" s="19"/>
      <c r="D270" s="19"/>
      <c r="E270" s="19"/>
      <c r="F270" s="71" t="e">
        <f>E270/G3</f>
        <v>#DIV/0!</v>
      </c>
      <c r="G270" s="132"/>
      <c r="H270" s="72" t="e">
        <f t="shared" si="6"/>
        <v>#DIV/0!</v>
      </c>
    </row>
    <row r="271" spans="1:8" ht="21" customHeight="1">
      <c r="A271" s="28">
        <v>15</v>
      </c>
      <c r="B271" s="19"/>
      <c r="C271" s="19"/>
      <c r="D271" s="19"/>
      <c r="E271" s="19"/>
      <c r="F271" s="71" t="e">
        <f>E271/G3</f>
        <v>#DIV/0!</v>
      </c>
      <c r="G271" s="132"/>
      <c r="H271" s="72" t="e">
        <f t="shared" si="6"/>
        <v>#DIV/0!</v>
      </c>
    </row>
    <row r="272" spans="1:8" ht="21" customHeight="1">
      <c r="A272" s="28">
        <v>16</v>
      </c>
      <c r="B272" s="19"/>
      <c r="C272" s="19"/>
      <c r="D272" s="19"/>
      <c r="E272" s="19"/>
      <c r="F272" s="71" t="e">
        <f>E272/G3</f>
        <v>#DIV/0!</v>
      </c>
      <c r="G272" s="132"/>
      <c r="H272" s="72" t="e">
        <f t="shared" si="6"/>
        <v>#DIV/0!</v>
      </c>
    </row>
    <row r="273" spans="1:8" ht="21" customHeight="1">
      <c r="A273" s="28">
        <v>17</v>
      </c>
      <c r="B273" s="19"/>
      <c r="C273" s="19"/>
      <c r="D273" s="19"/>
      <c r="E273" s="19"/>
      <c r="F273" s="71" t="e">
        <f>E273/G3</f>
        <v>#DIV/0!</v>
      </c>
      <c r="G273" s="132"/>
      <c r="H273" s="72" t="e">
        <f t="shared" si="6"/>
        <v>#DIV/0!</v>
      </c>
    </row>
    <row r="274" spans="1:8" ht="21" customHeight="1">
      <c r="A274" s="28">
        <v>18</v>
      </c>
      <c r="B274" s="19"/>
      <c r="C274" s="19"/>
      <c r="D274" s="19"/>
      <c r="E274" s="19"/>
      <c r="F274" s="71" t="e">
        <f>E274/G3</f>
        <v>#DIV/0!</v>
      </c>
      <c r="G274" s="132"/>
      <c r="H274" s="72" t="e">
        <f t="shared" si="6"/>
        <v>#DIV/0!</v>
      </c>
    </row>
    <row r="275" spans="1:8" ht="21" customHeight="1">
      <c r="A275" s="28">
        <v>19</v>
      </c>
      <c r="B275" s="19"/>
      <c r="C275" s="19"/>
      <c r="D275" s="19"/>
      <c r="E275" s="19"/>
      <c r="F275" s="71" t="e">
        <f>E275/G3</f>
        <v>#DIV/0!</v>
      </c>
      <c r="G275" s="132"/>
      <c r="H275" s="72" t="e">
        <f t="shared" si="6"/>
        <v>#DIV/0!</v>
      </c>
    </row>
    <row r="276" spans="1:8" ht="21" customHeight="1">
      <c r="A276" s="28">
        <v>20</v>
      </c>
      <c r="B276" s="19"/>
      <c r="C276" s="19"/>
      <c r="D276" s="19"/>
      <c r="E276" s="19"/>
      <c r="F276" s="71" t="e">
        <f>E276/G3</f>
        <v>#DIV/0!</v>
      </c>
      <c r="G276" s="132"/>
      <c r="H276" s="72" t="e">
        <f t="shared" si="6"/>
        <v>#DIV/0!</v>
      </c>
    </row>
    <row r="277" spans="1:8" ht="21" customHeight="1">
      <c r="A277" s="28">
        <v>21</v>
      </c>
      <c r="B277" s="19"/>
      <c r="C277" s="19"/>
      <c r="D277" s="19"/>
      <c r="E277" s="19"/>
      <c r="F277" s="71" t="e">
        <f>E277/G3</f>
        <v>#DIV/0!</v>
      </c>
      <c r="G277" s="132"/>
      <c r="H277" s="72" t="e">
        <f t="shared" si="6"/>
        <v>#DIV/0!</v>
      </c>
    </row>
    <row r="278" spans="1:8" ht="21" customHeight="1">
      <c r="A278" s="28">
        <v>22</v>
      </c>
      <c r="B278" s="19"/>
      <c r="C278" s="19"/>
      <c r="D278" s="19"/>
      <c r="E278" s="19"/>
      <c r="F278" s="71" t="e">
        <f>E278/G3</f>
        <v>#DIV/0!</v>
      </c>
      <c r="G278" s="132"/>
      <c r="H278" s="72" t="e">
        <f t="shared" si="6"/>
        <v>#DIV/0!</v>
      </c>
    </row>
    <row r="279" spans="1:8" ht="21" customHeight="1">
      <c r="A279" s="28">
        <v>23</v>
      </c>
      <c r="B279" s="19"/>
      <c r="C279" s="19"/>
      <c r="D279" s="19"/>
      <c r="E279" s="19"/>
      <c r="F279" s="71" t="e">
        <f>E279/G3</f>
        <v>#DIV/0!</v>
      </c>
      <c r="G279" s="132"/>
      <c r="H279" s="72" t="e">
        <f t="shared" si="6"/>
        <v>#DIV/0!</v>
      </c>
    </row>
    <row r="280" spans="1:8" ht="21" customHeight="1">
      <c r="A280" s="28">
        <v>24</v>
      </c>
      <c r="B280" s="19"/>
      <c r="C280" s="19"/>
      <c r="D280" s="19"/>
      <c r="E280" s="19"/>
      <c r="F280" s="71" t="e">
        <f>E280/G3</f>
        <v>#DIV/0!</v>
      </c>
      <c r="G280" s="132"/>
      <c r="H280" s="72" t="e">
        <f t="shared" si="6"/>
        <v>#DIV/0!</v>
      </c>
    </row>
    <row r="281" spans="1:8" ht="21" customHeight="1">
      <c r="A281" s="28">
        <v>25</v>
      </c>
      <c r="B281" s="19"/>
      <c r="C281" s="19"/>
      <c r="D281" s="19"/>
      <c r="E281" s="19"/>
      <c r="F281" s="71" t="e">
        <f>E281/G3</f>
        <v>#DIV/0!</v>
      </c>
      <c r="G281" s="132"/>
      <c r="H281" s="72" t="e">
        <f t="shared" si="6"/>
        <v>#DIV/0!</v>
      </c>
    </row>
    <row r="282" spans="1:8" ht="21" customHeight="1" thickBot="1">
      <c r="A282" s="231" t="s">
        <v>4</v>
      </c>
      <c r="B282" s="232"/>
      <c r="C282" s="232"/>
      <c r="D282" s="233"/>
      <c r="E282" s="21">
        <f>SUM(E257:E281)</f>
        <v>0</v>
      </c>
      <c r="F282" s="71" t="e">
        <f>E282/G3</f>
        <v>#DIV/0!</v>
      </c>
      <c r="G282" s="133">
        <f>SUM(G257:G281)</f>
        <v>0</v>
      </c>
      <c r="H282" s="72" t="e">
        <f>SUM(H257:H281)</f>
        <v>#DIV/0!</v>
      </c>
    </row>
    <row r="284" spans="1:8">
      <c r="A284" s="218" t="s">
        <v>7</v>
      </c>
      <c r="B284" s="218"/>
      <c r="C284" s="234" t="s">
        <v>8</v>
      </c>
      <c r="D284" s="234"/>
      <c r="E284" s="234" t="s">
        <v>104</v>
      </c>
      <c r="F284" s="234"/>
      <c r="G284" s="234"/>
    </row>
    <row r="295" spans="1:8" ht="17.25" customHeight="1">
      <c r="A295" s="217" t="s">
        <v>106</v>
      </c>
      <c r="B295" s="235"/>
      <c r="C295" s="235"/>
      <c r="D295" s="235"/>
      <c r="E295" s="235"/>
    </row>
    <row r="296" spans="1:8" ht="17.25" customHeight="1">
      <c r="A296" s="217" t="s">
        <v>107</v>
      </c>
      <c r="B296" s="235"/>
      <c r="C296" s="235"/>
      <c r="D296" s="235"/>
      <c r="E296" s="235"/>
    </row>
    <row r="297" spans="1:8" ht="17.25" customHeight="1" thickBot="1">
      <c r="A297" s="230" t="s">
        <v>134</v>
      </c>
      <c r="B297" s="230"/>
      <c r="C297" s="230"/>
      <c r="D297" s="230"/>
      <c r="E297" s="230"/>
      <c r="F297" s="66" t="s">
        <v>119</v>
      </c>
      <c r="G297" s="129" t="e">
        <f>تسعير!E34</f>
        <v>#DIV/0!</v>
      </c>
    </row>
    <row r="298" spans="1:8" ht="21" customHeight="1">
      <c r="A298" s="109" t="s">
        <v>0</v>
      </c>
      <c r="B298" s="64" t="s">
        <v>101</v>
      </c>
      <c r="C298" s="64" t="s">
        <v>100</v>
      </c>
      <c r="D298" s="64" t="s">
        <v>103</v>
      </c>
      <c r="E298" s="64" t="s">
        <v>17</v>
      </c>
      <c r="F298" s="67" t="s">
        <v>109</v>
      </c>
      <c r="G298" s="131" t="s">
        <v>18</v>
      </c>
      <c r="H298" s="69" t="s">
        <v>102</v>
      </c>
    </row>
    <row r="299" spans="1:8" ht="21" customHeight="1">
      <c r="A299" s="28">
        <v>1</v>
      </c>
      <c r="B299" s="19" t="s">
        <v>105</v>
      </c>
      <c r="C299" s="4"/>
      <c r="D299" s="19"/>
      <c r="E299" s="19"/>
      <c r="F299" s="71" t="e">
        <f>E299/G3</f>
        <v>#DIV/0!</v>
      </c>
      <c r="G299" s="132"/>
      <c r="H299" s="72" t="e">
        <f>G299+F299</f>
        <v>#DIV/0!</v>
      </c>
    </row>
    <row r="300" spans="1:8" ht="21" customHeight="1">
      <c r="A300" s="28">
        <v>2</v>
      </c>
      <c r="B300" s="19"/>
      <c r="C300" s="19"/>
      <c r="D300" s="19"/>
      <c r="E300" s="19"/>
      <c r="F300" s="71" t="e">
        <f>E300/G3</f>
        <v>#DIV/0!</v>
      </c>
      <c r="G300" s="132"/>
      <c r="H300" s="72" t="e">
        <f t="shared" ref="H300:H323" si="7">G300+F300</f>
        <v>#DIV/0!</v>
      </c>
    </row>
    <row r="301" spans="1:8" ht="21" customHeight="1">
      <c r="A301" s="28">
        <v>3</v>
      </c>
      <c r="B301" s="19"/>
      <c r="C301" s="19"/>
      <c r="D301" s="19"/>
      <c r="E301" s="19"/>
      <c r="F301" s="71" t="e">
        <f>E301/G3</f>
        <v>#DIV/0!</v>
      </c>
      <c r="G301" s="132"/>
      <c r="H301" s="72" t="e">
        <f t="shared" si="7"/>
        <v>#DIV/0!</v>
      </c>
    </row>
    <row r="302" spans="1:8" ht="21" customHeight="1">
      <c r="A302" s="28">
        <v>4</v>
      </c>
      <c r="B302" s="19"/>
      <c r="C302" s="19"/>
      <c r="D302" s="19"/>
      <c r="E302" s="19"/>
      <c r="F302" s="71" t="e">
        <f>E302/G3</f>
        <v>#DIV/0!</v>
      </c>
      <c r="G302" s="132"/>
      <c r="H302" s="72" t="e">
        <f t="shared" si="7"/>
        <v>#DIV/0!</v>
      </c>
    </row>
    <row r="303" spans="1:8" ht="21" customHeight="1">
      <c r="A303" s="28">
        <v>5</v>
      </c>
      <c r="B303" s="19"/>
      <c r="C303" s="19"/>
      <c r="D303" s="19"/>
      <c r="E303" s="19"/>
      <c r="F303" s="71" t="e">
        <f>E303/G3</f>
        <v>#DIV/0!</v>
      </c>
      <c r="G303" s="132"/>
      <c r="H303" s="72" t="e">
        <f t="shared" si="7"/>
        <v>#DIV/0!</v>
      </c>
    </row>
    <row r="304" spans="1:8" ht="21" customHeight="1">
      <c r="A304" s="28">
        <v>6</v>
      </c>
      <c r="B304" s="19"/>
      <c r="C304" s="19"/>
      <c r="D304" s="19"/>
      <c r="E304" s="19"/>
      <c r="F304" s="71" t="e">
        <f>E304/G3</f>
        <v>#DIV/0!</v>
      </c>
      <c r="G304" s="132"/>
      <c r="H304" s="72" t="e">
        <f t="shared" si="7"/>
        <v>#DIV/0!</v>
      </c>
    </row>
    <row r="305" spans="1:8" ht="21" customHeight="1">
      <c r="A305" s="28">
        <v>7</v>
      </c>
      <c r="B305" s="19"/>
      <c r="C305" s="19"/>
      <c r="D305" s="19"/>
      <c r="E305" s="19"/>
      <c r="F305" s="71" t="e">
        <f>E305/G3</f>
        <v>#DIV/0!</v>
      </c>
      <c r="G305" s="132"/>
      <c r="H305" s="72" t="e">
        <f t="shared" si="7"/>
        <v>#DIV/0!</v>
      </c>
    </row>
    <row r="306" spans="1:8" ht="21" customHeight="1">
      <c r="A306" s="28">
        <v>8</v>
      </c>
      <c r="B306" s="19"/>
      <c r="C306" s="19"/>
      <c r="D306" s="19"/>
      <c r="E306" s="19"/>
      <c r="F306" s="71" t="e">
        <f>E306/G3</f>
        <v>#DIV/0!</v>
      </c>
      <c r="G306" s="132"/>
      <c r="H306" s="72" t="e">
        <f t="shared" si="7"/>
        <v>#DIV/0!</v>
      </c>
    </row>
    <row r="307" spans="1:8" ht="21" customHeight="1">
      <c r="A307" s="28">
        <v>9</v>
      </c>
      <c r="B307" s="19"/>
      <c r="C307" s="19"/>
      <c r="D307" s="19"/>
      <c r="E307" s="19"/>
      <c r="F307" s="71" t="e">
        <f>E307/G3</f>
        <v>#DIV/0!</v>
      </c>
      <c r="G307" s="132"/>
      <c r="H307" s="72" t="e">
        <f t="shared" si="7"/>
        <v>#DIV/0!</v>
      </c>
    </row>
    <row r="308" spans="1:8" ht="21" customHeight="1">
      <c r="A308" s="28">
        <v>10</v>
      </c>
      <c r="B308" s="19"/>
      <c r="C308" s="19"/>
      <c r="D308" s="19"/>
      <c r="E308" s="19"/>
      <c r="F308" s="71" t="e">
        <f>E308/G3</f>
        <v>#DIV/0!</v>
      </c>
      <c r="G308" s="132"/>
      <c r="H308" s="72" t="e">
        <f t="shared" si="7"/>
        <v>#DIV/0!</v>
      </c>
    </row>
    <row r="309" spans="1:8" ht="21" customHeight="1">
      <c r="A309" s="28">
        <v>11</v>
      </c>
      <c r="B309" s="19"/>
      <c r="C309" s="19"/>
      <c r="D309" s="19"/>
      <c r="E309" s="19"/>
      <c r="F309" s="71" t="e">
        <f>E309/G3</f>
        <v>#DIV/0!</v>
      </c>
      <c r="G309" s="132"/>
      <c r="H309" s="72" t="e">
        <f t="shared" si="7"/>
        <v>#DIV/0!</v>
      </c>
    </row>
    <row r="310" spans="1:8" ht="21" customHeight="1">
      <c r="A310" s="28">
        <v>12</v>
      </c>
      <c r="B310" s="19"/>
      <c r="C310" s="19"/>
      <c r="D310" s="19"/>
      <c r="E310" s="19"/>
      <c r="F310" s="71" t="e">
        <f>E310/G3</f>
        <v>#DIV/0!</v>
      </c>
      <c r="G310" s="132"/>
      <c r="H310" s="72" t="e">
        <f t="shared" si="7"/>
        <v>#DIV/0!</v>
      </c>
    </row>
    <row r="311" spans="1:8" ht="21" customHeight="1">
      <c r="A311" s="28">
        <v>13</v>
      </c>
      <c r="B311" s="19"/>
      <c r="C311" s="19"/>
      <c r="D311" s="19"/>
      <c r="E311" s="19"/>
      <c r="F311" s="71" t="e">
        <f>E311/G3</f>
        <v>#DIV/0!</v>
      </c>
      <c r="G311" s="132"/>
      <c r="H311" s="72" t="e">
        <f t="shared" si="7"/>
        <v>#DIV/0!</v>
      </c>
    </row>
    <row r="312" spans="1:8" ht="21" customHeight="1">
      <c r="A312" s="28">
        <v>14</v>
      </c>
      <c r="B312" s="19"/>
      <c r="C312" s="19"/>
      <c r="D312" s="19"/>
      <c r="E312" s="19"/>
      <c r="F312" s="71" t="e">
        <f>E312/G3</f>
        <v>#DIV/0!</v>
      </c>
      <c r="G312" s="132"/>
      <c r="H312" s="72" t="e">
        <f t="shared" si="7"/>
        <v>#DIV/0!</v>
      </c>
    </row>
    <row r="313" spans="1:8" ht="21" customHeight="1">
      <c r="A313" s="28">
        <v>15</v>
      </c>
      <c r="B313" s="19"/>
      <c r="C313" s="19"/>
      <c r="D313" s="19"/>
      <c r="E313" s="19"/>
      <c r="F313" s="71" t="e">
        <f>E313/G3</f>
        <v>#DIV/0!</v>
      </c>
      <c r="G313" s="132"/>
      <c r="H313" s="72" t="e">
        <f t="shared" si="7"/>
        <v>#DIV/0!</v>
      </c>
    </row>
    <row r="314" spans="1:8" ht="21" customHeight="1">
      <c r="A314" s="28">
        <v>16</v>
      </c>
      <c r="B314" s="19"/>
      <c r="C314" s="19"/>
      <c r="D314" s="19"/>
      <c r="E314" s="19"/>
      <c r="F314" s="71" t="e">
        <f>E314/G3</f>
        <v>#DIV/0!</v>
      </c>
      <c r="G314" s="132"/>
      <c r="H314" s="72" t="e">
        <f t="shared" si="7"/>
        <v>#DIV/0!</v>
      </c>
    </row>
    <row r="315" spans="1:8" ht="21" customHeight="1">
      <c r="A315" s="28">
        <v>17</v>
      </c>
      <c r="B315" s="19"/>
      <c r="C315" s="19"/>
      <c r="D315" s="19"/>
      <c r="E315" s="19"/>
      <c r="F315" s="71" t="e">
        <f>E315/G3</f>
        <v>#DIV/0!</v>
      </c>
      <c r="G315" s="132"/>
      <c r="H315" s="72" t="e">
        <f t="shared" si="7"/>
        <v>#DIV/0!</v>
      </c>
    </row>
    <row r="316" spans="1:8" ht="21" customHeight="1">
      <c r="A316" s="28">
        <v>18</v>
      </c>
      <c r="B316" s="19"/>
      <c r="C316" s="19"/>
      <c r="D316" s="19"/>
      <c r="E316" s="19"/>
      <c r="F316" s="71" t="e">
        <f>E316/G3</f>
        <v>#DIV/0!</v>
      </c>
      <c r="G316" s="132"/>
      <c r="H316" s="72" t="e">
        <f t="shared" si="7"/>
        <v>#DIV/0!</v>
      </c>
    </row>
    <row r="317" spans="1:8" ht="21" customHeight="1">
      <c r="A317" s="28">
        <v>19</v>
      </c>
      <c r="B317" s="19"/>
      <c r="C317" s="19"/>
      <c r="D317" s="19"/>
      <c r="E317" s="19"/>
      <c r="F317" s="71" t="e">
        <f>E317/G3</f>
        <v>#DIV/0!</v>
      </c>
      <c r="G317" s="132"/>
      <c r="H317" s="72" t="e">
        <f t="shared" si="7"/>
        <v>#DIV/0!</v>
      </c>
    </row>
    <row r="318" spans="1:8" ht="21" customHeight="1">
      <c r="A318" s="28">
        <v>20</v>
      </c>
      <c r="B318" s="19"/>
      <c r="C318" s="19"/>
      <c r="D318" s="19"/>
      <c r="E318" s="19"/>
      <c r="F318" s="71" t="e">
        <f>E318/G3</f>
        <v>#DIV/0!</v>
      </c>
      <c r="G318" s="132"/>
      <c r="H318" s="72" t="e">
        <f t="shared" si="7"/>
        <v>#DIV/0!</v>
      </c>
    </row>
    <row r="319" spans="1:8" ht="21" customHeight="1">
      <c r="A319" s="28">
        <v>21</v>
      </c>
      <c r="B319" s="19"/>
      <c r="C319" s="19"/>
      <c r="D319" s="19"/>
      <c r="E319" s="19"/>
      <c r="F319" s="71" t="e">
        <f>E319/G3</f>
        <v>#DIV/0!</v>
      </c>
      <c r="G319" s="132"/>
      <c r="H319" s="72" t="e">
        <f t="shared" si="7"/>
        <v>#DIV/0!</v>
      </c>
    </row>
    <row r="320" spans="1:8" ht="21" customHeight="1">
      <c r="A320" s="28">
        <v>22</v>
      </c>
      <c r="B320" s="19"/>
      <c r="C320" s="19"/>
      <c r="D320" s="19"/>
      <c r="E320" s="19"/>
      <c r="F320" s="71" t="e">
        <f>E320/G3</f>
        <v>#DIV/0!</v>
      </c>
      <c r="G320" s="132"/>
      <c r="H320" s="72" t="e">
        <f t="shared" si="7"/>
        <v>#DIV/0!</v>
      </c>
    </row>
    <row r="321" spans="1:8" ht="21" customHeight="1">
      <c r="A321" s="28">
        <v>23</v>
      </c>
      <c r="B321" s="19"/>
      <c r="C321" s="19"/>
      <c r="D321" s="19"/>
      <c r="E321" s="19"/>
      <c r="F321" s="71" t="e">
        <f>E321/G3</f>
        <v>#DIV/0!</v>
      </c>
      <c r="G321" s="132"/>
      <c r="H321" s="72" t="e">
        <f t="shared" si="7"/>
        <v>#DIV/0!</v>
      </c>
    </row>
    <row r="322" spans="1:8" ht="21" customHeight="1">
      <c r="A322" s="28">
        <v>24</v>
      </c>
      <c r="B322" s="19"/>
      <c r="C322" s="19"/>
      <c r="D322" s="19"/>
      <c r="E322" s="19"/>
      <c r="F322" s="71" t="e">
        <f>E322/G3</f>
        <v>#DIV/0!</v>
      </c>
      <c r="G322" s="132"/>
      <c r="H322" s="72" t="e">
        <f t="shared" si="7"/>
        <v>#DIV/0!</v>
      </c>
    </row>
    <row r="323" spans="1:8" ht="21" customHeight="1">
      <c r="A323" s="28">
        <v>25</v>
      </c>
      <c r="B323" s="19"/>
      <c r="C323" s="19"/>
      <c r="D323" s="19"/>
      <c r="E323" s="19"/>
      <c r="F323" s="71" t="e">
        <f>E323/G3</f>
        <v>#DIV/0!</v>
      </c>
      <c r="G323" s="132"/>
      <c r="H323" s="72" t="e">
        <f t="shared" si="7"/>
        <v>#DIV/0!</v>
      </c>
    </row>
    <row r="324" spans="1:8" ht="21" customHeight="1" thickBot="1">
      <c r="A324" s="231" t="s">
        <v>4</v>
      </c>
      <c r="B324" s="232"/>
      <c r="C324" s="232"/>
      <c r="D324" s="233"/>
      <c r="E324" s="21">
        <f>SUM(E299:E323)</f>
        <v>0</v>
      </c>
      <c r="F324" s="71" t="e">
        <f>E324/G3</f>
        <v>#DIV/0!</v>
      </c>
      <c r="G324" s="133">
        <f>SUM(G299:G323)</f>
        <v>0</v>
      </c>
      <c r="H324" s="72" t="e">
        <f>SUM(H299:H323)</f>
        <v>#DIV/0!</v>
      </c>
    </row>
    <row r="326" spans="1:8">
      <c r="A326" s="218" t="s">
        <v>7</v>
      </c>
      <c r="B326" s="218"/>
      <c r="C326" s="234" t="s">
        <v>8</v>
      </c>
      <c r="D326" s="234"/>
      <c r="E326" s="234" t="s">
        <v>104</v>
      </c>
      <c r="F326" s="234"/>
      <c r="G326" s="234"/>
    </row>
    <row r="337" spans="1:8" ht="17.25" customHeight="1">
      <c r="A337" s="217" t="s">
        <v>106</v>
      </c>
      <c r="B337" s="235"/>
      <c r="C337" s="235"/>
      <c r="D337" s="235"/>
      <c r="E337" s="235"/>
    </row>
    <row r="338" spans="1:8" ht="17.25" customHeight="1">
      <c r="A338" s="217" t="s">
        <v>107</v>
      </c>
      <c r="B338" s="235"/>
      <c r="C338" s="235"/>
      <c r="D338" s="235"/>
      <c r="E338" s="235"/>
    </row>
    <row r="339" spans="1:8" ht="17.25" customHeight="1" thickBot="1">
      <c r="A339" s="230" t="s">
        <v>135</v>
      </c>
      <c r="B339" s="230"/>
      <c r="C339" s="230"/>
      <c r="D339" s="230"/>
      <c r="E339" s="230"/>
      <c r="F339" s="66" t="s">
        <v>119</v>
      </c>
      <c r="G339" s="129" t="e">
        <f>تسعير!E34</f>
        <v>#DIV/0!</v>
      </c>
    </row>
    <row r="340" spans="1:8" ht="21" customHeight="1">
      <c r="A340" s="109" t="s">
        <v>0</v>
      </c>
      <c r="B340" s="64" t="s">
        <v>101</v>
      </c>
      <c r="C340" s="64" t="s">
        <v>100</v>
      </c>
      <c r="D340" s="64" t="s">
        <v>103</v>
      </c>
      <c r="E340" s="64" t="s">
        <v>17</v>
      </c>
      <c r="F340" s="67" t="s">
        <v>109</v>
      </c>
      <c r="G340" s="131" t="s">
        <v>18</v>
      </c>
      <c r="H340" s="69" t="s">
        <v>102</v>
      </c>
    </row>
    <row r="341" spans="1:8" ht="21" customHeight="1">
      <c r="A341" s="28">
        <v>1</v>
      </c>
      <c r="B341" s="19" t="s">
        <v>105</v>
      </c>
      <c r="C341" s="4"/>
      <c r="D341" s="19"/>
      <c r="E341" s="19"/>
      <c r="F341" s="71" t="e">
        <f>E341/G3</f>
        <v>#DIV/0!</v>
      </c>
      <c r="G341" s="132"/>
      <c r="H341" s="72" t="e">
        <f>G341+F341</f>
        <v>#DIV/0!</v>
      </c>
    </row>
    <row r="342" spans="1:8" ht="21" customHeight="1">
      <c r="A342" s="28">
        <v>2</v>
      </c>
      <c r="B342" s="19"/>
      <c r="C342" s="19"/>
      <c r="D342" s="19"/>
      <c r="E342" s="19"/>
      <c r="F342" s="71" t="e">
        <f>E342/G3</f>
        <v>#DIV/0!</v>
      </c>
      <c r="G342" s="132"/>
      <c r="H342" s="72" t="e">
        <f t="shared" ref="H342:H365" si="8">G342+F342</f>
        <v>#DIV/0!</v>
      </c>
    </row>
    <row r="343" spans="1:8" ht="21" customHeight="1">
      <c r="A343" s="28">
        <v>3</v>
      </c>
      <c r="B343" s="19"/>
      <c r="C343" s="19"/>
      <c r="D343" s="19"/>
      <c r="E343" s="19"/>
      <c r="F343" s="71" t="e">
        <f>E343/G3</f>
        <v>#DIV/0!</v>
      </c>
      <c r="G343" s="132"/>
      <c r="H343" s="72" t="e">
        <f t="shared" si="8"/>
        <v>#DIV/0!</v>
      </c>
    </row>
    <row r="344" spans="1:8" ht="21" customHeight="1">
      <c r="A344" s="28">
        <v>4</v>
      </c>
      <c r="B344" s="19"/>
      <c r="C344" s="19"/>
      <c r="D344" s="19"/>
      <c r="E344" s="19"/>
      <c r="F344" s="71" t="e">
        <f>E344/G3</f>
        <v>#DIV/0!</v>
      </c>
      <c r="G344" s="132"/>
      <c r="H344" s="72" t="e">
        <f t="shared" si="8"/>
        <v>#DIV/0!</v>
      </c>
    </row>
    <row r="345" spans="1:8" ht="21" customHeight="1">
      <c r="A345" s="28">
        <v>5</v>
      </c>
      <c r="B345" s="19"/>
      <c r="C345" s="19"/>
      <c r="D345" s="19"/>
      <c r="E345" s="19"/>
      <c r="F345" s="71" t="e">
        <f>E345/G3</f>
        <v>#DIV/0!</v>
      </c>
      <c r="G345" s="132"/>
      <c r="H345" s="72" t="e">
        <f t="shared" si="8"/>
        <v>#DIV/0!</v>
      </c>
    </row>
    <row r="346" spans="1:8" ht="21" customHeight="1">
      <c r="A346" s="28">
        <v>6</v>
      </c>
      <c r="B346" s="19"/>
      <c r="C346" s="19"/>
      <c r="D346" s="19"/>
      <c r="E346" s="19"/>
      <c r="F346" s="71" t="e">
        <f>E346/G3</f>
        <v>#DIV/0!</v>
      </c>
      <c r="G346" s="132"/>
      <c r="H346" s="72" t="e">
        <f t="shared" si="8"/>
        <v>#DIV/0!</v>
      </c>
    </row>
    <row r="347" spans="1:8" ht="21" customHeight="1">
      <c r="A347" s="28">
        <v>7</v>
      </c>
      <c r="B347" s="19"/>
      <c r="C347" s="19"/>
      <c r="D347" s="19"/>
      <c r="E347" s="19"/>
      <c r="F347" s="71" t="e">
        <f>E347/G3</f>
        <v>#DIV/0!</v>
      </c>
      <c r="G347" s="132"/>
      <c r="H347" s="72" t="e">
        <f t="shared" si="8"/>
        <v>#DIV/0!</v>
      </c>
    </row>
    <row r="348" spans="1:8" ht="21" customHeight="1">
      <c r="A348" s="28">
        <v>8</v>
      </c>
      <c r="B348" s="19"/>
      <c r="C348" s="19"/>
      <c r="D348" s="19"/>
      <c r="E348" s="19"/>
      <c r="F348" s="71" t="e">
        <f>E348/G3</f>
        <v>#DIV/0!</v>
      </c>
      <c r="G348" s="132"/>
      <c r="H348" s="72" t="e">
        <f t="shared" si="8"/>
        <v>#DIV/0!</v>
      </c>
    </row>
    <row r="349" spans="1:8" ht="21" customHeight="1">
      <c r="A349" s="28">
        <v>9</v>
      </c>
      <c r="B349" s="19"/>
      <c r="C349" s="19"/>
      <c r="D349" s="19"/>
      <c r="E349" s="19"/>
      <c r="F349" s="71" t="e">
        <f>E349/G3</f>
        <v>#DIV/0!</v>
      </c>
      <c r="G349" s="132"/>
      <c r="H349" s="72" t="e">
        <f t="shared" si="8"/>
        <v>#DIV/0!</v>
      </c>
    </row>
    <row r="350" spans="1:8" ht="21" customHeight="1">
      <c r="A350" s="28">
        <v>10</v>
      </c>
      <c r="B350" s="19"/>
      <c r="C350" s="19"/>
      <c r="D350" s="19"/>
      <c r="E350" s="19"/>
      <c r="F350" s="71" t="e">
        <f>E350/G3</f>
        <v>#DIV/0!</v>
      </c>
      <c r="G350" s="132"/>
      <c r="H350" s="72" t="e">
        <f t="shared" si="8"/>
        <v>#DIV/0!</v>
      </c>
    </row>
    <row r="351" spans="1:8" ht="21" customHeight="1">
      <c r="A351" s="28">
        <v>11</v>
      </c>
      <c r="B351" s="19"/>
      <c r="C351" s="19"/>
      <c r="D351" s="19"/>
      <c r="E351" s="19"/>
      <c r="F351" s="71" t="e">
        <f>E351/G3</f>
        <v>#DIV/0!</v>
      </c>
      <c r="G351" s="132"/>
      <c r="H351" s="72" t="e">
        <f t="shared" si="8"/>
        <v>#DIV/0!</v>
      </c>
    </row>
    <row r="352" spans="1:8" ht="21" customHeight="1">
      <c r="A352" s="28">
        <v>12</v>
      </c>
      <c r="B352" s="19"/>
      <c r="C352" s="19"/>
      <c r="D352" s="19"/>
      <c r="E352" s="19"/>
      <c r="F352" s="71" t="e">
        <f>E352/G3</f>
        <v>#DIV/0!</v>
      </c>
      <c r="G352" s="132"/>
      <c r="H352" s="72" t="e">
        <f t="shared" si="8"/>
        <v>#DIV/0!</v>
      </c>
    </row>
    <row r="353" spans="1:8" ht="21" customHeight="1">
      <c r="A353" s="28">
        <v>13</v>
      </c>
      <c r="B353" s="19"/>
      <c r="C353" s="19"/>
      <c r="D353" s="19"/>
      <c r="E353" s="19"/>
      <c r="F353" s="71" t="e">
        <f>E353/G3</f>
        <v>#DIV/0!</v>
      </c>
      <c r="G353" s="132"/>
      <c r="H353" s="72" t="e">
        <f t="shared" si="8"/>
        <v>#DIV/0!</v>
      </c>
    </row>
    <row r="354" spans="1:8" ht="21" customHeight="1">
      <c r="A354" s="28">
        <v>14</v>
      </c>
      <c r="B354" s="19"/>
      <c r="C354" s="19"/>
      <c r="D354" s="19"/>
      <c r="E354" s="19"/>
      <c r="F354" s="71" t="e">
        <f>E354/G3</f>
        <v>#DIV/0!</v>
      </c>
      <c r="G354" s="132"/>
      <c r="H354" s="72" t="e">
        <f t="shared" si="8"/>
        <v>#DIV/0!</v>
      </c>
    </row>
    <row r="355" spans="1:8" ht="21" customHeight="1">
      <c r="A355" s="28">
        <v>15</v>
      </c>
      <c r="B355" s="19"/>
      <c r="C355" s="19"/>
      <c r="D355" s="19"/>
      <c r="E355" s="19"/>
      <c r="F355" s="71" t="e">
        <f>E355/G3</f>
        <v>#DIV/0!</v>
      </c>
      <c r="G355" s="132"/>
      <c r="H355" s="72" t="e">
        <f t="shared" si="8"/>
        <v>#DIV/0!</v>
      </c>
    </row>
    <row r="356" spans="1:8" ht="21" customHeight="1">
      <c r="A356" s="28">
        <v>16</v>
      </c>
      <c r="B356" s="19"/>
      <c r="C356" s="19"/>
      <c r="D356" s="19"/>
      <c r="E356" s="19"/>
      <c r="F356" s="71" t="e">
        <f>E356/G3</f>
        <v>#DIV/0!</v>
      </c>
      <c r="G356" s="132"/>
      <c r="H356" s="72" t="e">
        <f t="shared" si="8"/>
        <v>#DIV/0!</v>
      </c>
    </row>
    <row r="357" spans="1:8" ht="21" customHeight="1">
      <c r="A357" s="28">
        <v>17</v>
      </c>
      <c r="B357" s="19"/>
      <c r="C357" s="19"/>
      <c r="D357" s="19"/>
      <c r="E357" s="19"/>
      <c r="F357" s="71" t="e">
        <f>E357/G3</f>
        <v>#DIV/0!</v>
      </c>
      <c r="G357" s="132"/>
      <c r="H357" s="72" t="e">
        <f t="shared" si="8"/>
        <v>#DIV/0!</v>
      </c>
    </row>
    <row r="358" spans="1:8" ht="21" customHeight="1">
      <c r="A358" s="28">
        <v>18</v>
      </c>
      <c r="B358" s="19"/>
      <c r="C358" s="19"/>
      <c r="D358" s="19"/>
      <c r="E358" s="19"/>
      <c r="F358" s="71" t="e">
        <f>E358/G3</f>
        <v>#DIV/0!</v>
      </c>
      <c r="G358" s="132"/>
      <c r="H358" s="72" t="e">
        <f t="shared" si="8"/>
        <v>#DIV/0!</v>
      </c>
    </row>
    <row r="359" spans="1:8" ht="21" customHeight="1">
      <c r="A359" s="28">
        <v>19</v>
      </c>
      <c r="B359" s="19"/>
      <c r="C359" s="19"/>
      <c r="D359" s="19"/>
      <c r="E359" s="19"/>
      <c r="F359" s="71" t="e">
        <f>E359/G3</f>
        <v>#DIV/0!</v>
      </c>
      <c r="G359" s="132"/>
      <c r="H359" s="72" t="e">
        <f t="shared" si="8"/>
        <v>#DIV/0!</v>
      </c>
    </row>
    <row r="360" spans="1:8" ht="21" customHeight="1">
      <c r="A360" s="28">
        <v>20</v>
      </c>
      <c r="B360" s="19"/>
      <c r="C360" s="19"/>
      <c r="D360" s="19"/>
      <c r="E360" s="19"/>
      <c r="F360" s="71" t="e">
        <f>E360/G3</f>
        <v>#DIV/0!</v>
      </c>
      <c r="G360" s="132"/>
      <c r="H360" s="72" t="e">
        <f t="shared" si="8"/>
        <v>#DIV/0!</v>
      </c>
    </row>
    <row r="361" spans="1:8" ht="21" customHeight="1">
      <c r="A361" s="28">
        <v>21</v>
      </c>
      <c r="B361" s="19"/>
      <c r="C361" s="19"/>
      <c r="D361" s="19"/>
      <c r="E361" s="19"/>
      <c r="F361" s="71" t="e">
        <f>E361/G3</f>
        <v>#DIV/0!</v>
      </c>
      <c r="G361" s="132"/>
      <c r="H361" s="72" t="e">
        <f t="shared" si="8"/>
        <v>#DIV/0!</v>
      </c>
    </row>
    <row r="362" spans="1:8" ht="21" customHeight="1">
      <c r="A362" s="28">
        <v>22</v>
      </c>
      <c r="B362" s="19"/>
      <c r="C362" s="19"/>
      <c r="D362" s="19"/>
      <c r="E362" s="19"/>
      <c r="F362" s="71" t="e">
        <f>E362/G3</f>
        <v>#DIV/0!</v>
      </c>
      <c r="G362" s="132"/>
      <c r="H362" s="72" t="e">
        <f t="shared" si="8"/>
        <v>#DIV/0!</v>
      </c>
    </row>
    <row r="363" spans="1:8" ht="21" customHeight="1">
      <c r="A363" s="28">
        <v>23</v>
      </c>
      <c r="B363" s="19"/>
      <c r="C363" s="19"/>
      <c r="D363" s="19"/>
      <c r="E363" s="19"/>
      <c r="F363" s="71" t="e">
        <f>E363/G3</f>
        <v>#DIV/0!</v>
      </c>
      <c r="G363" s="132"/>
      <c r="H363" s="72" t="e">
        <f t="shared" si="8"/>
        <v>#DIV/0!</v>
      </c>
    </row>
    <row r="364" spans="1:8" ht="21" customHeight="1">
      <c r="A364" s="28">
        <v>24</v>
      </c>
      <c r="B364" s="19"/>
      <c r="C364" s="19"/>
      <c r="D364" s="19"/>
      <c r="E364" s="19"/>
      <c r="F364" s="71" t="e">
        <f>E364/G3</f>
        <v>#DIV/0!</v>
      </c>
      <c r="G364" s="132"/>
      <c r="H364" s="72" t="e">
        <f t="shared" si="8"/>
        <v>#DIV/0!</v>
      </c>
    </row>
    <row r="365" spans="1:8" ht="21" customHeight="1">
      <c r="A365" s="28">
        <v>25</v>
      </c>
      <c r="B365" s="19"/>
      <c r="C365" s="19"/>
      <c r="D365" s="19"/>
      <c r="E365" s="19"/>
      <c r="F365" s="71" t="e">
        <f>E365/G3</f>
        <v>#DIV/0!</v>
      </c>
      <c r="G365" s="132"/>
      <c r="H365" s="72" t="e">
        <f t="shared" si="8"/>
        <v>#DIV/0!</v>
      </c>
    </row>
    <row r="366" spans="1:8" ht="21" customHeight="1" thickBot="1">
      <c r="A366" s="231" t="s">
        <v>4</v>
      </c>
      <c r="B366" s="232"/>
      <c r="C366" s="232"/>
      <c r="D366" s="233"/>
      <c r="E366" s="21">
        <f>SUM(E341:E365)</f>
        <v>0</v>
      </c>
      <c r="F366" s="71" t="e">
        <f>E366/G3</f>
        <v>#DIV/0!</v>
      </c>
      <c r="G366" s="133">
        <f>SUM(G341:G365)</f>
        <v>0</v>
      </c>
      <c r="H366" s="72" t="e">
        <f>SUM(H341:H365)</f>
        <v>#DIV/0!</v>
      </c>
    </row>
    <row r="368" spans="1:8">
      <c r="A368" s="218" t="s">
        <v>7</v>
      </c>
      <c r="B368" s="218"/>
      <c r="C368" s="234" t="s">
        <v>8</v>
      </c>
      <c r="D368" s="234"/>
      <c r="E368" s="234" t="s">
        <v>104</v>
      </c>
      <c r="F368" s="234"/>
      <c r="G368" s="234"/>
    </row>
    <row r="379" spans="1:8" ht="17.25" customHeight="1">
      <c r="A379" s="217" t="s">
        <v>106</v>
      </c>
      <c r="B379" s="235"/>
      <c r="C379" s="235"/>
      <c r="D379" s="235"/>
      <c r="E379" s="235"/>
    </row>
    <row r="380" spans="1:8" ht="17.25" customHeight="1">
      <c r="A380" s="217" t="s">
        <v>107</v>
      </c>
      <c r="B380" s="235"/>
      <c r="C380" s="235"/>
      <c r="D380" s="235"/>
      <c r="E380" s="235"/>
    </row>
    <row r="381" spans="1:8" ht="17.25" customHeight="1" thickBot="1">
      <c r="A381" s="230" t="s">
        <v>136</v>
      </c>
      <c r="B381" s="230"/>
      <c r="C381" s="230"/>
      <c r="D381" s="230"/>
      <c r="E381" s="230"/>
      <c r="F381" s="66" t="s">
        <v>119</v>
      </c>
      <c r="G381" s="129" t="e">
        <f>تسعير!E34</f>
        <v>#DIV/0!</v>
      </c>
    </row>
    <row r="382" spans="1:8" ht="21" customHeight="1">
      <c r="A382" s="109" t="s">
        <v>0</v>
      </c>
      <c r="B382" s="64" t="s">
        <v>101</v>
      </c>
      <c r="C382" s="64" t="s">
        <v>100</v>
      </c>
      <c r="D382" s="64" t="s">
        <v>103</v>
      </c>
      <c r="E382" s="64" t="s">
        <v>17</v>
      </c>
      <c r="F382" s="67" t="s">
        <v>109</v>
      </c>
      <c r="G382" s="131" t="s">
        <v>18</v>
      </c>
      <c r="H382" s="69" t="s">
        <v>102</v>
      </c>
    </row>
    <row r="383" spans="1:8" ht="21" customHeight="1">
      <c r="A383" s="28">
        <v>1</v>
      </c>
      <c r="B383" s="19" t="s">
        <v>105</v>
      </c>
      <c r="C383" s="4"/>
      <c r="D383" s="19"/>
      <c r="E383" s="19"/>
      <c r="F383" s="71" t="e">
        <f>E383/G3</f>
        <v>#DIV/0!</v>
      </c>
      <c r="G383" s="132"/>
      <c r="H383" s="72" t="e">
        <f>G383+F383</f>
        <v>#DIV/0!</v>
      </c>
    </row>
    <row r="384" spans="1:8" ht="21" customHeight="1">
      <c r="A384" s="28">
        <v>2</v>
      </c>
      <c r="B384" s="19"/>
      <c r="C384" s="19"/>
      <c r="D384" s="19"/>
      <c r="E384" s="19"/>
      <c r="F384" s="71" t="e">
        <f>E384/G3</f>
        <v>#DIV/0!</v>
      </c>
      <c r="G384" s="132"/>
      <c r="H384" s="72" t="e">
        <f t="shared" ref="H384:H407" si="9">G384+F384</f>
        <v>#DIV/0!</v>
      </c>
    </row>
    <row r="385" spans="1:8" ht="21" customHeight="1">
      <c r="A385" s="28">
        <v>3</v>
      </c>
      <c r="B385" s="19"/>
      <c r="C385" s="19"/>
      <c r="D385" s="19"/>
      <c r="E385" s="19"/>
      <c r="F385" s="71" t="e">
        <f>E385/G3</f>
        <v>#DIV/0!</v>
      </c>
      <c r="G385" s="132"/>
      <c r="H385" s="72" t="e">
        <f t="shared" si="9"/>
        <v>#DIV/0!</v>
      </c>
    </row>
    <row r="386" spans="1:8" ht="21" customHeight="1">
      <c r="A386" s="28">
        <v>4</v>
      </c>
      <c r="B386" s="19"/>
      <c r="C386" s="19"/>
      <c r="D386" s="19"/>
      <c r="E386" s="19"/>
      <c r="F386" s="71" t="e">
        <f>E386/G3</f>
        <v>#DIV/0!</v>
      </c>
      <c r="G386" s="132"/>
      <c r="H386" s="72" t="e">
        <f t="shared" si="9"/>
        <v>#DIV/0!</v>
      </c>
    </row>
    <row r="387" spans="1:8" ht="21" customHeight="1">
      <c r="A387" s="28">
        <v>5</v>
      </c>
      <c r="B387" s="19"/>
      <c r="C387" s="19"/>
      <c r="D387" s="19"/>
      <c r="E387" s="19"/>
      <c r="F387" s="71" t="e">
        <f>E387/G3</f>
        <v>#DIV/0!</v>
      </c>
      <c r="G387" s="132"/>
      <c r="H387" s="72" t="e">
        <f t="shared" si="9"/>
        <v>#DIV/0!</v>
      </c>
    </row>
    <row r="388" spans="1:8" ht="21" customHeight="1">
      <c r="A388" s="28">
        <v>6</v>
      </c>
      <c r="B388" s="19"/>
      <c r="C388" s="19"/>
      <c r="D388" s="19"/>
      <c r="E388" s="19"/>
      <c r="F388" s="71" t="e">
        <f>E388/G3</f>
        <v>#DIV/0!</v>
      </c>
      <c r="G388" s="132"/>
      <c r="H388" s="72" t="e">
        <f t="shared" si="9"/>
        <v>#DIV/0!</v>
      </c>
    </row>
    <row r="389" spans="1:8" ht="21" customHeight="1">
      <c r="A389" s="28">
        <v>7</v>
      </c>
      <c r="B389" s="19"/>
      <c r="C389" s="19"/>
      <c r="D389" s="19"/>
      <c r="E389" s="19"/>
      <c r="F389" s="71" t="e">
        <f>E389/G3</f>
        <v>#DIV/0!</v>
      </c>
      <c r="G389" s="132"/>
      <c r="H389" s="72" t="e">
        <f t="shared" si="9"/>
        <v>#DIV/0!</v>
      </c>
    </row>
    <row r="390" spans="1:8" ht="21" customHeight="1">
      <c r="A390" s="28">
        <v>8</v>
      </c>
      <c r="B390" s="19"/>
      <c r="C390" s="19"/>
      <c r="D390" s="19"/>
      <c r="E390" s="19"/>
      <c r="F390" s="71" t="e">
        <f>E390/G3</f>
        <v>#DIV/0!</v>
      </c>
      <c r="G390" s="132"/>
      <c r="H390" s="72" t="e">
        <f t="shared" si="9"/>
        <v>#DIV/0!</v>
      </c>
    </row>
    <row r="391" spans="1:8" ht="21" customHeight="1">
      <c r="A391" s="28">
        <v>9</v>
      </c>
      <c r="B391" s="19"/>
      <c r="C391" s="19"/>
      <c r="D391" s="19"/>
      <c r="E391" s="19"/>
      <c r="F391" s="71" t="e">
        <f>E391/G3</f>
        <v>#DIV/0!</v>
      </c>
      <c r="G391" s="132"/>
      <c r="H391" s="72" t="e">
        <f t="shared" si="9"/>
        <v>#DIV/0!</v>
      </c>
    </row>
    <row r="392" spans="1:8" ht="21" customHeight="1">
      <c r="A392" s="28">
        <v>10</v>
      </c>
      <c r="B392" s="19"/>
      <c r="C392" s="19"/>
      <c r="D392" s="19"/>
      <c r="E392" s="19"/>
      <c r="F392" s="71" t="e">
        <f>E392/G3</f>
        <v>#DIV/0!</v>
      </c>
      <c r="G392" s="132"/>
      <c r="H392" s="72" t="e">
        <f t="shared" si="9"/>
        <v>#DIV/0!</v>
      </c>
    </row>
    <row r="393" spans="1:8" ht="21" customHeight="1">
      <c r="A393" s="28">
        <v>11</v>
      </c>
      <c r="B393" s="19"/>
      <c r="C393" s="19"/>
      <c r="D393" s="19"/>
      <c r="E393" s="19"/>
      <c r="F393" s="71" t="e">
        <f>E393/G3</f>
        <v>#DIV/0!</v>
      </c>
      <c r="G393" s="132"/>
      <c r="H393" s="72" t="e">
        <f t="shared" si="9"/>
        <v>#DIV/0!</v>
      </c>
    </row>
    <row r="394" spans="1:8" ht="21" customHeight="1">
      <c r="A394" s="28">
        <v>12</v>
      </c>
      <c r="B394" s="19"/>
      <c r="C394" s="19"/>
      <c r="D394" s="19"/>
      <c r="E394" s="19"/>
      <c r="F394" s="71" t="e">
        <f>E394/G3</f>
        <v>#DIV/0!</v>
      </c>
      <c r="G394" s="132"/>
      <c r="H394" s="72" t="e">
        <f t="shared" si="9"/>
        <v>#DIV/0!</v>
      </c>
    </row>
    <row r="395" spans="1:8" ht="21" customHeight="1">
      <c r="A395" s="28">
        <v>13</v>
      </c>
      <c r="B395" s="19"/>
      <c r="C395" s="19"/>
      <c r="D395" s="19"/>
      <c r="E395" s="19"/>
      <c r="F395" s="71" t="e">
        <f>E395/G3</f>
        <v>#DIV/0!</v>
      </c>
      <c r="G395" s="132"/>
      <c r="H395" s="72" t="e">
        <f t="shared" si="9"/>
        <v>#DIV/0!</v>
      </c>
    </row>
    <row r="396" spans="1:8" ht="21" customHeight="1">
      <c r="A396" s="28">
        <v>14</v>
      </c>
      <c r="B396" s="19"/>
      <c r="C396" s="19"/>
      <c r="D396" s="19"/>
      <c r="E396" s="19"/>
      <c r="F396" s="71" t="e">
        <f>E396/G3</f>
        <v>#DIV/0!</v>
      </c>
      <c r="G396" s="132"/>
      <c r="H396" s="72" t="e">
        <f t="shared" si="9"/>
        <v>#DIV/0!</v>
      </c>
    </row>
    <row r="397" spans="1:8" ht="21" customHeight="1">
      <c r="A397" s="28">
        <v>15</v>
      </c>
      <c r="B397" s="19"/>
      <c r="C397" s="19"/>
      <c r="D397" s="19"/>
      <c r="E397" s="19"/>
      <c r="F397" s="71" t="e">
        <f>E397/G3</f>
        <v>#DIV/0!</v>
      </c>
      <c r="G397" s="132"/>
      <c r="H397" s="72" t="e">
        <f t="shared" si="9"/>
        <v>#DIV/0!</v>
      </c>
    </row>
    <row r="398" spans="1:8" ht="21" customHeight="1">
      <c r="A398" s="28">
        <v>16</v>
      </c>
      <c r="B398" s="19"/>
      <c r="C398" s="19"/>
      <c r="D398" s="19"/>
      <c r="E398" s="19"/>
      <c r="F398" s="71" t="e">
        <f>E398/G3</f>
        <v>#DIV/0!</v>
      </c>
      <c r="G398" s="132"/>
      <c r="H398" s="72" t="e">
        <f t="shared" si="9"/>
        <v>#DIV/0!</v>
      </c>
    </row>
    <row r="399" spans="1:8" ht="21" customHeight="1">
      <c r="A399" s="28">
        <v>17</v>
      </c>
      <c r="B399" s="19"/>
      <c r="C399" s="19"/>
      <c r="D399" s="19"/>
      <c r="E399" s="19"/>
      <c r="F399" s="71" t="e">
        <f>E399/G3</f>
        <v>#DIV/0!</v>
      </c>
      <c r="G399" s="132"/>
      <c r="H399" s="72" t="e">
        <f t="shared" si="9"/>
        <v>#DIV/0!</v>
      </c>
    </row>
    <row r="400" spans="1:8" ht="21" customHeight="1">
      <c r="A400" s="28">
        <v>18</v>
      </c>
      <c r="B400" s="19"/>
      <c r="C400" s="19"/>
      <c r="D400" s="19"/>
      <c r="E400" s="19"/>
      <c r="F400" s="71" t="e">
        <f>E400/G3</f>
        <v>#DIV/0!</v>
      </c>
      <c r="G400" s="132"/>
      <c r="H400" s="72" t="e">
        <f t="shared" si="9"/>
        <v>#DIV/0!</v>
      </c>
    </row>
    <row r="401" spans="1:8" ht="21" customHeight="1">
      <c r="A401" s="28">
        <v>19</v>
      </c>
      <c r="B401" s="19"/>
      <c r="C401" s="19"/>
      <c r="D401" s="19"/>
      <c r="E401" s="19"/>
      <c r="F401" s="71" t="e">
        <f>E401/G3</f>
        <v>#DIV/0!</v>
      </c>
      <c r="G401" s="132"/>
      <c r="H401" s="72" t="e">
        <f t="shared" si="9"/>
        <v>#DIV/0!</v>
      </c>
    </row>
    <row r="402" spans="1:8" ht="21" customHeight="1">
      <c r="A402" s="28">
        <v>20</v>
      </c>
      <c r="B402" s="19"/>
      <c r="C402" s="19"/>
      <c r="D402" s="19"/>
      <c r="E402" s="19"/>
      <c r="F402" s="71" t="e">
        <f>E402/G3</f>
        <v>#DIV/0!</v>
      </c>
      <c r="G402" s="132"/>
      <c r="H402" s="72" t="e">
        <f t="shared" si="9"/>
        <v>#DIV/0!</v>
      </c>
    </row>
    <row r="403" spans="1:8" ht="21" customHeight="1">
      <c r="A403" s="28">
        <v>21</v>
      </c>
      <c r="B403" s="19"/>
      <c r="C403" s="19"/>
      <c r="D403" s="19"/>
      <c r="E403" s="19"/>
      <c r="F403" s="71" t="e">
        <f>E403/G3</f>
        <v>#DIV/0!</v>
      </c>
      <c r="G403" s="132"/>
      <c r="H403" s="72" t="e">
        <f t="shared" si="9"/>
        <v>#DIV/0!</v>
      </c>
    </row>
    <row r="404" spans="1:8" ht="21" customHeight="1">
      <c r="A404" s="28">
        <v>22</v>
      </c>
      <c r="B404" s="19"/>
      <c r="C404" s="19"/>
      <c r="D404" s="19"/>
      <c r="E404" s="19"/>
      <c r="F404" s="71" t="e">
        <f>E404/G3</f>
        <v>#DIV/0!</v>
      </c>
      <c r="G404" s="132"/>
      <c r="H404" s="72" t="e">
        <f t="shared" si="9"/>
        <v>#DIV/0!</v>
      </c>
    </row>
    <row r="405" spans="1:8" ht="21" customHeight="1">
      <c r="A405" s="28">
        <v>23</v>
      </c>
      <c r="B405" s="19"/>
      <c r="C405" s="19"/>
      <c r="D405" s="19"/>
      <c r="E405" s="19"/>
      <c r="F405" s="71" t="e">
        <f>E405/G3</f>
        <v>#DIV/0!</v>
      </c>
      <c r="G405" s="132"/>
      <c r="H405" s="72" t="e">
        <f t="shared" si="9"/>
        <v>#DIV/0!</v>
      </c>
    </row>
    <row r="406" spans="1:8" ht="21" customHeight="1">
      <c r="A406" s="28">
        <v>24</v>
      </c>
      <c r="B406" s="19"/>
      <c r="C406" s="19"/>
      <c r="D406" s="19"/>
      <c r="E406" s="19"/>
      <c r="F406" s="71" t="e">
        <f>E406/G3</f>
        <v>#DIV/0!</v>
      </c>
      <c r="G406" s="132"/>
      <c r="H406" s="72" t="e">
        <f t="shared" si="9"/>
        <v>#DIV/0!</v>
      </c>
    </row>
    <row r="407" spans="1:8" ht="21" customHeight="1">
      <c r="A407" s="28">
        <v>25</v>
      </c>
      <c r="B407" s="19"/>
      <c r="C407" s="19"/>
      <c r="D407" s="19"/>
      <c r="E407" s="19"/>
      <c r="F407" s="71" t="e">
        <f>E407/G3</f>
        <v>#DIV/0!</v>
      </c>
      <c r="G407" s="132"/>
      <c r="H407" s="72" t="e">
        <f t="shared" si="9"/>
        <v>#DIV/0!</v>
      </c>
    </row>
    <row r="408" spans="1:8" ht="21" customHeight="1" thickBot="1">
      <c r="A408" s="231" t="s">
        <v>4</v>
      </c>
      <c r="B408" s="232"/>
      <c r="C408" s="232"/>
      <c r="D408" s="233"/>
      <c r="E408" s="21">
        <f>SUM(E383:E407)</f>
        <v>0</v>
      </c>
      <c r="F408" s="71" t="e">
        <f>E408/G3</f>
        <v>#DIV/0!</v>
      </c>
      <c r="G408" s="133">
        <f>SUM(G383:G407)</f>
        <v>0</v>
      </c>
      <c r="H408" s="73" t="e">
        <f>SUM(H383:H407)</f>
        <v>#DIV/0!</v>
      </c>
    </row>
    <row r="410" spans="1:8">
      <c r="A410" s="218" t="s">
        <v>7</v>
      </c>
      <c r="B410" s="218"/>
      <c r="C410" s="234" t="s">
        <v>8</v>
      </c>
      <c r="D410" s="234"/>
      <c r="E410" s="234" t="s">
        <v>104</v>
      </c>
      <c r="F410" s="234"/>
      <c r="G410" s="234"/>
    </row>
    <row r="421" spans="1:8" ht="17.25" customHeight="1">
      <c r="A421" s="217" t="s">
        <v>106</v>
      </c>
      <c r="B421" s="235"/>
      <c r="C421" s="235"/>
      <c r="D421" s="235"/>
      <c r="E421" s="235"/>
    </row>
    <row r="422" spans="1:8" ht="17.25" customHeight="1">
      <c r="A422" s="217" t="s">
        <v>107</v>
      </c>
      <c r="B422" s="235"/>
      <c r="C422" s="235"/>
      <c r="D422" s="235"/>
      <c r="E422" s="235"/>
    </row>
    <row r="423" spans="1:8" ht="17.25" customHeight="1" thickBot="1">
      <c r="A423" s="230" t="s">
        <v>137</v>
      </c>
      <c r="B423" s="230"/>
      <c r="C423" s="230"/>
      <c r="D423" s="230"/>
      <c r="E423" s="230"/>
      <c r="F423" s="66" t="s">
        <v>119</v>
      </c>
      <c r="G423" s="129" t="e">
        <f>تسعير!E34</f>
        <v>#DIV/0!</v>
      </c>
    </row>
    <row r="424" spans="1:8" ht="21" customHeight="1">
      <c r="A424" s="109" t="s">
        <v>0</v>
      </c>
      <c r="B424" s="64" t="s">
        <v>101</v>
      </c>
      <c r="C424" s="64" t="s">
        <v>100</v>
      </c>
      <c r="D424" s="64" t="s">
        <v>103</v>
      </c>
      <c r="E424" s="64" t="s">
        <v>17</v>
      </c>
      <c r="F424" s="67" t="s">
        <v>109</v>
      </c>
      <c r="G424" s="131" t="s">
        <v>18</v>
      </c>
      <c r="H424" s="69" t="s">
        <v>102</v>
      </c>
    </row>
    <row r="425" spans="1:8" ht="21" customHeight="1">
      <c r="A425" s="28">
        <v>1</v>
      </c>
      <c r="B425" s="19" t="s">
        <v>105</v>
      </c>
      <c r="C425" s="4"/>
      <c r="D425" s="19"/>
      <c r="E425" s="19"/>
      <c r="F425" s="71" t="e">
        <f>E425/G3</f>
        <v>#DIV/0!</v>
      </c>
      <c r="G425" s="132"/>
      <c r="H425" s="72" t="e">
        <f>G425+F425</f>
        <v>#DIV/0!</v>
      </c>
    </row>
    <row r="426" spans="1:8" ht="21" customHeight="1">
      <c r="A426" s="28">
        <v>2</v>
      </c>
      <c r="B426" s="19"/>
      <c r="C426" s="19"/>
      <c r="D426" s="19"/>
      <c r="E426" s="19"/>
      <c r="F426" s="71" t="e">
        <f>E426/G3</f>
        <v>#DIV/0!</v>
      </c>
      <c r="G426" s="132"/>
      <c r="H426" s="72" t="e">
        <f t="shared" ref="H426:H449" si="10">G426+F426</f>
        <v>#DIV/0!</v>
      </c>
    </row>
    <row r="427" spans="1:8" ht="21" customHeight="1">
      <c r="A427" s="28">
        <v>3</v>
      </c>
      <c r="B427" s="19"/>
      <c r="C427" s="19"/>
      <c r="D427" s="19"/>
      <c r="E427" s="19"/>
      <c r="F427" s="71" t="e">
        <f>E427/G3</f>
        <v>#DIV/0!</v>
      </c>
      <c r="G427" s="132"/>
      <c r="H427" s="72" t="e">
        <f t="shared" si="10"/>
        <v>#DIV/0!</v>
      </c>
    </row>
    <row r="428" spans="1:8" ht="21" customHeight="1">
      <c r="A428" s="28">
        <v>4</v>
      </c>
      <c r="B428" s="19"/>
      <c r="C428" s="19"/>
      <c r="D428" s="19"/>
      <c r="E428" s="19"/>
      <c r="F428" s="71" t="e">
        <f>E428/G3</f>
        <v>#DIV/0!</v>
      </c>
      <c r="G428" s="132"/>
      <c r="H428" s="72" t="e">
        <f t="shared" si="10"/>
        <v>#DIV/0!</v>
      </c>
    </row>
    <row r="429" spans="1:8" ht="21" customHeight="1">
      <c r="A429" s="28">
        <v>5</v>
      </c>
      <c r="B429" s="19"/>
      <c r="C429" s="19"/>
      <c r="D429" s="19"/>
      <c r="E429" s="19"/>
      <c r="F429" s="71" t="e">
        <f>E429/G3</f>
        <v>#DIV/0!</v>
      </c>
      <c r="G429" s="132"/>
      <c r="H429" s="72" t="e">
        <f t="shared" si="10"/>
        <v>#DIV/0!</v>
      </c>
    </row>
    <row r="430" spans="1:8" ht="21" customHeight="1">
      <c r="A430" s="28">
        <v>6</v>
      </c>
      <c r="B430" s="19"/>
      <c r="C430" s="19"/>
      <c r="D430" s="19"/>
      <c r="E430" s="19"/>
      <c r="F430" s="71" t="e">
        <f>E430/G3</f>
        <v>#DIV/0!</v>
      </c>
      <c r="G430" s="132"/>
      <c r="H430" s="72" t="e">
        <f t="shared" si="10"/>
        <v>#DIV/0!</v>
      </c>
    </row>
    <row r="431" spans="1:8" ht="21" customHeight="1">
      <c r="A431" s="28">
        <v>7</v>
      </c>
      <c r="B431" s="19"/>
      <c r="C431" s="19"/>
      <c r="D431" s="19"/>
      <c r="E431" s="19"/>
      <c r="F431" s="71" t="e">
        <f>E431/G3</f>
        <v>#DIV/0!</v>
      </c>
      <c r="G431" s="132"/>
      <c r="H431" s="72" t="e">
        <f t="shared" si="10"/>
        <v>#DIV/0!</v>
      </c>
    </row>
    <row r="432" spans="1:8" ht="21" customHeight="1">
      <c r="A432" s="28">
        <v>8</v>
      </c>
      <c r="B432" s="19"/>
      <c r="C432" s="19"/>
      <c r="D432" s="19"/>
      <c r="E432" s="19"/>
      <c r="F432" s="71" t="e">
        <f>E432/G3</f>
        <v>#DIV/0!</v>
      </c>
      <c r="G432" s="132"/>
      <c r="H432" s="72" t="e">
        <f t="shared" si="10"/>
        <v>#DIV/0!</v>
      </c>
    </row>
    <row r="433" spans="1:8" ht="21" customHeight="1">
      <c r="A433" s="28">
        <v>9</v>
      </c>
      <c r="B433" s="19"/>
      <c r="C433" s="19"/>
      <c r="D433" s="19"/>
      <c r="E433" s="19"/>
      <c r="F433" s="71" t="e">
        <f>E433/G3</f>
        <v>#DIV/0!</v>
      </c>
      <c r="G433" s="132"/>
      <c r="H433" s="72" t="e">
        <f t="shared" si="10"/>
        <v>#DIV/0!</v>
      </c>
    </row>
    <row r="434" spans="1:8" ht="21" customHeight="1">
      <c r="A434" s="28">
        <v>10</v>
      </c>
      <c r="B434" s="19"/>
      <c r="C434" s="19"/>
      <c r="D434" s="19"/>
      <c r="E434" s="19"/>
      <c r="F434" s="71" t="e">
        <f>E434/G3</f>
        <v>#DIV/0!</v>
      </c>
      <c r="G434" s="132"/>
      <c r="H434" s="72" t="e">
        <f t="shared" si="10"/>
        <v>#DIV/0!</v>
      </c>
    </row>
    <row r="435" spans="1:8" ht="21" customHeight="1">
      <c r="A435" s="28">
        <v>11</v>
      </c>
      <c r="B435" s="19"/>
      <c r="C435" s="19"/>
      <c r="D435" s="19"/>
      <c r="E435" s="19"/>
      <c r="F435" s="71" t="e">
        <f>E435/G3</f>
        <v>#DIV/0!</v>
      </c>
      <c r="G435" s="132"/>
      <c r="H435" s="72" t="e">
        <f t="shared" si="10"/>
        <v>#DIV/0!</v>
      </c>
    </row>
    <row r="436" spans="1:8" ht="21" customHeight="1">
      <c r="A436" s="28">
        <v>12</v>
      </c>
      <c r="B436" s="19"/>
      <c r="C436" s="19"/>
      <c r="D436" s="19"/>
      <c r="E436" s="19"/>
      <c r="F436" s="71" t="e">
        <f>E436/G3</f>
        <v>#DIV/0!</v>
      </c>
      <c r="G436" s="132"/>
      <c r="H436" s="72" t="e">
        <f t="shared" si="10"/>
        <v>#DIV/0!</v>
      </c>
    </row>
    <row r="437" spans="1:8" ht="21" customHeight="1">
      <c r="A437" s="28">
        <v>13</v>
      </c>
      <c r="B437" s="19"/>
      <c r="C437" s="19"/>
      <c r="D437" s="19"/>
      <c r="E437" s="19"/>
      <c r="F437" s="71" t="e">
        <f>E437/G3</f>
        <v>#DIV/0!</v>
      </c>
      <c r="G437" s="132"/>
      <c r="H437" s="72" t="e">
        <f t="shared" si="10"/>
        <v>#DIV/0!</v>
      </c>
    </row>
    <row r="438" spans="1:8" ht="21" customHeight="1">
      <c r="A438" s="28">
        <v>14</v>
      </c>
      <c r="B438" s="19"/>
      <c r="C438" s="19"/>
      <c r="D438" s="19"/>
      <c r="E438" s="19"/>
      <c r="F438" s="71" t="e">
        <f>E438/G3</f>
        <v>#DIV/0!</v>
      </c>
      <c r="G438" s="132"/>
      <c r="H438" s="72" t="e">
        <f t="shared" si="10"/>
        <v>#DIV/0!</v>
      </c>
    </row>
    <row r="439" spans="1:8" ht="21" customHeight="1">
      <c r="A439" s="28">
        <v>15</v>
      </c>
      <c r="B439" s="19"/>
      <c r="C439" s="19"/>
      <c r="D439" s="19"/>
      <c r="E439" s="19"/>
      <c r="F439" s="71" t="e">
        <f>E439/G3</f>
        <v>#DIV/0!</v>
      </c>
      <c r="G439" s="132"/>
      <c r="H439" s="72" t="e">
        <f t="shared" si="10"/>
        <v>#DIV/0!</v>
      </c>
    </row>
    <row r="440" spans="1:8" ht="21" customHeight="1">
      <c r="A440" s="28">
        <v>16</v>
      </c>
      <c r="B440" s="19"/>
      <c r="C440" s="19"/>
      <c r="D440" s="19"/>
      <c r="E440" s="19"/>
      <c r="F440" s="71" t="e">
        <f>E440/G3</f>
        <v>#DIV/0!</v>
      </c>
      <c r="G440" s="132"/>
      <c r="H440" s="72" t="e">
        <f t="shared" si="10"/>
        <v>#DIV/0!</v>
      </c>
    </row>
    <row r="441" spans="1:8" ht="21" customHeight="1">
      <c r="A441" s="28">
        <v>17</v>
      </c>
      <c r="B441" s="19"/>
      <c r="C441" s="19"/>
      <c r="D441" s="19"/>
      <c r="E441" s="19"/>
      <c r="F441" s="71" t="e">
        <f>E441/G3</f>
        <v>#DIV/0!</v>
      </c>
      <c r="G441" s="132"/>
      <c r="H441" s="72" t="e">
        <f t="shared" si="10"/>
        <v>#DIV/0!</v>
      </c>
    </row>
    <row r="442" spans="1:8" ht="21" customHeight="1">
      <c r="A442" s="28">
        <v>18</v>
      </c>
      <c r="B442" s="19"/>
      <c r="C442" s="19"/>
      <c r="D442" s="19"/>
      <c r="E442" s="19"/>
      <c r="F442" s="71" t="e">
        <f>E442/G3</f>
        <v>#DIV/0!</v>
      </c>
      <c r="G442" s="132"/>
      <c r="H442" s="72" t="e">
        <f t="shared" si="10"/>
        <v>#DIV/0!</v>
      </c>
    </row>
    <row r="443" spans="1:8" ht="21" customHeight="1">
      <c r="A443" s="28">
        <v>19</v>
      </c>
      <c r="B443" s="19"/>
      <c r="C443" s="19"/>
      <c r="D443" s="19"/>
      <c r="E443" s="19"/>
      <c r="F443" s="71" t="e">
        <f>E443/G3</f>
        <v>#DIV/0!</v>
      </c>
      <c r="G443" s="132"/>
      <c r="H443" s="72" t="e">
        <f t="shared" si="10"/>
        <v>#DIV/0!</v>
      </c>
    </row>
    <row r="444" spans="1:8" ht="21" customHeight="1">
      <c r="A444" s="28">
        <v>20</v>
      </c>
      <c r="B444" s="19"/>
      <c r="C444" s="19"/>
      <c r="D444" s="19"/>
      <c r="E444" s="19"/>
      <c r="F444" s="71" t="e">
        <f>E444/G3</f>
        <v>#DIV/0!</v>
      </c>
      <c r="G444" s="132"/>
      <c r="H444" s="72" t="e">
        <f t="shared" si="10"/>
        <v>#DIV/0!</v>
      </c>
    </row>
    <row r="445" spans="1:8" ht="21" customHeight="1">
      <c r="A445" s="28">
        <v>21</v>
      </c>
      <c r="B445" s="19"/>
      <c r="C445" s="19"/>
      <c r="D445" s="19"/>
      <c r="E445" s="19"/>
      <c r="F445" s="71" t="e">
        <f>E445/G3</f>
        <v>#DIV/0!</v>
      </c>
      <c r="G445" s="132"/>
      <c r="H445" s="72" t="e">
        <f t="shared" si="10"/>
        <v>#DIV/0!</v>
      </c>
    </row>
    <row r="446" spans="1:8" ht="21" customHeight="1">
      <c r="A446" s="28">
        <v>22</v>
      </c>
      <c r="B446" s="19"/>
      <c r="C446" s="19"/>
      <c r="D446" s="19"/>
      <c r="E446" s="19"/>
      <c r="F446" s="71" t="e">
        <f>E446/G3</f>
        <v>#DIV/0!</v>
      </c>
      <c r="G446" s="132"/>
      <c r="H446" s="72" t="e">
        <f t="shared" si="10"/>
        <v>#DIV/0!</v>
      </c>
    </row>
    <row r="447" spans="1:8" ht="21" customHeight="1">
      <c r="A447" s="28">
        <v>23</v>
      </c>
      <c r="B447" s="19"/>
      <c r="C447" s="19"/>
      <c r="D447" s="19"/>
      <c r="E447" s="19"/>
      <c r="F447" s="71" t="e">
        <f>E447/G3</f>
        <v>#DIV/0!</v>
      </c>
      <c r="G447" s="132"/>
      <c r="H447" s="72" t="e">
        <f t="shared" si="10"/>
        <v>#DIV/0!</v>
      </c>
    </row>
    <row r="448" spans="1:8" ht="21" customHeight="1">
      <c r="A448" s="28">
        <v>24</v>
      </c>
      <c r="B448" s="19"/>
      <c r="C448" s="19"/>
      <c r="D448" s="19"/>
      <c r="E448" s="19"/>
      <c r="F448" s="71" t="e">
        <f>E448/G3</f>
        <v>#DIV/0!</v>
      </c>
      <c r="G448" s="132"/>
      <c r="H448" s="72" t="e">
        <f t="shared" si="10"/>
        <v>#DIV/0!</v>
      </c>
    </row>
    <row r="449" spans="1:8" ht="21" customHeight="1">
      <c r="A449" s="28">
        <v>25</v>
      </c>
      <c r="B449" s="19"/>
      <c r="C449" s="19"/>
      <c r="D449" s="19"/>
      <c r="E449" s="19"/>
      <c r="F449" s="71" t="e">
        <f>E449/G3</f>
        <v>#DIV/0!</v>
      </c>
      <c r="G449" s="132"/>
      <c r="H449" s="72" t="e">
        <f t="shared" si="10"/>
        <v>#DIV/0!</v>
      </c>
    </row>
    <row r="450" spans="1:8" ht="21" customHeight="1" thickBot="1">
      <c r="A450" s="231" t="s">
        <v>4</v>
      </c>
      <c r="B450" s="232"/>
      <c r="C450" s="232"/>
      <c r="D450" s="233"/>
      <c r="E450" s="21">
        <f>SUM(E425:E449)</f>
        <v>0</v>
      </c>
      <c r="F450" s="71" t="e">
        <f>E450/G3</f>
        <v>#DIV/0!</v>
      </c>
      <c r="G450" s="133">
        <f>SUM(G425:G449)</f>
        <v>0</v>
      </c>
      <c r="H450" s="73" t="e">
        <f>SUM(H425:H449)</f>
        <v>#DIV/0!</v>
      </c>
    </row>
    <row r="452" spans="1:8">
      <c r="A452" s="218" t="s">
        <v>7</v>
      </c>
      <c r="B452" s="218"/>
      <c r="C452" s="234" t="s">
        <v>8</v>
      </c>
      <c r="D452" s="234"/>
      <c r="E452" s="234" t="s">
        <v>104</v>
      </c>
      <c r="F452" s="234"/>
      <c r="G452" s="234"/>
    </row>
    <row r="463" spans="1:8" ht="17.25" customHeight="1">
      <c r="A463" s="217" t="s">
        <v>106</v>
      </c>
      <c r="B463" s="217"/>
      <c r="C463" s="217"/>
      <c r="D463" s="217"/>
      <c r="E463" s="217"/>
    </row>
    <row r="464" spans="1:8" ht="17.25" customHeight="1">
      <c r="A464" s="217" t="s">
        <v>107</v>
      </c>
      <c r="B464" s="217"/>
      <c r="C464" s="217"/>
      <c r="D464" s="217"/>
      <c r="E464" s="217"/>
    </row>
    <row r="465" spans="1:8" ht="17.25" customHeight="1" thickBot="1">
      <c r="A465" s="230" t="s">
        <v>138</v>
      </c>
      <c r="B465" s="230"/>
      <c r="C465" s="230"/>
      <c r="D465" s="230"/>
      <c r="E465" s="230"/>
      <c r="F465" s="66" t="s">
        <v>119</v>
      </c>
      <c r="G465" s="129" t="e">
        <f>تسعير!E34</f>
        <v>#DIV/0!</v>
      </c>
    </row>
    <row r="466" spans="1:8" ht="21" customHeight="1">
      <c r="A466" s="109" t="s">
        <v>0</v>
      </c>
      <c r="B466" s="64" t="s">
        <v>101</v>
      </c>
      <c r="C466" s="64" t="s">
        <v>100</v>
      </c>
      <c r="D466" s="64" t="s">
        <v>103</v>
      </c>
      <c r="E466" s="64" t="s">
        <v>17</v>
      </c>
      <c r="F466" s="67" t="s">
        <v>109</v>
      </c>
      <c r="G466" s="131" t="s">
        <v>18</v>
      </c>
      <c r="H466" s="69" t="s">
        <v>102</v>
      </c>
    </row>
    <row r="467" spans="1:8" ht="21" customHeight="1">
      <c r="A467" s="28">
        <v>1</v>
      </c>
      <c r="B467" s="19" t="s">
        <v>105</v>
      </c>
      <c r="C467" s="4"/>
      <c r="D467" s="19"/>
      <c r="E467" s="19"/>
      <c r="F467" s="71" t="e">
        <f>E467/G3</f>
        <v>#DIV/0!</v>
      </c>
      <c r="G467" s="132"/>
      <c r="H467" s="72" t="e">
        <f>G467+F467</f>
        <v>#DIV/0!</v>
      </c>
    </row>
    <row r="468" spans="1:8" ht="21" customHeight="1">
      <c r="A468" s="28">
        <v>2</v>
      </c>
      <c r="B468" s="19"/>
      <c r="C468" s="19"/>
      <c r="D468" s="19"/>
      <c r="E468" s="19"/>
      <c r="F468" s="71" t="e">
        <f>E468/G3</f>
        <v>#DIV/0!</v>
      </c>
      <c r="G468" s="132"/>
      <c r="H468" s="72" t="e">
        <f t="shared" ref="H468:H491" si="11">G468+F468</f>
        <v>#DIV/0!</v>
      </c>
    </row>
    <row r="469" spans="1:8" ht="21" customHeight="1">
      <c r="A469" s="28">
        <v>3</v>
      </c>
      <c r="B469" s="19"/>
      <c r="C469" s="19"/>
      <c r="D469" s="19"/>
      <c r="E469" s="19"/>
      <c r="F469" s="71" t="e">
        <f>E469/G3</f>
        <v>#DIV/0!</v>
      </c>
      <c r="G469" s="132"/>
      <c r="H469" s="72" t="e">
        <f t="shared" si="11"/>
        <v>#DIV/0!</v>
      </c>
    </row>
    <row r="470" spans="1:8" ht="21" customHeight="1">
      <c r="A470" s="28">
        <v>4</v>
      </c>
      <c r="B470" s="19"/>
      <c r="C470" s="19"/>
      <c r="D470" s="19"/>
      <c r="E470" s="19"/>
      <c r="F470" s="71" t="e">
        <f>E470/G3</f>
        <v>#DIV/0!</v>
      </c>
      <c r="G470" s="132"/>
      <c r="H470" s="72" t="e">
        <f t="shared" si="11"/>
        <v>#DIV/0!</v>
      </c>
    </row>
    <row r="471" spans="1:8" ht="21" customHeight="1">
      <c r="A471" s="28">
        <v>5</v>
      </c>
      <c r="B471" s="19"/>
      <c r="C471" s="19"/>
      <c r="D471" s="19"/>
      <c r="E471" s="19"/>
      <c r="F471" s="71" t="e">
        <f>E471/G3</f>
        <v>#DIV/0!</v>
      </c>
      <c r="G471" s="132"/>
      <c r="H471" s="72" t="e">
        <f t="shared" si="11"/>
        <v>#DIV/0!</v>
      </c>
    </row>
    <row r="472" spans="1:8" ht="21" customHeight="1">
      <c r="A472" s="28">
        <v>6</v>
      </c>
      <c r="B472" s="19"/>
      <c r="C472" s="19"/>
      <c r="D472" s="19"/>
      <c r="E472" s="19"/>
      <c r="F472" s="71" t="e">
        <f>E472/G3</f>
        <v>#DIV/0!</v>
      </c>
      <c r="G472" s="132"/>
      <c r="H472" s="72" t="e">
        <f t="shared" si="11"/>
        <v>#DIV/0!</v>
      </c>
    </row>
    <row r="473" spans="1:8" ht="21" customHeight="1">
      <c r="A473" s="28">
        <v>7</v>
      </c>
      <c r="B473" s="19"/>
      <c r="C473" s="19"/>
      <c r="D473" s="19"/>
      <c r="E473" s="19"/>
      <c r="F473" s="71" t="e">
        <f>E473/G3</f>
        <v>#DIV/0!</v>
      </c>
      <c r="G473" s="132"/>
      <c r="H473" s="72" t="e">
        <f t="shared" si="11"/>
        <v>#DIV/0!</v>
      </c>
    </row>
    <row r="474" spans="1:8" ht="21" customHeight="1">
      <c r="A474" s="28">
        <v>8</v>
      </c>
      <c r="B474" s="19"/>
      <c r="C474" s="19"/>
      <c r="D474" s="19"/>
      <c r="E474" s="19"/>
      <c r="F474" s="71" t="e">
        <f>E474/G3</f>
        <v>#DIV/0!</v>
      </c>
      <c r="G474" s="132"/>
      <c r="H474" s="72" t="e">
        <f t="shared" si="11"/>
        <v>#DIV/0!</v>
      </c>
    </row>
    <row r="475" spans="1:8" ht="21" customHeight="1">
      <c r="A475" s="28">
        <v>9</v>
      </c>
      <c r="B475" s="19"/>
      <c r="C475" s="19"/>
      <c r="D475" s="19"/>
      <c r="E475" s="19"/>
      <c r="F475" s="71" t="e">
        <f>E475/G3</f>
        <v>#DIV/0!</v>
      </c>
      <c r="G475" s="132"/>
      <c r="H475" s="72" t="e">
        <f t="shared" si="11"/>
        <v>#DIV/0!</v>
      </c>
    </row>
    <row r="476" spans="1:8" ht="21" customHeight="1">
      <c r="A476" s="28">
        <v>10</v>
      </c>
      <c r="B476" s="19"/>
      <c r="C476" s="19"/>
      <c r="D476" s="19"/>
      <c r="E476" s="19"/>
      <c r="F476" s="71" t="e">
        <f>E476/G3</f>
        <v>#DIV/0!</v>
      </c>
      <c r="G476" s="132"/>
      <c r="H476" s="72" t="e">
        <f t="shared" si="11"/>
        <v>#DIV/0!</v>
      </c>
    </row>
    <row r="477" spans="1:8" ht="21" customHeight="1">
      <c r="A477" s="28">
        <v>11</v>
      </c>
      <c r="B477" s="19"/>
      <c r="C477" s="19"/>
      <c r="D477" s="19"/>
      <c r="E477" s="19"/>
      <c r="F477" s="71" t="e">
        <f>E477/G3</f>
        <v>#DIV/0!</v>
      </c>
      <c r="G477" s="132"/>
      <c r="H477" s="72" t="e">
        <f t="shared" si="11"/>
        <v>#DIV/0!</v>
      </c>
    </row>
    <row r="478" spans="1:8" ht="21" customHeight="1">
      <c r="A478" s="28">
        <v>12</v>
      </c>
      <c r="B478" s="19"/>
      <c r="C478" s="19"/>
      <c r="D478" s="19"/>
      <c r="E478" s="19"/>
      <c r="F478" s="71" t="e">
        <f>E478/G3</f>
        <v>#DIV/0!</v>
      </c>
      <c r="G478" s="132"/>
      <c r="H478" s="72" t="e">
        <f t="shared" si="11"/>
        <v>#DIV/0!</v>
      </c>
    </row>
    <row r="479" spans="1:8" ht="21" customHeight="1">
      <c r="A479" s="28">
        <v>13</v>
      </c>
      <c r="B479" s="19"/>
      <c r="C479" s="19"/>
      <c r="D479" s="19"/>
      <c r="E479" s="19"/>
      <c r="F479" s="71" t="e">
        <f>E479/G3</f>
        <v>#DIV/0!</v>
      </c>
      <c r="G479" s="132"/>
      <c r="H479" s="72" t="e">
        <f t="shared" si="11"/>
        <v>#DIV/0!</v>
      </c>
    </row>
    <row r="480" spans="1:8" ht="21" customHeight="1">
      <c r="A480" s="28">
        <v>14</v>
      </c>
      <c r="B480" s="19"/>
      <c r="C480" s="19"/>
      <c r="D480" s="19"/>
      <c r="E480" s="19"/>
      <c r="F480" s="71" t="e">
        <f>E480/G3</f>
        <v>#DIV/0!</v>
      </c>
      <c r="G480" s="132"/>
      <c r="H480" s="72" t="e">
        <f t="shared" si="11"/>
        <v>#DIV/0!</v>
      </c>
    </row>
    <row r="481" spans="1:8" ht="21" customHeight="1">
      <c r="A481" s="28">
        <v>15</v>
      </c>
      <c r="B481" s="19"/>
      <c r="C481" s="19"/>
      <c r="D481" s="19"/>
      <c r="E481" s="19"/>
      <c r="F481" s="71" t="e">
        <f>E481/G3</f>
        <v>#DIV/0!</v>
      </c>
      <c r="G481" s="132"/>
      <c r="H481" s="72" t="e">
        <f t="shared" si="11"/>
        <v>#DIV/0!</v>
      </c>
    </row>
    <row r="482" spans="1:8" ht="21" customHeight="1">
      <c r="A482" s="28">
        <v>16</v>
      </c>
      <c r="B482" s="19"/>
      <c r="C482" s="19"/>
      <c r="D482" s="19"/>
      <c r="E482" s="19"/>
      <c r="F482" s="71" t="e">
        <f>E482/G3</f>
        <v>#DIV/0!</v>
      </c>
      <c r="G482" s="132"/>
      <c r="H482" s="72" t="e">
        <f t="shared" si="11"/>
        <v>#DIV/0!</v>
      </c>
    </row>
    <row r="483" spans="1:8" ht="21" customHeight="1">
      <c r="A483" s="28">
        <v>17</v>
      </c>
      <c r="B483" s="19"/>
      <c r="C483" s="19"/>
      <c r="D483" s="19"/>
      <c r="E483" s="19"/>
      <c r="F483" s="71" t="e">
        <f>E483/G3</f>
        <v>#DIV/0!</v>
      </c>
      <c r="G483" s="132"/>
      <c r="H483" s="72" t="e">
        <f t="shared" si="11"/>
        <v>#DIV/0!</v>
      </c>
    </row>
    <row r="484" spans="1:8" ht="21" customHeight="1">
      <c r="A484" s="28">
        <v>18</v>
      </c>
      <c r="B484" s="19"/>
      <c r="C484" s="19"/>
      <c r="D484" s="19"/>
      <c r="E484" s="19"/>
      <c r="F484" s="71" t="e">
        <f>E484/G3</f>
        <v>#DIV/0!</v>
      </c>
      <c r="G484" s="132"/>
      <c r="H484" s="72" t="e">
        <f t="shared" si="11"/>
        <v>#DIV/0!</v>
      </c>
    </row>
    <row r="485" spans="1:8" ht="21" customHeight="1">
      <c r="A485" s="28">
        <v>19</v>
      </c>
      <c r="B485" s="19"/>
      <c r="C485" s="19"/>
      <c r="D485" s="19"/>
      <c r="E485" s="19"/>
      <c r="F485" s="71" t="e">
        <f>E485/G3</f>
        <v>#DIV/0!</v>
      </c>
      <c r="G485" s="132"/>
      <c r="H485" s="72" t="e">
        <f t="shared" si="11"/>
        <v>#DIV/0!</v>
      </c>
    </row>
    <row r="486" spans="1:8" ht="21" customHeight="1">
      <c r="A486" s="28">
        <v>20</v>
      </c>
      <c r="B486" s="19"/>
      <c r="C486" s="19"/>
      <c r="D486" s="19"/>
      <c r="E486" s="19"/>
      <c r="F486" s="71" t="e">
        <f>E486/G3</f>
        <v>#DIV/0!</v>
      </c>
      <c r="G486" s="132"/>
      <c r="H486" s="72" t="e">
        <f t="shared" si="11"/>
        <v>#DIV/0!</v>
      </c>
    </row>
    <row r="487" spans="1:8" ht="21" customHeight="1">
      <c r="A487" s="28">
        <v>21</v>
      </c>
      <c r="B487" s="19"/>
      <c r="C487" s="19"/>
      <c r="D487" s="19"/>
      <c r="E487" s="19"/>
      <c r="F487" s="71" t="e">
        <f>E487/G3</f>
        <v>#DIV/0!</v>
      </c>
      <c r="G487" s="132"/>
      <c r="H487" s="72" t="e">
        <f t="shared" si="11"/>
        <v>#DIV/0!</v>
      </c>
    </row>
    <row r="488" spans="1:8" ht="21" customHeight="1">
      <c r="A488" s="28">
        <v>22</v>
      </c>
      <c r="B488" s="19"/>
      <c r="C488" s="19"/>
      <c r="D488" s="19"/>
      <c r="E488" s="19"/>
      <c r="F488" s="71" t="e">
        <f>E488/G3</f>
        <v>#DIV/0!</v>
      </c>
      <c r="G488" s="132"/>
      <c r="H488" s="72" t="e">
        <f t="shared" si="11"/>
        <v>#DIV/0!</v>
      </c>
    </row>
    <row r="489" spans="1:8" ht="21" customHeight="1">
      <c r="A489" s="28">
        <v>23</v>
      </c>
      <c r="B489" s="19"/>
      <c r="C489" s="19"/>
      <c r="D489" s="19"/>
      <c r="E489" s="19"/>
      <c r="F489" s="71" t="e">
        <f>E489/G3</f>
        <v>#DIV/0!</v>
      </c>
      <c r="G489" s="132"/>
      <c r="H489" s="72" t="e">
        <f t="shared" si="11"/>
        <v>#DIV/0!</v>
      </c>
    </row>
    <row r="490" spans="1:8" ht="21" customHeight="1">
      <c r="A490" s="28">
        <v>24</v>
      </c>
      <c r="B490" s="19"/>
      <c r="C490" s="19"/>
      <c r="D490" s="19"/>
      <c r="E490" s="19"/>
      <c r="F490" s="71" t="e">
        <f>E490/G3</f>
        <v>#DIV/0!</v>
      </c>
      <c r="G490" s="132"/>
      <c r="H490" s="72" t="e">
        <f t="shared" si="11"/>
        <v>#DIV/0!</v>
      </c>
    </row>
    <row r="491" spans="1:8" ht="21" customHeight="1">
      <c r="A491" s="28">
        <v>25</v>
      </c>
      <c r="B491" s="19"/>
      <c r="C491" s="19"/>
      <c r="D491" s="19"/>
      <c r="E491" s="19"/>
      <c r="F491" s="71" t="e">
        <f>E491/G3</f>
        <v>#DIV/0!</v>
      </c>
      <c r="G491" s="132"/>
      <c r="H491" s="72" t="e">
        <f t="shared" si="11"/>
        <v>#DIV/0!</v>
      </c>
    </row>
    <row r="492" spans="1:8" ht="21" customHeight="1" thickBot="1">
      <c r="A492" s="231" t="s">
        <v>4</v>
      </c>
      <c r="B492" s="232"/>
      <c r="C492" s="232"/>
      <c r="D492" s="233"/>
      <c r="E492" s="21">
        <f>SUM(E467:E491)</f>
        <v>0</v>
      </c>
      <c r="F492" s="74" t="e">
        <f>E492/G3</f>
        <v>#DIV/0!</v>
      </c>
      <c r="G492" s="133">
        <f>SUM(G467:G491)</f>
        <v>0</v>
      </c>
      <c r="H492" s="73" t="e">
        <f>SUM(H467:H491)</f>
        <v>#DIV/0!</v>
      </c>
    </row>
    <row r="494" spans="1:8">
      <c r="A494" s="218" t="s">
        <v>7</v>
      </c>
      <c r="B494" s="218"/>
      <c r="C494" s="234" t="s">
        <v>8</v>
      </c>
      <c r="D494" s="234"/>
      <c r="E494" s="234" t="s">
        <v>104</v>
      </c>
      <c r="F494" s="234"/>
      <c r="G494" s="234"/>
    </row>
  </sheetData>
  <mergeCells count="96">
    <mergeCell ref="A463:E463"/>
    <mergeCell ref="A464:E464"/>
    <mergeCell ref="A465:E465"/>
    <mergeCell ref="A492:D492"/>
    <mergeCell ref="A494:B494"/>
    <mergeCell ref="C494:D494"/>
    <mergeCell ref="E494:G494"/>
    <mergeCell ref="A421:E421"/>
    <mergeCell ref="A422:E422"/>
    <mergeCell ref="A423:E423"/>
    <mergeCell ref="A450:D450"/>
    <mergeCell ref="A452:B452"/>
    <mergeCell ref="C452:D452"/>
    <mergeCell ref="E452:G452"/>
    <mergeCell ref="A379:E379"/>
    <mergeCell ref="A380:E380"/>
    <mergeCell ref="A381:E381"/>
    <mergeCell ref="A408:D408"/>
    <mergeCell ref="A410:B410"/>
    <mergeCell ref="C410:D410"/>
    <mergeCell ref="E410:G410"/>
    <mergeCell ref="A337:E337"/>
    <mergeCell ref="A338:E338"/>
    <mergeCell ref="A339:E339"/>
    <mergeCell ref="A366:D366"/>
    <mergeCell ref="A368:B368"/>
    <mergeCell ref="C368:D368"/>
    <mergeCell ref="E368:G368"/>
    <mergeCell ref="A295:E295"/>
    <mergeCell ref="A296:E296"/>
    <mergeCell ref="A297:E297"/>
    <mergeCell ref="A324:D324"/>
    <mergeCell ref="A326:B326"/>
    <mergeCell ref="C326:D326"/>
    <mergeCell ref="E326:G326"/>
    <mergeCell ref="A253:E253"/>
    <mergeCell ref="A254:E254"/>
    <mergeCell ref="A255:E255"/>
    <mergeCell ref="A282:D282"/>
    <mergeCell ref="A284:B284"/>
    <mergeCell ref="C284:D284"/>
    <mergeCell ref="E284:G284"/>
    <mergeCell ref="J12:L12"/>
    <mergeCell ref="A211:E211"/>
    <mergeCell ref="A212:E212"/>
    <mergeCell ref="A213:E213"/>
    <mergeCell ref="A240:D240"/>
    <mergeCell ref="A128:E128"/>
    <mergeCell ref="A129:E129"/>
    <mergeCell ref="A156:D156"/>
    <mergeCell ref="A158:B158"/>
    <mergeCell ref="C158:D158"/>
    <mergeCell ref="E158:G158"/>
    <mergeCell ref="A87:E87"/>
    <mergeCell ref="A114:D114"/>
    <mergeCell ref="A116:B116"/>
    <mergeCell ref="C116:D116"/>
    <mergeCell ref="E116:G116"/>
    <mergeCell ref="A242:B242"/>
    <mergeCell ref="C242:D242"/>
    <mergeCell ref="E242:G242"/>
    <mergeCell ref="J6:L6"/>
    <mergeCell ref="J7:L7"/>
    <mergeCell ref="J8:L8"/>
    <mergeCell ref="J9:L9"/>
    <mergeCell ref="J10:L10"/>
    <mergeCell ref="J11:L11"/>
    <mergeCell ref="A169:E169"/>
    <mergeCell ref="A170:E170"/>
    <mergeCell ref="A171:E171"/>
    <mergeCell ref="A198:D198"/>
    <mergeCell ref="A200:B200"/>
    <mergeCell ref="C200:D200"/>
    <mergeCell ref="E200:G200"/>
    <mergeCell ref="J2:L2"/>
    <mergeCell ref="J1:L1"/>
    <mergeCell ref="J3:L3"/>
    <mergeCell ref="J4:L4"/>
    <mergeCell ref="J5:L5"/>
    <mergeCell ref="A127:E127"/>
    <mergeCell ref="A72:D72"/>
    <mergeCell ref="A74:B74"/>
    <mergeCell ref="C74:D74"/>
    <mergeCell ref="E74:G74"/>
    <mergeCell ref="A85:E85"/>
    <mergeCell ref="A86:E86"/>
    <mergeCell ref="A1:E1"/>
    <mergeCell ref="A2:E2"/>
    <mergeCell ref="A3:E3"/>
    <mergeCell ref="A43:E43"/>
    <mergeCell ref="A44:E44"/>
    <mergeCell ref="A45:E45"/>
    <mergeCell ref="A30:D30"/>
    <mergeCell ref="A32:B32"/>
    <mergeCell ref="C32:D32"/>
    <mergeCell ref="E32:G32"/>
  </mergeCells>
  <hyperlinks>
    <hyperlink ref="J2:L2" location="'ريز جاري'!A45" display="حقوق،بازخريدي و...كاركنان بومي"/>
    <hyperlink ref="A45:E45" location="'ريز جاري'!A1" display="هزينه جاري:حقوق، بازخريدي و...كاركنان بومي"/>
    <hyperlink ref="J3:L3" location="'ريز جاري'!A87" display="خريد اقلام مصرفي"/>
    <hyperlink ref="A87:E87" location="'ريز جاري'!A1" display="هزينه جاري:خريد اقلام مصرفي"/>
    <hyperlink ref="J4:L4" location="'ريز جاري'!A129" display="هزينه آب برق گاز و ساير سوخت ها"/>
    <hyperlink ref="A129:E129" location="'ريز جاري'!A1" display="هزينه جاري:هزينه آب برق گاز و ساير سوخت ها"/>
    <hyperlink ref="J5:L5" location="'ريز جاري'!A171" display="تعمير و نگهداري خودرو"/>
    <hyperlink ref="A171:E171" location="'ريز جاري'!A1" display="هزينه جاري:تعمير و نگهداري خودرو"/>
    <hyperlink ref="J6:L6" location="'ريز جاري'!A213" display="ترميم و نگهداري جزئي ساختمان"/>
    <hyperlink ref="A213:E213" location="'ريز جاري'!A1" display="هزينه جاري:ترميم و نگهداري جزئي ساختمان"/>
    <hyperlink ref="J7:L7" location="'ريز جاري'!A255" display="حمل و نقل و ارتباطات"/>
    <hyperlink ref="A255:E255" location="'ريز جاري'!A1" display="هزينه جاري:حمل و نقل و ارتباطات"/>
    <hyperlink ref="J8:L8" location="'ريز جاري'!A297" display="تلفن،فاكس و اينترنت"/>
    <hyperlink ref="A297:E297" location="'ريز جاري'!A1" display="هزينه جاري:تلفن،فاكس و اينترنت"/>
    <hyperlink ref="J9:L9" location="'ريز جاري'!A339" display="هزينه اجاره ساختمان نمايندگي"/>
    <hyperlink ref="J10:L10" location="'ريز جاري'!A381" display="كمك هزينه درمان و بيمه كاركنان"/>
    <hyperlink ref="J11:L11" location="'ريز جاري'!A428" display="هزينه هاي خارج از مصوب و تخصيص"/>
    <hyperlink ref="J12:L12" location="'ريز جاري'!A465" display="هزينه هاي پيش بيني نشده"/>
    <hyperlink ref="A465:E465" location="'ريز جاري'!A1" display="هزينه هاي جاري: پيش بيني نشده"/>
    <hyperlink ref="A423:E423" location="'ريز جاري'!A1" display="هزينه هاي جاري: خارج از مصوب و تخصيص"/>
    <hyperlink ref="A381:E381" location="'ريز جاري'!A1" display="هزينه جاري:كمك هزينه درمان و بيمه كاركنان"/>
    <hyperlink ref="A339:E339" location="'ريز جاري'!A1" display="هزينه جاري:اجاره ساختمان نمايندگي"/>
    <hyperlink ref="J1:L1" location="'ريز جاري'!A1" display="هزينه بانكي(كارمزد)"/>
    <hyperlink ref="A3:E3" location="Sheet2!A1" display="هزينه بانكي(كارمزد)"/>
  </hyperlinks>
  <pageMargins left="0.39370078740157483" right="0.59055118110236227" top="0.39370078740157483" bottom="0.39370078740157483" header="0.31496062992125984" footer="0.31496062992125984"/>
  <pageSetup paperSize="9" orientation="portrait" verticalDpi="300" r:id="rId1"/>
</worksheet>
</file>

<file path=xl/worksheets/sheet3.xml><?xml version="1.0" encoding="utf-8"?>
<worksheet xmlns="http://schemas.openxmlformats.org/spreadsheetml/2006/main" xmlns:r="http://schemas.openxmlformats.org/officeDocument/2006/relationships">
  <sheetPr>
    <tabColor rgb="FF92D050"/>
  </sheetPr>
  <dimension ref="A1:L410"/>
  <sheetViews>
    <sheetView rightToLeft="1" zoomScale="90" zoomScaleNormal="90" workbookViewId="0">
      <selection activeCell="E70" sqref="E70"/>
    </sheetView>
  </sheetViews>
  <sheetFormatPr defaultRowHeight="15"/>
  <cols>
    <col min="1" max="1" width="4.7109375" customWidth="1"/>
    <col min="2" max="2" width="9.7109375" customWidth="1"/>
    <col min="3" max="3" width="30.7109375" customWidth="1"/>
    <col min="4" max="4" width="4.7109375" style="5" customWidth="1"/>
    <col min="5" max="8" width="10.7109375" style="5" customWidth="1"/>
    <col min="9" max="9" width="1.5703125" customWidth="1"/>
  </cols>
  <sheetData>
    <row r="1" spans="1:12" ht="17.25" customHeight="1">
      <c r="A1" s="217" t="s">
        <v>106</v>
      </c>
      <c r="B1" s="235"/>
      <c r="C1" s="235"/>
      <c r="D1" s="235"/>
      <c r="E1" s="235"/>
      <c r="F1" s="65"/>
      <c r="G1" s="65"/>
      <c r="H1" s="65"/>
      <c r="J1" s="236" t="s">
        <v>139</v>
      </c>
      <c r="K1" s="236"/>
      <c r="L1" s="236"/>
    </row>
    <row r="2" spans="1:12" ht="17.25" customHeight="1">
      <c r="A2" s="217" t="s">
        <v>107</v>
      </c>
      <c r="B2" s="235"/>
      <c r="C2" s="235"/>
      <c r="D2" s="235"/>
      <c r="E2" s="235"/>
      <c r="F2" s="65"/>
      <c r="G2" s="65"/>
      <c r="H2" s="65"/>
      <c r="J2" s="236" t="s">
        <v>140</v>
      </c>
      <c r="K2" s="236"/>
      <c r="L2" s="236"/>
    </row>
    <row r="3" spans="1:12" ht="17.25" customHeight="1" thickBot="1">
      <c r="A3" s="230" t="s">
        <v>158</v>
      </c>
      <c r="B3" s="230"/>
      <c r="C3" s="230"/>
      <c r="D3" s="230"/>
      <c r="E3" s="230"/>
      <c r="F3" s="66" t="s">
        <v>119</v>
      </c>
      <c r="G3" s="104" t="e">
        <f>تسعير!E34</f>
        <v>#DIV/0!</v>
      </c>
      <c r="H3" s="65"/>
      <c r="J3" s="237" t="s">
        <v>141</v>
      </c>
      <c r="K3" s="237"/>
      <c r="L3" s="237"/>
    </row>
    <row r="4" spans="1:12" ht="21" customHeight="1">
      <c r="A4" s="63" t="s">
        <v>0</v>
      </c>
      <c r="B4" s="64" t="s">
        <v>101</v>
      </c>
      <c r="C4" s="64" t="s">
        <v>100</v>
      </c>
      <c r="D4" s="64" t="s">
        <v>103</v>
      </c>
      <c r="E4" s="64" t="s">
        <v>17</v>
      </c>
      <c r="F4" s="67" t="s">
        <v>109</v>
      </c>
      <c r="G4" s="67" t="s">
        <v>18</v>
      </c>
      <c r="H4" s="69" t="s">
        <v>102</v>
      </c>
      <c r="J4" s="238" t="s">
        <v>142</v>
      </c>
      <c r="K4" s="238"/>
      <c r="L4" s="238"/>
    </row>
    <row r="5" spans="1:12" ht="21" customHeight="1">
      <c r="A5" s="198">
        <v>1</v>
      </c>
      <c r="B5" s="19" t="s">
        <v>120</v>
      </c>
      <c r="C5" s="108"/>
      <c r="D5" s="19"/>
      <c r="E5" s="19"/>
      <c r="F5" s="71" t="e">
        <f>E5/G3</f>
        <v>#DIV/0!</v>
      </c>
      <c r="G5" s="68"/>
      <c r="H5" s="72" t="e">
        <f>G5+F5</f>
        <v>#DIV/0!</v>
      </c>
      <c r="J5" s="237" t="s">
        <v>143</v>
      </c>
      <c r="K5" s="237"/>
      <c r="L5" s="237"/>
    </row>
    <row r="6" spans="1:12" ht="21" customHeight="1">
      <c r="A6" s="198">
        <v>2</v>
      </c>
      <c r="B6" s="19"/>
      <c r="C6" s="108"/>
      <c r="D6" s="19"/>
      <c r="E6" s="19"/>
      <c r="F6" s="71" t="e">
        <f>E6/G3</f>
        <v>#DIV/0!</v>
      </c>
      <c r="G6" s="68"/>
      <c r="H6" s="72" t="e">
        <f t="shared" ref="H6:H29" si="0">G6+F6</f>
        <v>#DIV/0!</v>
      </c>
      <c r="J6" s="237" t="s">
        <v>144</v>
      </c>
      <c r="K6" s="237"/>
      <c r="L6" s="237"/>
    </row>
    <row r="7" spans="1:12" ht="21" customHeight="1">
      <c r="A7" s="198">
        <v>3</v>
      </c>
      <c r="B7" s="19"/>
      <c r="C7" s="108"/>
      <c r="D7" s="19"/>
      <c r="E7" s="19"/>
      <c r="F7" s="71" t="e">
        <f>E7/G3</f>
        <v>#DIV/0!</v>
      </c>
      <c r="G7" s="68"/>
      <c r="H7" s="72" t="e">
        <f t="shared" si="0"/>
        <v>#DIV/0!</v>
      </c>
      <c r="J7" s="237" t="s">
        <v>145</v>
      </c>
      <c r="K7" s="237"/>
      <c r="L7" s="237"/>
    </row>
    <row r="8" spans="1:12" ht="21" customHeight="1">
      <c r="A8" s="198">
        <v>4</v>
      </c>
      <c r="B8" s="19"/>
      <c r="C8" s="108"/>
      <c r="D8" s="19"/>
      <c r="E8" s="19"/>
      <c r="F8" s="71" t="e">
        <f>E8/G3</f>
        <v>#DIV/0!</v>
      </c>
      <c r="G8" s="68"/>
      <c r="H8" s="72" t="e">
        <f t="shared" si="0"/>
        <v>#DIV/0!</v>
      </c>
      <c r="J8" s="237" t="s">
        <v>146</v>
      </c>
      <c r="K8" s="237"/>
      <c r="L8" s="237"/>
    </row>
    <row r="9" spans="1:12" ht="21" customHeight="1">
      <c r="A9" s="198">
        <v>5</v>
      </c>
      <c r="B9" s="19"/>
      <c r="C9" s="108"/>
      <c r="D9" s="19"/>
      <c r="E9" s="19"/>
      <c r="F9" s="71" t="e">
        <f>E9/G3</f>
        <v>#DIV/0!</v>
      </c>
      <c r="G9" s="68"/>
      <c r="H9" s="72" t="e">
        <f t="shared" si="0"/>
        <v>#DIV/0!</v>
      </c>
      <c r="J9" s="237" t="s">
        <v>147</v>
      </c>
      <c r="K9" s="237"/>
      <c r="L9" s="237"/>
    </row>
    <row r="10" spans="1:12" ht="21" customHeight="1">
      <c r="A10" s="198">
        <v>6</v>
      </c>
      <c r="B10" s="19"/>
      <c r="C10" s="108"/>
      <c r="D10" s="19"/>
      <c r="E10" s="19"/>
      <c r="F10" s="71" t="e">
        <f>E10/G3</f>
        <v>#DIV/0!</v>
      </c>
      <c r="G10" s="68"/>
      <c r="H10" s="72" t="e">
        <f t="shared" si="0"/>
        <v>#DIV/0!</v>
      </c>
      <c r="J10" s="237" t="s">
        <v>148</v>
      </c>
      <c r="K10" s="237"/>
      <c r="L10" s="237"/>
    </row>
    <row r="11" spans="1:12" ht="21" customHeight="1">
      <c r="A11" s="198">
        <v>7</v>
      </c>
      <c r="B11" s="19"/>
      <c r="C11" s="19"/>
      <c r="D11" s="19"/>
      <c r="E11" s="19"/>
      <c r="F11" s="71" t="e">
        <f>E11/G3</f>
        <v>#DIV/0!</v>
      </c>
      <c r="G11" s="68"/>
      <c r="H11" s="72" t="e">
        <f t="shared" si="0"/>
        <v>#DIV/0!</v>
      </c>
    </row>
    <row r="12" spans="1:12" ht="21" customHeight="1">
      <c r="A12" s="198">
        <v>8</v>
      </c>
      <c r="B12" s="19"/>
      <c r="C12" s="19"/>
      <c r="D12" s="19"/>
      <c r="E12" s="19"/>
      <c r="F12" s="71" t="e">
        <f>E12/G3</f>
        <v>#DIV/0!</v>
      </c>
      <c r="G12" s="68"/>
      <c r="H12" s="72" t="e">
        <f t="shared" si="0"/>
        <v>#DIV/0!</v>
      </c>
    </row>
    <row r="13" spans="1:12" ht="21" customHeight="1">
      <c r="A13" s="198">
        <v>9</v>
      </c>
      <c r="B13" s="19"/>
      <c r="C13" s="19"/>
      <c r="D13" s="19"/>
      <c r="E13" s="19"/>
      <c r="F13" s="71" t="e">
        <f>E13/G3</f>
        <v>#DIV/0!</v>
      </c>
      <c r="G13" s="68"/>
      <c r="H13" s="72" t="e">
        <f t="shared" si="0"/>
        <v>#DIV/0!</v>
      </c>
    </row>
    <row r="14" spans="1:12" ht="21" customHeight="1">
      <c r="A14" s="198">
        <v>10</v>
      </c>
      <c r="B14" s="19"/>
      <c r="C14" s="19"/>
      <c r="D14" s="19"/>
      <c r="E14" s="19"/>
      <c r="F14" s="71" t="e">
        <f>E14/G3</f>
        <v>#DIV/0!</v>
      </c>
      <c r="G14" s="68"/>
      <c r="H14" s="72" t="e">
        <f t="shared" si="0"/>
        <v>#DIV/0!</v>
      </c>
    </row>
    <row r="15" spans="1:12" ht="21" customHeight="1">
      <c r="A15" s="198">
        <v>11</v>
      </c>
      <c r="B15" s="19"/>
      <c r="C15" s="19"/>
      <c r="D15" s="19"/>
      <c r="E15" s="19"/>
      <c r="F15" s="71" t="e">
        <f>E15/G3</f>
        <v>#DIV/0!</v>
      </c>
      <c r="G15" s="68"/>
      <c r="H15" s="72" t="e">
        <f t="shared" si="0"/>
        <v>#DIV/0!</v>
      </c>
    </row>
    <row r="16" spans="1:12" ht="21" customHeight="1">
      <c r="A16" s="198">
        <v>12</v>
      </c>
      <c r="B16" s="19"/>
      <c r="C16" s="19"/>
      <c r="D16" s="19"/>
      <c r="E16" s="19"/>
      <c r="F16" s="71" t="e">
        <f>E16/G3</f>
        <v>#DIV/0!</v>
      </c>
      <c r="G16" s="68"/>
      <c r="H16" s="72" t="e">
        <f t="shared" si="0"/>
        <v>#DIV/0!</v>
      </c>
    </row>
    <row r="17" spans="1:8" ht="21" customHeight="1">
      <c r="A17" s="198">
        <v>13</v>
      </c>
      <c r="B17" s="19"/>
      <c r="C17" s="19"/>
      <c r="D17" s="19"/>
      <c r="E17" s="19"/>
      <c r="F17" s="71" t="e">
        <f>E17/G3</f>
        <v>#DIV/0!</v>
      </c>
      <c r="G17" s="68"/>
      <c r="H17" s="72" t="e">
        <f t="shared" si="0"/>
        <v>#DIV/0!</v>
      </c>
    </row>
    <row r="18" spans="1:8" ht="21" customHeight="1">
      <c r="A18" s="198">
        <v>14</v>
      </c>
      <c r="B18" s="19"/>
      <c r="C18" s="19"/>
      <c r="D18" s="19"/>
      <c r="E18" s="19"/>
      <c r="F18" s="71" t="e">
        <f>E18/G3</f>
        <v>#DIV/0!</v>
      </c>
      <c r="G18" s="68"/>
      <c r="H18" s="72" t="e">
        <f t="shared" si="0"/>
        <v>#DIV/0!</v>
      </c>
    </row>
    <row r="19" spans="1:8" ht="21" customHeight="1">
      <c r="A19" s="198">
        <v>15</v>
      </c>
      <c r="B19" s="19"/>
      <c r="C19" s="19"/>
      <c r="D19" s="19"/>
      <c r="E19" s="19"/>
      <c r="F19" s="71" t="e">
        <f>E19/G3</f>
        <v>#DIV/0!</v>
      </c>
      <c r="G19" s="68"/>
      <c r="H19" s="72" t="e">
        <f t="shared" si="0"/>
        <v>#DIV/0!</v>
      </c>
    </row>
    <row r="20" spans="1:8" ht="21" customHeight="1">
      <c r="A20" s="198">
        <v>16</v>
      </c>
      <c r="B20" s="19"/>
      <c r="C20" s="19"/>
      <c r="D20" s="19"/>
      <c r="E20" s="19"/>
      <c r="F20" s="71" t="e">
        <f>E20/G3</f>
        <v>#DIV/0!</v>
      </c>
      <c r="G20" s="68"/>
      <c r="H20" s="72" t="e">
        <f t="shared" si="0"/>
        <v>#DIV/0!</v>
      </c>
    </row>
    <row r="21" spans="1:8" ht="21" customHeight="1">
      <c r="A21" s="198">
        <v>17</v>
      </c>
      <c r="B21" s="19"/>
      <c r="C21" s="19"/>
      <c r="D21" s="19"/>
      <c r="E21" s="19"/>
      <c r="F21" s="71" t="e">
        <f>E21/G3</f>
        <v>#DIV/0!</v>
      </c>
      <c r="G21" s="68"/>
      <c r="H21" s="72" t="e">
        <f t="shared" si="0"/>
        <v>#DIV/0!</v>
      </c>
    </row>
    <row r="22" spans="1:8" ht="21" customHeight="1">
      <c r="A22" s="198">
        <v>18</v>
      </c>
      <c r="B22" s="19"/>
      <c r="C22" s="19"/>
      <c r="D22" s="19"/>
      <c r="E22" s="19"/>
      <c r="F22" s="71" t="e">
        <f>E22/G3</f>
        <v>#DIV/0!</v>
      </c>
      <c r="G22" s="68"/>
      <c r="H22" s="72" t="e">
        <f t="shared" si="0"/>
        <v>#DIV/0!</v>
      </c>
    </row>
    <row r="23" spans="1:8" ht="21" customHeight="1">
      <c r="A23" s="198">
        <v>19</v>
      </c>
      <c r="B23" s="19"/>
      <c r="C23" s="19"/>
      <c r="D23" s="19"/>
      <c r="E23" s="19"/>
      <c r="F23" s="71" t="e">
        <f>E23/G3</f>
        <v>#DIV/0!</v>
      </c>
      <c r="G23" s="68"/>
      <c r="H23" s="72" t="e">
        <f t="shared" si="0"/>
        <v>#DIV/0!</v>
      </c>
    </row>
    <row r="24" spans="1:8" ht="21" customHeight="1">
      <c r="A24" s="198">
        <v>20</v>
      </c>
      <c r="B24" s="19"/>
      <c r="C24" s="19"/>
      <c r="D24" s="19"/>
      <c r="E24" s="19"/>
      <c r="F24" s="71" t="e">
        <f>E24/G3</f>
        <v>#DIV/0!</v>
      </c>
      <c r="G24" s="68"/>
      <c r="H24" s="72" t="e">
        <f t="shared" si="0"/>
        <v>#DIV/0!</v>
      </c>
    </row>
    <row r="25" spans="1:8" ht="21" customHeight="1">
      <c r="A25" s="198">
        <v>21</v>
      </c>
      <c r="B25" s="19"/>
      <c r="C25" s="19"/>
      <c r="D25" s="19"/>
      <c r="E25" s="19"/>
      <c r="F25" s="71" t="e">
        <f>E25/G3</f>
        <v>#DIV/0!</v>
      </c>
      <c r="G25" s="68"/>
      <c r="H25" s="72" t="e">
        <f t="shared" si="0"/>
        <v>#DIV/0!</v>
      </c>
    </row>
    <row r="26" spans="1:8" ht="21" customHeight="1">
      <c r="A26" s="198">
        <v>22</v>
      </c>
      <c r="B26" s="19"/>
      <c r="C26" s="19"/>
      <c r="D26" s="19"/>
      <c r="E26" s="19"/>
      <c r="F26" s="71" t="e">
        <f>E26/G3</f>
        <v>#DIV/0!</v>
      </c>
      <c r="G26" s="68"/>
      <c r="H26" s="72" t="e">
        <f t="shared" si="0"/>
        <v>#DIV/0!</v>
      </c>
    </row>
    <row r="27" spans="1:8" ht="21" customHeight="1">
      <c r="A27" s="198">
        <v>23</v>
      </c>
      <c r="B27" s="19"/>
      <c r="C27" s="19"/>
      <c r="D27" s="19"/>
      <c r="E27" s="19"/>
      <c r="F27" s="71" t="e">
        <f>E27/G3</f>
        <v>#DIV/0!</v>
      </c>
      <c r="G27" s="68"/>
      <c r="H27" s="72" t="e">
        <f t="shared" si="0"/>
        <v>#DIV/0!</v>
      </c>
    </row>
    <row r="28" spans="1:8" ht="21" customHeight="1">
      <c r="A28" s="198">
        <v>24</v>
      </c>
      <c r="B28" s="19"/>
      <c r="C28" s="19"/>
      <c r="D28" s="19"/>
      <c r="E28" s="19"/>
      <c r="F28" s="71" t="e">
        <f>E28/G3</f>
        <v>#DIV/0!</v>
      </c>
      <c r="G28" s="68"/>
      <c r="H28" s="72" t="e">
        <f t="shared" si="0"/>
        <v>#DIV/0!</v>
      </c>
    </row>
    <row r="29" spans="1:8" ht="21" customHeight="1">
      <c r="A29" s="198">
        <v>25</v>
      </c>
      <c r="B29" s="19"/>
      <c r="C29" s="19"/>
      <c r="D29" s="19"/>
      <c r="E29" s="19"/>
      <c r="F29" s="71" t="e">
        <f>E29/G3</f>
        <v>#DIV/0!</v>
      </c>
      <c r="G29" s="68"/>
      <c r="H29" s="72" t="e">
        <f t="shared" si="0"/>
        <v>#DIV/0!</v>
      </c>
    </row>
    <row r="30" spans="1:8" ht="21" customHeight="1" thickBot="1">
      <c r="A30" s="231" t="s">
        <v>4</v>
      </c>
      <c r="B30" s="232"/>
      <c r="C30" s="232"/>
      <c r="D30" s="233"/>
      <c r="E30" s="21">
        <f>SUM(E5:E29)</f>
        <v>0</v>
      </c>
      <c r="F30" s="74" t="e">
        <f>E30/G3</f>
        <v>#DIV/0!</v>
      </c>
      <c r="G30" s="75">
        <f>SUM(G5:G29)</f>
        <v>0</v>
      </c>
      <c r="H30" s="72" t="e">
        <f>SUM(H5:H29)</f>
        <v>#DIV/0!</v>
      </c>
    </row>
    <row r="32" spans="1:8">
      <c r="A32" s="218" t="s">
        <v>7</v>
      </c>
      <c r="B32" s="218"/>
      <c r="C32" s="234" t="s">
        <v>8</v>
      </c>
      <c r="D32" s="234"/>
      <c r="E32" s="234" t="s">
        <v>104</v>
      </c>
      <c r="F32" s="234"/>
      <c r="G32" s="234"/>
      <c r="H32" s="65"/>
    </row>
    <row r="43" spans="1:8" ht="17.25" customHeight="1">
      <c r="A43" s="217" t="s">
        <v>106</v>
      </c>
      <c r="B43" s="235"/>
      <c r="C43" s="235"/>
      <c r="D43" s="235"/>
      <c r="E43" s="235"/>
      <c r="F43" s="65"/>
      <c r="G43" s="65"/>
      <c r="H43" s="65"/>
    </row>
    <row r="44" spans="1:8" ht="17.25" customHeight="1">
      <c r="A44" s="217" t="s">
        <v>107</v>
      </c>
      <c r="B44" s="235"/>
      <c r="C44" s="235"/>
      <c r="D44" s="235"/>
      <c r="E44" s="235"/>
      <c r="F44" s="65"/>
      <c r="G44" s="65"/>
      <c r="H44" s="65"/>
    </row>
    <row r="45" spans="1:8" ht="17.25" customHeight="1" thickBot="1">
      <c r="A45" s="230" t="s">
        <v>157</v>
      </c>
      <c r="B45" s="230"/>
      <c r="C45" s="230"/>
      <c r="D45" s="230"/>
      <c r="E45" s="230"/>
      <c r="F45" s="66" t="s">
        <v>119</v>
      </c>
      <c r="G45" s="104" t="e">
        <f>تسعير!E34</f>
        <v>#DIV/0!</v>
      </c>
      <c r="H45" s="65"/>
    </row>
    <row r="46" spans="1:8" ht="21" customHeight="1">
      <c r="A46" s="63" t="s">
        <v>0</v>
      </c>
      <c r="B46" s="64" t="s">
        <v>101</v>
      </c>
      <c r="C46" s="64" t="s">
        <v>100</v>
      </c>
      <c r="D46" s="64" t="s">
        <v>103</v>
      </c>
      <c r="E46" s="64" t="s">
        <v>17</v>
      </c>
      <c r="F46" s="67" t="s">
        <v>109</v>
      </c>
      <c r="G46" s="67" t="s">
        <v>18</v>
      </c>
      <c r="H46" s="69" t="s">
        <v>102</v>
      </c>
    </row>
    <row r="47" spans="1:8" ht="21" customHeight="1">
      <c r="A47" s="62">
        <v>1</v>
      </c>
      <c r="B47" s="19" t="s">
        <v>120</v>
      </c>
      <c r="C47" s="4"/>
      <c r="D47" s="19"/>
      <c r="E47" s="19"/>
      <c r="F47" s="71" t="e">
        <f>E47/G3</f>
        <v>#DIV/0!</v>
      </c>
      <c r="G47" s="132"/>
      <c r="H47" s="72" t="e">
        <f>G47+F47</f>
        <v>#DIV/0!</v>
      </c>
    </row>
    <row r="48" spans="1:8" ht="21" customHeight="1">
      <c r="A48" s="62">
        <v>2</v>
      </c>
      <c r="B48" s="19"/>
      <c r="C48" s="19"/>
      <c r="D48" s="19"/>
      <c r="E48" s="19"/>
      <c r="F48" s="71" t="e">
        <f>E48/G3</f>
        <v>#DIV/0!</v>
      </c>
      <c r="G48" s="132"/>
      <c r="H48" s="72" t="e">
        <f t="shared" ref="H48:H71" si="1">G48+F48</f>
        <v>#DIV/0!</v>
      </c>
    </row>
    <row r="49" spans="1:8" ht="21" customHeight="1">
      <c r="A49" s="62">
        <v>3</v>
      </c>
      <c r="B49" s="19"/>
      <c r="C49" s="19"/>
      <c r="D49" s="19"/>
      <c r="E49" s="19"/>
      <c r="F49" s="71" t="e">
        <f>E49/G3</f>
        <v>#DIV/0!</v>
      </c>
      <c r="G49" s="132"/>
      <c r="H49" s="72" t="e">
        <f t="shared" si="1"/>
        <v>#DIV/0!</v>
      </c>
    </row>
    <row r="50" spans="1:8" ht="21" customHeight="1">
      <c r="A50" s="62">
        <v>4</v>
      </c>
      <c r="B50" s="19"/>
      <c r="C50" s="19"/>
      <c r="D50" s="19"/>
      <c r="E50" s="19"/>
      <c r="F50" s="71" t="e">
        <f>E50/G3</f>
        <v>#DIV/0!</v>
      </c>
      <c r="G50" s="132"/>
      <c r="H50" s="72" t="e">
        <f t="shared" si="1"/>
        <v>#DIV/0!</v>
      </c>
    </row>
    <row r="51" spans="1:8" ht="21" customHeight="1">
      <c r="A51" s="62">
        <v>5</v>
      </c>
      <c r="B51" s="19"/>
      <c r="C51" s="19"/>
      <c r="D51" s="19"/>
      <c r="E51" s="19"/>
      <c r="F51" s="71" t="e">
        <f>E51/G3</f>
        <v>#DIV/0!</v>
      </c>
      <c r="G51" s="68"/>
      <c r="H51" s="72" t="e">
        <f t="shared" si="1"/>
        <v>#DIV/0!</v>
      </c>
    </row>
    <row r="52" spans="1:8" ht="21" customHeight="1">
      <c r="A52" s="62">
        <v>6</v>
      </c>
      <c r="B52" s="19"/>
      <c r="C52" s="19"/>
      <c r="D52" s="19"/>
      <c r="E52" s="19"/>
      <c r="F52" s="71" t="e">
        <f>E52/G3</f>
        <v>#DIV/0!</v>
      </c>
      <c r="G52" s="68"/>
      <c r="H52" s="72" t="e">
        <f t="shared" si="1"/>
        <v>#DIV/0!</v>
      </c>
    </row>
    <row r="53" spans="1:8" ht="21" customHeight="1">
      <c r="A53" s="62">
        <v>7</v>
      </c>
      <c r="B53" s="19"/>
      <c r="C53" s="19"/>
      <c r="D53" s="19"/>
      <c r="E53" s="19"/>
      <c r="F53" s="71" t="e">
        <f>E53/G3</f>
        <v>#DIV/0!</v>
      </c>
      <c r="G53" s="68"/>
      <c r="H53" s="72" t="e">
        <f t="shared" si="1"/>
        <v>#DIV/0!</v>
      </c>
    </row>
    <row r="54" spans="1:8" ht="21" customHeight="1">
      <c r="A54" s="62">
        <v>8</v>
      </c>
      <c r="B54" s="19"/>
      <c r="C54" s="19"/>
      <c r="D54" s="19"/>
      <c r="E54" s="19"/>
      <c r="F54" s="71" t="e">
        <f>E54/G3</f>
        <v>#DIV/0!</v>
      </c>
      <c r="G54" s="68"/>
      <c r="H54" s="72" t="e">
        <f t="shared" si="1"/>
        <v>#DIV/0!</v>
      </c>
    </row>
    <row r="55" spans="1:8" ht="21" customHeight="1">
      <c r="A55" s="62">
        <v>9</v>
      </c>
      <c r="B55" s="19"/>
      <c r="C55" s="19"/>
      <c r="D55" s="19"/>
      <c r="E55" s="19"/>
      <c r="F55" s="71" t="e">
        <f>E55/G3</f>
        <v>#DIV/0!</v>
      </c>
      <c r="G55" s="68"/>
      <c r="H55" s="72" t="e">
        <f t="shared" si="1"/>
        <v>#DIV/0!</v>
      </c>
    </row>
    <row r="56" spans="1:8" ht="21" customHeight="1">
      <c r="A56" s="62">
        <v>10</v>
      </c>
      <c r="B56" s="19"/>
      <c r="C56" s="19"/>
      <c r="D56" s="19"/>
      <c r="E56" s="19"/>
      <c r="F56" s="71" t="e">
        <f>E56/G3</f>
        <v>#DIV/0!</v>
      </c>
      <c r="G56" s="68"/>
      <c r="H56" s="72" t="e">
        <f t="shared" si="1"/>
        <v>#DIV/0!</v>
      </c>
    </row>
    <row r="57" spans="1:8" ht="21" customHeight="1">
      <c r="A57" s="62">
        <v>11</v>
      </c>
      <c r="B57" s="19"/>
      <c r="C57" s="19"/>
      <c r="D57" s="19"/>
      <c r="E57" s="19"/>
      <c r="F57" s="71" t="e">
        <f>E57/G3</f>
        <v>#DIV/0!</v>
      </c>
      <c r="G57" s="68"/>
      <c r="H57" s="72" t="e">
        <f t="shared" si="1"/>
        <v>#DIV/0!</v>
      </c>
    </row>
    <row r="58" spans="1:8" ht="21" customHeight="1">
      <c r="A58" s="62">
        <v>12</v>
      </c>
      <c r="B58" s="19"/>
      <c r="C58" s="19"/>
      <c r="D58" s="19"/>
      <c r="E58" s="19"/>
      <c r="F58" s="71" t="e">
        <f>E58/G3</f>
        <v>#DIV/0!</v>
      </c>
      <c r="G58" s="68"/>
      <c r="H58" s="72" t="e">
        <f t="shared" si="1"/>
        <v>#DIV/0!</v>
      </c>
    </row>
    <row r="59" spans="1:8" ht="21" customHeight="1">
      <c r="A59" s="62">
        <v>13</v>
      </c>
      <c r="B59" s="19"/>
      <c r="C59" s="19"/>
      <c r="D59" s="19"/>
      <c r="E59" s="19"/>
      <c r="F59" s="71" t="e">
        <f>E59/G3</f>
        <v>#DIV/0!</v>
      </c>
      <c r="G59" s="68"/>
      <c r="H59" s="72" t="e">
        <f t="shared" si="1"/>
        <v>#DIV/0!</v>
      </c>
    </row>
    <row r="60" spans="1:8" ht="21" customHeight="1">
      <c r="A60" s="62">
        <v>14</v>
      </c>
      <c r="B60" s="19"/>
      <c r="C60" s="19"/>
      <c r="D60" s="19"/>
      <c r="E60" s="19"/>
      <c r="F60" s="71" t="e">
        <f>E60/G3</f>
        <v>#DIV/0!</v>
      </c>
      <c r="G60" s="68"/>
      <c r="H60" s="72" t="e">
        <f t="shared" si="1"/>
        <v>#DIV/0!</v>
      </c>
    </row>
    <row r="61" spans="1:8" ht="21" customHeight="1">
      <c r="A61" s="62">
        <v>15</v>
      </c>
      <c r="B61" s="19"/>
      <c r="C61" s="19"/>
      <c r="D61" s="19"/>
      <c r="E61" s="19"/>
      <c r="F61" s="71" t="e">
        <f>E61/G3</f>
        <v>#DIV/0!</v>
      </c>
      <c r="G61" s="68"/>
      <c r="H61" s="72" t="e">
        <f t="shared" si="1"/>
        <v>#DIV/0!</v>
      </c>
    </row>
    <row r="62" spans="1:8" ht="21" customHeight="1">
      <c r="A62" s="62">
        <v>16</v>
      </c>
      <c r="B62" s="19"/>
      <c r="C62" s="19"/>
      <c r="D62" s="19"/>
      <c r="E62" s="19"/>
      <c r="F62" s="71" t="e">
        <f>E62/G3</f>
        <v>#DIV/0!</v>
      </c>
      <c r="G62" s="68"/>
      <c r="H62" s="72" t="e">
        <f t="shared" si="1"/>
        <v>#DIV/0!</v>
      </c>
    </row>
    <row r="63" spans="1:8" ht="21" customHeight="1">
      <c r="A63" s="62">
        <v>17</v>
      </c>
      <c r="B63" s="19"/>
      <c r="C63" s="19"/>
      <c r="D63" s="19"/>
      <c r="E63" s="19"/>
      <c r="F63" s="71" t="e">
        <f>E63/G3</f>
        <v>#DIV/0!</v>
      </c>
      <c r="G63" s="68"/>
      <c r="H63" s="72" t="e">
        <f t="shared" si="1"/>
        <v>#DIV/0!</v>
      </c>
    </row>
    <row r="64" spans="1:8" ht="21" customHeight="1">
      <c r="A64" s="62">
        <v>18</v>
      </c>
      <c r="B64" s="19"/>
      <c r="C64" s="19"/>
      <c r="D64" s="19"/>
      <c r="E64" s="19"/>
      <c r="F64" s="71" t="e">
        <f>E64/G3</f>
        <v>#DIV/0!</v>
      </c>
      <c r="G64" s="68"/>
      <c r="H64" s="72" t="e">
        <f t="shared" si="1"/>
        <v>#DIV/0!</v>
      </c>
    </row>
    <row r="65" spans="1:8" ht="21" customHeight="1">
      <c r="A65" s="62">
        <v>19</v>
      </c>
      <c r="B65" s="19"/>
      <c r="C65" s="19"/>
      <c r="D65" s="19"/>
      <c r="E65" s="19"/>
      <c r="F65" s="71" t="e">
        <f>E65/G3</f>
        <v>#DIV/0!</v>
      </c>
      <c r="G65" s="68"/>
      <c r="H65" s="72" t="e">
        <f t="shared" si="1"/>
        <v>#DIV/0!</v>
      </c>
    </row>
    <row r="66" spans="1:8" ht="21" customHeight="1">
      <c r="A66" s="62">
        <v>20</v>
      </c>
      <c r="B66" s="19"/>
      <c r="C66" s="19"/>
      <c r="D66" s="19"/>
      <c r="E66" s="19"/>
      <c r="F66" s="71" t="e">
        <f>E66/G3</f>
        <v>#DIV/0!</v>
      </c>
      <c r="G66" s="68"/>
      <c r="H66" s="72" t="e">
        <f t="shared" si="1"/>
        <v>#DIV/0!</v>
      </c>
    </row>
    <row r="67" spans="1:8" ht="21" customHeight="1">
      <c r="A67" s="62">
        <v>21</v>
      </c>
      <c r="B67" s="19"/>
      <c r="C67" s="19"/>
      <c r="D67" s="19"/>
      <c r="E67" s="19"/>
      <c r="F67" s="71" t="e">
        <f>E67/G3</f>
        <v>#DIV/0!</v>
      </c>
      <c r="G67" s="68"/>
      <c r="H67" s="72" t="e">
        <f t="shared" si="1"/>
        <v>#DIV/0!</v>
      </c>
    </row>
    <row r="68" spans="1:8" ht="21" customHeight="1">
      <c r="A68" s="62">
        <v>22</v>
      </c>
      <c r="B68" s="19"/>
      <c r="C68" s="19"/>
      <c r="D68" s="19"/>
      <c r="E68" s="19"/>
      <c r="F68" s="71" t="e">
        <f>E68/G3</f>
        <v>#DIV/0!</v>
      </c>
      <c r="G68" s="68"/>
      <c r="H68" s="72" t="e">
        <f t="shared" si="1"/>
        <v>#DIV/0!</v>
      </c>
    </row>
    <row r="69" spans="1:8" ht="21" customHeight="1">
      <c r="A69" s="62">
        <v>23</v>
      </c>
      <c r="B69" s="19"/>
      <c r="C69" s="19"/>
      <c r="D69" s="19"/>
      <c r="E69" s="19"/>
      <c r="F69" s="71" t="e">
        <f>E69/G3</f>
        <v>#DIV/0!</v>
      </c>
      <c r="G69" s="68"/>
      <c r="H69" s="72" t="e">
        <f t="shared" si="1"/>
        <v>#DIV/0!</v>
      </c>
    </row>
    <row r="70" spans="1:8" ht="21" customHeight="1">
      <c r="A70" s="62">
        <v>24</v>
      </c>
      <c r="B70" s="19"/>
      <c r="C70" s="19"/>
      <c r="D70" s="19"/>
      <c r="E70" s="19"/>
      <c r="F70" s="71" t="e">
        <f>E70/G3</f>
        <v>#DIV/0!</v>
      </c>
      <c r="G70" s="68"/>
      <c r="H70" s="72" t="e">
        <f t="shared" si="1"/>
        <v>#DIV/0!</v>
      </c>
    </row>
    <row r="71" spans="1:8" ht="21" customHeight="1">
      <c r="A71" s="62">
        <v>25</v>
      </c>
      <c r="B71" s="19"/>
      <c r="C71" s="19"/>
      <c r="D71" s="19"/>
      <c r="E71" s="19"/>
      <c r="F71" s="71" t="e">
        <f>E71/G3</f>
        <v>#DIV/0!</v>
      </c>
      <c r="G71" s="68"/>
      <c r="H71" s="72" t="e">
        <f t="shared" si="1"/>
        <v>#DIV/0!</v>
      </c>
    </row>
    <row r="72" spans="1:8" ht="21" customHeight="1" thickBot="1">
      <c r="A72" s="231" t="s">
        <v>4</v>
      </c>
      <c r="B72" s="232"/>
      <c r="C72" s="232"/>
      <c r="D72" s="233"/>
      <c r="E72" s="21">
        <f>SUM(E47:E71)</f>
        <v>0</v>
      </c>
      <c r="F72" s="74" t="e">
        <f>E72/G3</f>
        <v>#DIV/0!</v>
      </c>
      <c r="G72" s="75">
        <f>SUM(G47:G71)</f>
        <v>0</v>
      </c>
      <c r="H72" s="72" t="e">
        <f>SUM(H47:H71)</f>
        <v>#DIV/0!</v>
      </c>
    </row>
    <row r="74" spans="1:8">
      <c r="A74" s="218" t="s">
        <v>7</v>
      </c>
      <c r="B74" s="218"/>
      <c r="C74" s="234" t="s">
        <v>8</v>
      </c>
      <c r="D74" s="234"/>
      <c r="E74" s="234" t="s">
        <v>104</v>
      </c>
      <c r="F74" s="234"/>
      <c r="G74" s="234"/>
      <c r="H74" s="65"/>
    </row>
    <row r="85" spans="1:8" ht="17.25" customHeight="1">
      <c r="A85" s="217" t="s">
        <v>106</v>
      </c>
      <c r="B85" s="235"/>
      <c r="C85" s="235"/>
      <c r="D85" s="235"/>
      <c r="E85" s="235"/>
      <c r="F85" s="65"/>
      <c r="G85" s="65"/>
      <c r="H85" s="65"/>
    </row>
    <row r="86" spans="1:8" ht="17.25" customHeight="1">
      <c r="A86" s="217" t="s">
        <v>107</v>
      </c>
      <c r="B86" s="235"/>
      <c r="C86" s="235"/>
      <c r="D86" s="235"/>
      <c r="E86" s="235"/>
      <c r="F86" s="65"/>
      <c r="G86" s="65"/>
      <c r="H86" s="65"/>
    </row>
    <row r="87" spans="1:8" ht="17.25" customHeight="1" thickBot="1">
      <c r="A87" s="230" t="s">
        <v>149</v>
      </c>
      <c r="B87" s="230"/>
      <c r="C87" s="230"/>
      <c r="D87" s="230"/>
      <c r="E87" s="230"/>
      <c r="F87" s="66" t="s">
        <v>119</v>
      </c>
      <c r="G87" s="104" t="e">
        <f>تسعير!E34</f>
        <v>#DIV/0!</v>
      </c>
      <c r="H87" s="65"/>
    </row>
    <row r="88" spans="1:8" ht="21" customHeight="1">
      <c r="A88" s="63" t="s">
        <v>0</v>
      </c>
      <c r="B88" s="64" t="s">
        <v>101</v>
      </c>
      <c r="C88" s="64" t="s">
        <v>100</v>
      </c>
      <c r="D88" s="64" t="s">
        <v>103</v>
      </c>
      <c r="E88" s="64" t="s">
        <v>17</v>
      </c>
      <c r="F88" s="67" t="s">
        <v>109</v>
      </c>
      <c r="G88" s="67" t="s">
        <v>18</v>
      </c>
      <c r="H88" s="69" t="s">
        <v>102</v>
      </c>
    </row>
    <row r="89" spans="1:8" ht="21" customHeight="1">
      <c r="A89" s="62">
        <v>1</v>
      </c>
      <c r="B89" s="19" t="s">
        <v>120</v>
      </c>
      <c r="C89" s="4"/>
      <c r="D89" s="19"/>
      <c r="E89" s="19"/>
      <c r="F89" s="71" t="e">
        <f>E89/G3</f>
        <v>#DIV/0!</v>
      </c>
      <c r="G89" s="68"/>
      <c r="H89" s="72" t="e">
        <f>G89+F89</f>
        <v>#DIV/0!</v>
      </c>
    </row>
    <row r="90" spans="1:8" ht="21" customHeight="1">
      <c r="A90" s="62">
        <v>2</v>
      </c>
      <c r="B90" s="19"/>
      <c r="C90" s="19"/>
      <c r="D90" s="19"/>
      <c r="E90" s="19"/>
      <c r="F90" s="71" t="e">
        <f>E90/G3</f>
        <v>#DIV/0!</v>
      </c>
      <c r="G90" s="68"/>
      <c r="H90" s="72" t="e">
        <f t="shared" ref="H90:H113" si="2">G90+F90</f>
        <v>#DIV/0!</v>
      </c>
    </row>
    <row r="91" spans="1:8" ht="21" customHeight="1">
      <c r="A91" s="62">
        <v>3</v>
      </c>
      <c r="B91" s="19"/>
      <c r="C91" s="19"/>
      <c r="D91" s="19"/>
      <c r="E91" s="19"/>
      <c r="F91" s="71" t="e">
        <f>E91/G3</f>
        <v>#DIV/0!</v>
      </c>
      <c r="G91" s="68"/>
      <c r="H91" s="72" t="e">
        <f t="shared" si="2"/>
        <v>#DIV/0!</v>
      </c>
    </row>
    <row r="92" spans="1:8" ht="21" customHeight="1">
      <c r="A92" s="62">
        <v>4</v>
      </c>
      <c r="B92" s="19"/>
      <c r="C92" s="19"/>
      <c r="D92" s="19"/>
      <c r="E92" s="19"/>
      <c r="F92" s="71" t="e">
        <f>E92/G3</f>
        <v>#DIV/0!</v>
      </c>
      <c r="G92" s="68"/>
      <c r="H92" s="72" t="e">
        <f t="shared" si="2"/>
        <v>#DIV/0!</v>
      </c>
    </row>
    <row r="93" spans="1:8" ht="21" customHeight="1">
      <c r="A93" s="62">
        <v>5</v>
      </c>
      <c r="B93" s="19"/>
      <c r="C93" s="19"/>
      <c r="D93" s="19"/>
      <c r="E93" s="19"/>
      <c r="F93" s="71" t="e">
        <f>E93/G45</f>
        <v>#DIV/0!</v>
      </c>
      <c r="G93" s="68"/>
      <c r="H93" s="72" t="e">
        <f t="shared" si="2"/>
        <v>#DIV/0!</v>
      </c>
    </row>
    <row r="94" spans="1:8" ht="21" customHeight="1">
      <c r="A94" s="62">
        <v>6</v>
      </c>
      <c r="B94" s="19"/>
      <c r="C94" s="19"/>
      <c r="D94" s="19"/>
      <c r="E94" s="19"/>
      <c r="F94" s="71" t="e">
        <f>E94/G3</f>
        <v>#DIV/0!</v>
      </c>
      <c r="G94" s="68"/>
      <c r="H94" s="72" t="e">
        <f t="shared" si="2"/>
        <v>#DIV/0!</v>
      </c>
    </row>
    <row r="95" spans="1:8" ht="21" customHeight="1">
      <c r="A95" s="62">
        <v>7</v>
      </c>
      <c r="B95" s="19"/>
      <c r="C95" s="19"/>
      <c r="D95" s="19"/>
      <c r="E95" s="19"/>
      <c r="F95" s="71" t="e">
        <f>E95/G3</f>
        <v>#DIV/0!</v>
      </c>
      <c r="G95" s="68"/>
      <c r="H95" s="72" t="e">
        <f t="shared" si="2"/>
        <v>#DIV/0!</v>
      </c>
    </row>
    <row r="96" spans="1:8" ht="21" customHeight="1">
      <c r="A96" s="62">
        <v>8</v>
      </c>
      <c r="B96" s="19"/>
      <c r="C96" s="19"/>
      <c r="D96" s="19"/>
      <c r="E96" s="19"/>
      <c r="F96" s="71" t="e">
        <f>E96/G3</f>
        <v>#DIV/0!</v>
      </c>
      <c r="G96" s="68"/>
      <c r="H96" s="72" t="e">
        <f t="shared" si="2"/>
        <v>#DIV/0!</v>
      </c>
    </row>
    <row r="97" spans="1:8" ht="21" customHeight="1">
      <c r="A97" s="62">
        <v>9</v>
      </c>
      <c r="B97" s="19"/>
      <c r="C97" s="19"/>
      <c r="D97" s="19"/>
      <c r="E97" s="19"/>
      <c r="F97" s="71" t="e">
        <f>E97/G3</f>
        <v>#DIV/0!</v>
      </c>
      <c r="G97" s="68"/>
      <c r="H97" s="72" t="e">
        <f t="shared" si="2"/>
        <v>#DIV/0!</v>
      </c>
    </row>
    <row r="98" spans="1:8" ht="21" customHeight="1">
      <c r="A98" s="62">
        <v>10</v>
      </c>
      <c r="B98" s="19"/>
      <c r="C98" s="19"/>
      <c r="D98" s="19"/>
      <c r="E98" s="19"/>
      <c r="F98" s="71" t="e">
        <f>E98/G3</f>
        <v>#DIV/0!</v>
      </c>
      <c r="G98" s="68"/>
      <c r="H98" s="72" t="e">
        <f t="shared" si="2"/>
        <v>#DIV/0!</v>
      </c>
    </row>
    <row r="99" spans="1:8" ht="21" customHeight="1">
      <c r="A99" s="62">
        <v>11</v>
      </c>
      <c r="B99" s="19"/>
      <c r="C99" s="19"/>
      <c r="D99" s="19"/>
      <c r="E99" s="19"/>
      <c r="F99" s="71" t="e">
        <f>E99/G3</f>
        <v>#DIV/0!</v>
      </c>
      <c r="G99" s="68"/>
      <c r="H99" s="72" t="e">
        <f t="shared" si="2"/>
        <v>#DIV/0!</v>
      </c>
    </row>
    <row r="100" spans="1:8" ht="21" customHeight="1">
      <c r="A100" s="62">
        <v>12</v>
      </c>
      <c r="B100" s="19"/>
      <c r="C100" s="19"/>
      <c r="D100" s="19"/>
      <c r="E100" s="19"/>
      <c r="F100" s="71" t="e">
        <f>E100/G3</f>
        <v>#DIV/0!</v>
      </c>
      <c r="G100" s="68"/>
      <c r="H100" s="72" t="e">
        <f t="shared" si="2"/>
        <v>#DIV/0!</v>
      </c>
    </row>
    <row r="101" spans="1:8" ht="21" customHeight="1">
      <c r="A101" s="62">
        <v>13</v>
      </c>
      <c r="B101" s="19"/>
      <c r="C101" s="19"/>
      <c r="D101" s="19"/>
      <c r="E101" s="19"/>
      <c r="F101" s="71" t="e">
        <f>E101/G3</f>
        <v>#DIV/0!</v>
      </c>
      <c r="G101" s="68"/>
      <c r="H101" s="72" t="e">
        <f t="shared" si="2"/>
        <v>#DIV/0!</v>
      </c>
    </row>
    <row r="102" spans="1:8" ht="21" customHeight="1">
      <c r="A102" s="62">
        <v>14</v>
      </c>
      <c r="B102" s="19"/>
      <c r="C102" s="19"/>
      <c r="D102" s="19"/>
      <c r="E102" s="19"/>
      <c r="F102" s="71" t="e">
        <f>E102/G3</f>
        <v>#DIV/0!</v>
      </c>
      <c r="G102" s="68"/>
      <c r="H102" s="72" t="e">
        <f t="shared" si="2"/>
        <v>#DIV/0!</v>
      </c>
    </row>
    <row r="103" spans="1:8" ht="21" customHeight="1">
      <c r="A103" s="62">
        <v>15</v>
      </c>
      <c r="B103" s="19"/>
      <c r="C103" s="19"/>
      <c r="D103" s="19"/>
      <c r="E103" s="19"/>
      <c r="F103" s="71" t="e">
        <f>E103/G3</f>
        <v>#DIV/0!</v>
      </c>
      <c r="G103" s="68"/>
      <c r="H103" s="72" t="e">
        <f t="shared" si="2"/>
        <v>#DIV/0!</v>
      </c>
    </row>
    <row r="104" spans="1:8" ht="21" customHeight="1">
      <c r="A104" s="62">
        <v>16</v>
      </c>
      <c r="B104" s="19"/>
      <c r="C104" s="19"/>
      <c r="D104" s="19"/>
      <c r="E104" s="19"/>
      <c r="F104" s="71" t="e">
        <f>E104/G3</f>
        <v>#DIV/0!</v>
      </c>
      <c r="G104" s="68"/>
      <c r="H104" s="72" t="e">
        <f t="shared" si="2"/>
        <v>#DIV/0!</v>
      </c>
    </row>
    <row r="105" spans="1:8" ht="21" customHeight="1">
      <c r="A105" s="62">
        <v>17</v>
      </c>
      <c r="B105" s="19"/>
      <c r="C105" s="19"/>
      <c r="D105" s="19"/>
      <c r="E105" s="19"/>
      <c r="F105" s="71" t="e">
        <f>E105/G3</f>
        <v>#DIV/0!</v>
      </c>
      <c r="G105" s="68"/>
      <c r="H105" s="72" t="e">
        <f t="shared" si="2"/>
        <v>#DIV/0!</v>
      </c>
    </row>
    <row r="106" spans="1:8" ht="21" customHeight="1">
      <c r="A106" s="62">
        <v>18</v>
      </c>
      <c r="B106" s="19"/>
      <c r="C106" s="19"/>
      <c r="D106" s="19"/>
      <c r="E106" s="19"/>
      <c r="F106" s="71" t="e">
        <f>E106/G3</f>
        <v>#DIV/0!</v>
      </c>
      <c r="G106" s="68"/>
      <c r="H106" s="72" t="e">
        <f t="shared" si="2"/>
        <v>#DIV/0!</v>
      </c>
    </row>
    <row r="107" spans="1:8" ht="21" customHeight="1">
      <c r="A107" s="62">
        <v>19</v>
      </c>
      <c r="B107" s="19"/>
      <c r="C107" s="19"/>
      <c r="D107" s="19"/>
      <c r="E107" s="19"/>
      <c r="F107" s="71" t="e">
        <f>E107/G3</f>
        <v>#DIV/0!</v>
      </c>
      <c r="G107" s="68"/>
      <c r="H107" s="72" t="e">
        <f t="shared" si="2"/>
        <v>#DIV/0!</v>
      </c>
    </row>
    <row r="108" spans="1:8" ht="21" customHeight="1">
      <c r="A108" s="62">
        <v>20</v>
      </c>
      <c r="B108" s="19"/>
      <c r="C108" s="19"/>
      <c r="D108" s="19"/>
      <c r="E108" s="19"/>
      <c r="F108" s="71" t="e">
        <f>E108/G3</f>
        <v>#DIV/0!</v>
      </c>
      <c r="G108" s="68"/>
      <c r="H108" s="72" t="e">
        <f t="shared" si="2"/>
        <v>#DIV/0!</v>
      </c>
    </row>
    <row r="109" spans="1:8" ht="21" customHeight="1">
      <c r="A109" s="62">
        <v>21</v>
      </c>
      <c r="B109" s="19"/>
      <c r="C109" s="19"/>
      <c r="D109" s="19"/>
      <c r="E109" s="19"/>
      <c r="F109" s="71" t="e">
        <f>E109/G3</f>
        <v>#DIV/0!</v>
      </c>
      <c r="G109" s="68"/>
      <c r="H109" s="72" t="e">
        <f t="shared" si="2"/>
        <v>#DIV/0!</v>
      </c>
    </row>
    <row r="110" spans="1:8" ht="21" customHeight="1">
      <c r="A110" s="62">
        <v>22</v>
      </c>
      <c r="B110" s="19"/>
      <c r="C110" s="19"/>
      <c r="D110" s="19"/>
      <c r="E110" s="19"/>
      <c r="F110" s="71" t="e">
        <f>E110/G3</f>
        <v>#DIV/0!</v>
      </c>
      <c r="G110" s="68"/>
      <c r="H110" s="72" t="e">
        <f t="shared" si="2"/>
        <v>#DIV/0!</v>
      </c>
    </row>
    <row r="111" spans="1:8" ht="21" customHeight="1">
      <c r="A111" s="62">
        <v>23</v>
      </c>
      <c r="B111" s="19"/>
      <c r="C111" s="19"/>
      <c r="D111" s="19"/>
      <c r="E111" s="19"/>
      <c r="F111" s="71" t="e">
        <f>E111/G3</f>
        <v>#DIV/0!</v>
      </c>
      <c r="G111" s="68"/>
      <c r="H111" s="72" t="e">
        <f t="shared" si="2"/>
        <v>#DIV/0!</v>
      </c>
    </row>
    <row r="112" spans="1:8" ht="21" customHeight="1">
      <c r="A112" s="62">
        <v>24</v>
      </c>
      <c r="B112" s="19"/>
      <c r="C112" s="19"/>
      <c r="D112" s="19"/>
      <c r="E112" s="19"/>
      <c r="F112" s="71" t="e">
        <f>E112/G3</f>
        <v>#DIV/0!</v>
      </c>
      <c r="G112" s="68"/>
      <c r="H112" s="72" t="e">
        <f t="shared" si="2"/>
        <v>#DIV/0!</v>
      </c>
    </row>
    <row r="113" spans="1:8" ht="21" customHeight="1">
      <c r="A113" s="62">
        <v>25</v>
      </c>
      <c r="B113" s="19"/>
      <c r="C113" s="19"/>
      <c r="D113" s="19"/>
      <c r="E113" s="19"/>
      <c r="F113" s="71" t="e">
        <f>E113/G3</f>
        <v>#DIV/0!</v>
      </c>
      <c r="G113" s="68"/>
      <c r="H113" s="72" t="e">
        <f t="shared" si="2"/>
        <v>#DIV/0!</v>
      </c>
    </row>
    <row r="114" spans="1:8" ht="21" customHeight="1" thickBot="1">
      <c r="A114" s="231" t="s">
        <v>4</v>
      </c>
      <c r="B114" s="232"/>
      <c r="C114" s="232"/>
      <c r="D114" s="233"/>
      <c r="E114" s="21">
        <f>SUM(E89:E113)</f>
        <v>0</v>
      </c>
      <c r="F114" s="74" t="e">
        <f>E114/G3</f>
        <v>#DIV/0!</v>
      </c>
      <c r="G114" s="75">
        <f>SUM(G89:G113)</f>
        <v>0</v>
      </c>
      <c r="H114" s="72" t="e">
        <f>SUM(H89:H113)</f>
        <v>#DIV/0!</v>
      </c>
    </row>
    <row r="116" spans="1:8">
      <c r="A116" s="218" t="s">
        <v>7</v>
      </c>
      <c r="B116" s="218"/>
      <c r="C116" s="234" t="s">
        <v>8</v>
      </c>
      <c r="D116" s="234"/>
      <c r="E116" s="234" t="s">
        <v>104</v>
      </c>
      <c r="F116" s="234"/>
      <c r="G116" s="234"/>
      <c r="H116" s="65"/>
    </row>
    <row r="127" spans="1:8" ht="17.25" customHeight="1">
      <c r="A127" s="217" t="s">
        <v>106</v>
      </c>
      <c r="B127" s="235"/>
      <c r="C127" s="235"/>
      <c r="D127" s="235"/>
      <c r="E127" s="235"/>
      <c r="F127" s="65"/>
      <c r="G127" s="65"/>
      <c r="H127" s="65"/>
    </row>
    <row r="128" spans="1:8" ht="17.25" customHeight="1">
      <c r="A128" s="217" t="s">
        <v>107</v>
      </c>
      <c r="B128" s="235"/>
      <c r="C128" s="235"/>
      <c r="D128" s="235"/>
      <c r="E128" s="235"/>
      <c r="F128" s="65"/>
      <c r="G128" s="65"/>
      <c r="H128" s="65"/>
    </row>
    <row r="129" spans="1:8" ht="17.25" customHeight="1" thickBot="1">
      <c r="A129" s="230" t="s">
        <v>156</v>
      </c>
      <c r="B129" s="230"/>
      <c r="C129" s="230"/>
      <c r="D129" s="230"/>
      <c r="E129" s="230"/>
      <c r="F129" s="66" t="s">
        <v>119</v>
      </c>
      <c r="G129" s="104" t="e">
        <f>تسعير!E34</f>
        <v>#DIV/0!</v>
      </c>
      <c r="H129" s="65"/>
    </row>
    <row r="130" spans="1:8" ht="21" customHeight="1">
      <c r="A130" s="63" t="s">
        <v>0</v>
      </c>
      <c r="B130" s="64" t="s">
        <v>101</v>
      </c>
      <c r="C130" s="64" t="s">
        <v>100</v>
      </c>
      <c r="D130" s="64" t="s">
        <v>103</v>
      </c>
      <c r="E130" s="64" t="s">
        <v>17</v>
      </c>
      <c r="F130" s="67" t="s">
        <v>109</v>
      </c>
      <c r="G130" s="67" t="s">
        <v>18</v>
      </c>
      <c r="H130" s="69" t="s">
        <v>102</v>
      </c>
    </row>
    <row r="131" spans="1:8" ht="21" customHeight="1">
      <c r="A131" s="62">
        <v>1</v>
      </c>
      <c r="B131" s="19" t="s">
        <v>120</v>
      </c>
      <c r="C131" s="4"/>
      <c r="D131" s="19"/>
      <c r="E131" s="19"/>
      <c r="F131" s="71" t="e">
        <f>E131/G3</f>
        <v>#DIV/0!</v>
      </c>
      <c r="G131" s="68"/>
      <c r="H131" s="72" t="e">
        <f>G131+F131</f>
        <v>#DIV/0!</v>
      </c>
    </row>
    <row r="132" spans="1:8" ht="21" customHeight="1">
      <c r="A132" s="62">
        <v>2</v>
      </c>
      <c r="B132" s="19"/>
      <c r="C132" s="19"/>
      <c r="D132" s="19"/>
      <c r="E132" s="19"/>
      <c r="F132" s="71" t="e">
        <f>E132/G3</f>
        <v>#DIV/0!</v>
      </c>
      <c r="G132" s="68"/>
      <c r="H132" s="72" t="e">
        <f t="shared" ref="H132:H155" si="3">G132+F132</f>
        <v>#DIV/0!</v>
      </c>
    </row>
    <row r="133" spans="1:8" ht="21" customHeight="1">
      <c r="A133" s="62">
        <v>3</v>
      </c>
      <c r="B133" s="19"/>
      <c r="C133" s="19"/>
      <c r="D133" s="19"/>
      <c r="E133" s="19"/>
      <c r="F133" s="71" t="e">
        <f>E133/G3</f>
        <v>#DIV/0!</v>
      </c>
      <c r="G133" s="68"/>
      <c r="H133" s="72" t="e">
        <f t="shared" si="3"/>
        <v>#DIV/0!</v>
      </c>
    </row>
    <row r="134" spans="1:8" ht="21" customHeight="1">
      <c r="A134" s="62">
        <v>4</v>
      </c>
      <c r="B134" s="19"/>
      <c r="C134" s="19"/>
      <c r="D134" s="19"/>
      <c r="E134" s="19"/>
      <c r="F134" s="71" t="e">
        <f>E134/G3</f>
        <v>#DIV/0!</v>
      </c>
      <c r="G134" s="68"/>
      <c r="H134" s="72" t="e">
        <f t="shared" si="3"/>
        <v>#DIV/0!</v>
      </c>
    </row>
    <row r="135" spans="1:8" ht="21" customHeight="1">
      <c r="A135" s="62">
        <v>5</v>
      </c>
      <c r="B135" s="19"/>
      <c r="C135" s="19"/>
      <c r="D135" s="19"/>
      <c r="E135" s="19"/>
      <c r="F135" s="71" t="e">
        <f>E135/G3</f>
        <v>#DIV/0!</v>
      </c>
      <c r="G135" s="68"/>
      <c r="H135" s="72" t="e">
        <f t="shared" si="3"/>
        <v>#DIV/0!</v>
      </c>
    </row>
    <row r="136" spans="1:8" ht="21" customHeight="1">
      <c r="A136" s="62">
        <v>6</v>
      </c>
      <c r="B136" s="19"/>
      <c r="C136" s="19"/>
      <c r="D136" s="19"/>
      <c r="E136" s="19"/>
      <c r="F136" s="71" t="e">
        <f>E136/G3</f>
        <v>#DIV/0!</v>
      </c>
      <c r="G136" s="68"/>
      <c r="H136" s="72" t="e">
        <f t="shared" si="3"/>
        <v>#DIV/0!</v>
      </c>
    </row>
    <row r="137" spans="1:8" ht="21" customHeight="1">
      <c r="A137" s="62">
        <v>7</v>
      </c>
      <c r="B137" s="19"/>
      <c r="C137" s="19"/>
      <c r="D137" s="19"/>
      <c r="E137" s="19"/>
      <c r="F137" s="71" t="e">
        <f>E137/G3</f>
        <v>#DIV/0!</v>
      </c>
      <c r="G137" s="68"/>
      <c r="H137" s="72" t="e">
        <f t="shared" si="3"/>
        <v>#DIV/0!</v>
      </c>
    </row>
    <row r="138" spans="1:8" ht="21" customHeight="1">
      <c r="A138" s="62">
        <v>8</v>
      </c>
      <c r="B138" s="19"/>
      <c r="C138" s="19"/>
      <c r="D138" s="19"/>
      <c r="E138" s="19"/>
      <c r="F138" s="71" t="e">
        <f>E138/G3</f>
        <v>#DIV/0!</v>
      </c>
      <c r="G138" s="68"/>
      <c r="H138" s="72" t="e">
        <f t="shared" si="3"/>
        <v>#DIV/0!</v>
      </c>
    </row>
    <row r="139" spans="1:8" ht="21" customHeight="1">
      <c r="A139" s="62">
        <v>9</v>
      </c>
      <c r="B139" s="19"/>
      <c r="C139" s="19"/>
      <c r="D139" s="19"/>
      <c r="E139" s="19"/>
      <c r="F139" s="71" t="e">
        <f>E139/G3</f>
        <v>#DIV/0!</v>
      </c>
      <c r="G139" s="68"/>
      <c r="H139" s="72" t="e">
        <f t="shared" si="3"/>
        <v>#DIV/0!</v>
      </c>
    </row>
    <row r="140" spans="1:8" ht="21" customHeight="1">
      <c r="A140" s="62">
        <v>10</v>
      </c>
      <c r="B140" s="19"/>
      <c r="C140" s="19"/>
      <c r="D140" s="19"/>
      <c r="E140" s="19"/>
      <c r="F140" s="71" t="e">
        <f>E140/G3</f>
        <v>#DIV/0!</v>
      </c>
      <c r="G140" s="68"/>
      <c r="H140" s="72" t="e">
        <f t="shared" si="3"/>
        <v>#DIV/0!</v>
      </c>
    </row>
    <row r="141" spans="1:8" ht="21" customHeight="1">
      <c r="A141" s="62">
        <v>11</v>
      </c>
      <c r="B141" s="19"/>
      <c r="C141" s="19"/>
      <c r="D141" s="19"/>
      <c r="E141" s="19"/>
      <c r="F141" s="71" t="e">
        <f>E141/G3</f>
        <v>#DIV/0!</v>
      </c>
      <c r="G141" s="68"/>
      <c r="H141" s="72" t="e">
        <f t="shared" si="3"/>
        <v>#DIV/0!</v>
      </c>
    </row>
    <row r="142" spans="1:8" ht="21" customHeight="1">
      <c r="A142" s="62">
        <v>12</v>
      </c>
      <c r="B142" s="19"/>
      <c r="C142" s="19"/>
      <c r="D142" s="19"/>
      <c r="E142" s="19"/>
      <c r="F142" s="71" t="e">
        <f>E142/G3</f>
        <v>#DIV/0!</v>
      </c>
      <c r="G142" s="68"/>
      <c r="H142" s="72" t="e">
        <f t="shared" si="3"/>
        <v>#DIV/0!</v>
      </c>
    </row>
    <row r="143" spans="1:8" ht="21" customHeight="1">
      <c r="A143" s="62">
        <v>13</v>
      </c>
      <c r="B143" s="19"/>
      <c r="C143" s="19"/>
      <c r="D143" s="19"/>
      <c r="E143" s="19"/>
      <c r="F143" s="71" t="e">
        <f>E143/G3</f>
        <v>#DIV/0!</v>
      </c>
      <c r="G143" s="68"/>
      <c r="H143" s="72" t="e">
        <f t="shared" si="3"/>
        <v>#DIV/0!</v>
      </c>
    </row>
    <row r="144" spans="1:8" ht="21" customHeight="1">
      <c r="A144" s="62">
        <v>14</v>
      </c>
      <c r="B144" s="19"/>
      <c r="C144" s="19"/>
      <c r="D144" s="19"/>
      <c r="E144" s="19"/>
      <c r="F144" s="71" t="e">
        <f>E144/G3</f>
        <v>#DIV/0!</v>
      </c>
      <c r="G144" s="68"/>
      <c r="H144" s="72" t="e">
        <f t="shared" si="3"/>
        <v>#DIV/0!</v>
      </c>
    </row>
    <row r="145" spans="1:8" ht="21" customHeight="1">
      <c r="A145" s="62">
        <v>15</v>
      </c>
      <c r="B145" s="19"/>
      <c r="C145" s="19"/>
      <c r="D145" s="19"/>
      <c r="E145" s="19"/>
      <c r="F145" s="71" t="e">
        <f>E145/G3</f>
        <v>#DIV/0!</v>
      </c>
      <c r="G145" s="68"/>
      <c r="H145" s="72" t="e">
        <f t="shared" si="3"/>
        <v>#DIV/0!</v>
      </c>
    </row>
    <row r="146" spans="1:8" ht="21" customHeight="1">
      <c r="A146" s="62">
        <v>16</v>
      </c>
      <c r="B146" s="19"/>
      <c r="C146" s="19"/>
      <c r="D146" s="19"/>
      <c r="E146" s="19"/>
      <c r="F146" s="71" t="e">
        <f>E146/G3</f>
        <v>#DIV/0!</v>
      </c>
      <c r="G146" s="68"/>
      <c r="H146" s="72" t="e">
        <f t="shared" si="3"/>
        <v>#DIV/0!</v>
      </c>
    </row>
    <row r="147" spans="1:8" ht="21" customHeight="1">
      <c r="A147" s="62">
        <v>17</v>
      </c>
      <c r="B147" s="19"/>
      <c r="C147" s="19"/>
      <c r="D147" s="19"/>
      <c r="E147" s="19"/>
      <c r="F147" s="71" t="e">
        <f>E147/G3</f>
        <v>#DIV/0!</v>
      </c>
      <c r="G147" s="68"/>
      <c r="H147" s="72" t="e">
        <f t="shared" si="3"/>
        <v>#DIV/0!</v>
      </c>
    </row>
    <row r="148" spans="1:8" ht="21" customHeight="1">
      <c r="A148" s="62">
        <v>18</v>
      </c>
      <c r="B148" s="19"/>
      <c r="C148" s="19"/>
      <c r="D148" s="19"/>
      <c r="E148" s="19"/>
      <c r="F148" s="71" t="e">
        <f>E148/G3</f>
        <v>#DIV/0!</v>
      </c>
      <c r="G148" s="68"/>
      <c r="H148" s="72" t="e">
        <f t="shared" si="3"/>
        <v>#DIV/0!</v>
      </c>
    </row>
    <row r="149" spans="1:8" ht="21" customHeight="1">
      <c r="A149" s="62">
        <v>19</v>
      </c>
      <c r="B149" s="19"/>
      <c r="C149" s="19"/>
      <c r="D149" s="19"/>
      <c r="E149" s="19"/>
      <c r="F149" s="71" t="e">
        <f>E149/G3</f>
        <v>#DIV/0!</v>
      </c>
      <c r="G149" s="68"/>
      <c r="H149" s="72" t="e">
        <f t="shared" si="3"/>
        <v>#DIV/0!</v>
      </c>
    </row>
    <row r="150" spans="1:8" ht="21" customHeight="1">
      <c r="A150" s="62">
        <v>20</v>
      </c>
      <c r="B150" s="19"/>
      <c r="C150" s="19"/>
      <c r="D150" s="19"/>
      <c r="E150" s="19"/>
      <c r="F150" s="71" t="e">
        <f>E150/G3</f>
        <v>#DIV/0!</v>
      </c>
      <c r="G150" s="68"/>
      <c r="H150" s="72" t="e">
        <f t="shared" si="3"/>
        <v>#DIV/0!</v>
      </c>
    </row>
    <row r="151" spans="1:8" ht="21" customHeight="1">
      <c r="A151" s="62">
        <v>21</v>
      </c>
      <c r="B151" s="19"/>
      <c r="C151" s="19"/>
      <c r="D151" s="19"/>
      <c r="E151" s="19"/>
      <c r="F151" s="71" t="e">
        <f>E151/G3</f>
        <v>#DIV/0!</v>
      </c>
      <c r="G151" s="68"/>
      <c r="H151" s="72" t="e">
        <f t="shared" si="3"/>
        <v>#DIV/0!</v>
      </c>
    </row>
    <row r="152" spans="1:8" ht="21" customHeight="1">
      <c r="A152" s="62">
        <v>22</v>
      </c>
      <c r="B152" s="19"/>
      <c r="C152" s="19"/>
      <c r="D152" s="19"/>
      <c r="E152" s="19"/>
      <c r="F152" s="71" t="e">
        <f>E152/G3</f>
        <v>#DIV/0!</v>
      </c>
      <c r="G152" s="68"/>
      <c r="H152" s="72" t="e">
        <f t="shared" si="3"/>
        <v>#DIV/0!</v>
      </c>
    </row>
    <row r="153" spans="1:8" ht="21" customHeight="1">
      <c r="A153" s="62">
        <v>23</v>
      </c>
      <c r="B153" s="19"/>
      <c r="C153" s="19"/>
      <c r="D153" s="19"/>
      <c r="E153" s="19"/>
      <c r="F153" s="71" t="e">
        <f>E153/G3</f>
        <v>#DIV/0!</v>
      </c>
      <c r="G153" s="68"/>
      <c r="H153" s="72" t="e">
        <f t="shared" si="3"/>
        <v>#DIV/0!</v>
      </c>
    </row>
    <row r="154" spans="1:8" ht="21" customHeight="1">
      <c r="A154" s="62">
        <v>24</v>
      </c>
      <c r="B154" s="19"/>
      <c r="C154" s="19"/>
      <c r="D154" s="19"/>
      <c r="E154" s="19"/>
      <c r="F154" s="71" t="e">
        <f>E154/G3</f>
        <v>#DIV/0!</v>
      </c>
      <c r="G154" s="68"/>
      <c r="H154" s="72" t="e">
        <f t="shared" si="3"/>
        <v>#DIV/0!</v>
      </c>
    </row>
    <row r="155" spans="1:8" ht="21" customHeight="1">
      <c r="A155" s="62">
        <v>25</v>
      </c>
      <c r="B155" s="19"/>
      <c r="C155" s="19"/>
      <c r="D155" s="19"/>
      <c r="E155" s="19"/>
      <c r="F155" s="71" t="e">
        <f>E155/G3</f>
        <v>#DIV/0!</v>
      </c>
      <c r="G155" s="68"/>
      <c r="H155" s="72" t="e">
        <f t="shared" si="3"/>
        <v>#DIV/0!</v>
      </c>
    </row>
    <row r="156" spans="1:8" ht="21" customHeight="1" thickBot="1">
      <c r="A156" s="231" t="s">
        <v>4</v>
      </c>
      <c r="B156" s="232"/>
      <c r="C156" s="232"/>
      <c r="D156" s="233"/>
      <c r="E156" s="21">
        <f>SUM(E131:E155)</f>
        <v>0</v>
      </c>
      <c r="F156" s="74" t="e">
        <f>E156/G3</f>
        <v>#DIV/0!</v>
      </c>
      <c r="G156" s="75">
        <f>SUM(G131:G155)</f>
        <v>0</v>
      </c>
      <c r="H156" s="72" t="e">
        <f>SUM(H131:H155)</f>
        <v>#DIV/0!</v>
      </c>
    </row>
    <row r="158" spans="1:8">
      <c r="A158" s="218" t="s">
        <v>7</v>
      </c>
      <c r="B158" s="218"/>
      <c r="C158" s="234" t="s">
        <v>8</v>
      </c>
      <c r="D158" s="234"/>
      <c r="E158" s="234" t="s">
        <v>104</v>
      </c>
      <c r="F158" s="234"/>
      <c r="G158" s="234"/>
      <c r="H158" s="65"/>
    </row>
    <row r="169" spans="1:8" ht="17.25" customHeight="1">
      <c r="A169" s="217" t="s">
        <v>106</v>
      </c>
      <c r="B169" s="235"/>
      <c r="C169" s="235"/>
      <c r="D169" s="235"/>
      <c r="E169" s="235"/>
      <c r="F169" s="65"/>
      <c r="G169" s="65"/>
      <c r="H169" s="65"/>
    </row>
    <row r="170" spans="1:8" ht="17.25" customHeight="1">
      <c r="A170" s="217" t="s">
        <v>107</v>
      </c>
      <c r="B170" s="235"/>
      <c r="C170" s="235"/>
      <c r="D170" s="235"/>
      <c r="E170" s="235"/>
      <c r="F170" s="65"/>
      <c r="G170" s="65"/>
      <c r="H170" s="65"/>
    </row>
    <row r="171" spans="1:8" ht="17.25" customHeight="1" thickBot="1">
      <c r="A171" s="230" t="s">
        <v>155</v>
      </c>
      <c r="B171" s="230"/>
      <c r="C171" s="230"/>
      <c r="D171" s="230"/>
      <c r="E171" s="230"/>
      <c r="F171" s="66" t="s">
        <v>119</v>
      </c>
      <c r="G171" s="104" t="e">
        <f>تسعير!E34</f>
        <v>#DIV/0!</v>
      </c>
      <c r="H171" s="65"/>
    </row>
    <row r="172" spans="1:8" ht="21" customHeight="1">
      <c r="A172" s="63" t="s">
        <v>0</v>
      </c>
      <c r="B172" s="64" t="s">
        <v>101</v>
      </c>
      <c r="C172" s="64" t="s">
        <v>100</v>
      </c>
      <c r="D172" s="64" t="s">
        <v>103</v>
      </c>
      <c r="E172" s="64" t="s">
        <v>17</v>
      </c>
      <c r="F172" s="67" t="s">
        <v>109</v>
      </c>
      <c r="G172" s="67" t="s">
        <v>18</v>
      </c>
      <c r="H172" s="69" t="s">
        <v>102</v>
      </c>
    </row>
    <row r="173" spans="1:8" ht="21" customHeight="1">
      <c r="A173" s="62">
        <v>1</v>
      </c>
      <c r="B173" s="19" t="s">
        <v>120</v>
      </c>
      <c r="C173" s="4"/>
      <c r="D173" s="19"/>
      <c r="E173" s="19"/>
      <c r="F173" s="71" t="e">
        <f>E173/G3</f>
        <v>#DIV/0!</v>
      </c>
      <c r="G173" s="68"/>
      <c r="H173" s="72" t="e">
        <f>G173+F173</f>
        <v>#DIV/0!</v>
      </c>
    </row>
    <row r="174" spans="1:8" ht="21" customHeight="1">
      <c r="A174" s="62">
        <v>2</v>
      </c>
      <c r="B174" s="19"/>
      <c r="C174" s="19"/>
      <c r="D174" s="19"/>
      <c r="E174" s="19"/>
      <c r="F174" s="71" t="e">
        <f>E174/G3</f>
        <v>#DIV/0!</v>
      </c>
      <c r="G174" s="68"/>
      <c r="H174" s="72" t="e">
        <f t="shared" ref="H174:H197" si="4">G174+F174</f>
        <v>#DIV/0!</v>
      </c>
    </row>
    <row r="175" spans="1:8" ht="21" customHeight="1">
      <c r="A175" s="62">
        <v>3</v>
      </c>
      <c r="B175" s="19"/>
      <c r="C175" s="19"/>
      <c r="D175" s="19"/>
      <c r="E175" s="19"/>
      <c r="F175" s="71" t="e">
        <f>E175/G3</f>
        <v>#DIV/0!</v>
      </c>
      <c r="G175" s="68"/>
      <c r="H175" s="72" t="e">
        <f t="shared" si="4"/>
        <v>#DIV/0!</v>
      </c>
    </row>
    <row r="176" spans="1:8" ht="21" customHeight="1">
      <c r="A176" s="62">
        <v>4</v>
      </c>
      <c r="B176" s="19"/>
      <c r="C176" s="19"/>
      <c r="D176" s="19"/>
      <c r="E176" s="19"/>
      <c r="F176" s="71" t="e">
        <f>E176/G3</f>
        <v>#DIV/0!</v>
      </c>
      <c r="G176" s="68"/>
      <c r="H176" s="72" t="e">
        <f t="shared" si="4"/>
        <v>#DIV/0!</v>
      </c>
    </row>
    <row r="177" spans="1:8" ht="21" customHeight="1">
      <c r="A177" s="62">
        <v>5</v>
      </c>
      <c r="B177" s="19"/>
      <c r="C177" s="19"/>
      <c r="D177" s="19"/>
      <c r="E177" s="19"/>
      <c r="F177" s="71" t="e">
        <f>E177/G3</f>
        <v>#DIV/0!</v>
      </c>
      <c r="G177" s="68"/>
      <c r="H177" s="72" t="e">
        <f t="shared" si="4"/>
        <v>#DIV/0!</v>
      </c>
    </row>
    <row r="178" spans="1:8" ht="21" customHeight="1">
      <c r="A178" s="62">
        <v>6</v>
      </c>
      <c r="B178" s="19"/>
      <c r="C178" s="19"/>
      <c r="D178" s="19"/>
      <c r="E178" s="19"/>
      <c r="F178" s="71" t="e">
        <f>E178/G3</f>
        <v>#DIV/0!</v>
      </c>
      <c r="G178" s="68"/>
      <c r="H178" s="72" t="e">
        <f t="shared" si="4"/>
        <v>#DIV/0!</v>
      </c>
    </row>
    <row r="179" spans="1:8" ht="21" customHeight="1">
      <c r="A179" s="62">
        <v>7</v>
      </c>
      <c r="B179" s="19"/>
      <c r="C179" s="19"/>
      <c r="D179" s="19"/>
      <c r="E179" s="19"/>
      <c r="F179" s="71" t="e">
        <f>E179/G3</f>
        <v>#DIV/0!</v>
      </c>
      <c r="G179" s="68"/>
      <c r="H179" s="72" t="e">
        <f t="shared" si="4"/>
        <v>#DIV/0!</v>
      </c>
    </row>
    <row r="180" spans="1:8" ht="21" customHeight="1">
      <c r="A180" s="62">
        <v>8</v>
      </c>
      <c r="B180" s="19"/>
      <c r="C180" s="19"/>
      <c r="D180" s="19"/>
      <c r="E180" s="19"/>
      <c r="F180" s="71" t="e">
        <f>E180/G3</f>
        <v>#DIV/0!</v>
      </c>
      <c r="G180" s="68"/>
      <c r="H180" s="72" t="e">
        <f t="shared" si="4"/>
        <v>#DIV/0!</v>
      </c>
    </row>
    <row r="181" spans="1:8" ht="21" customHeight="1">
      <c r="A181" s="62">
        <v>9</v>
      </c>
      <c r="B181" s="19"/>
      <c r="C181" s="19"/>
      <c r="D181" s="19"/>
      <c r="E181" s="19"/>
      <c r="F181" s="71" t="e">
        <f>E181/G3</f>
        <v>#DIV/0!</v>
      </c>
      <c r="G181" s="68"/>
      <c r="H181" s="72" t="e">
        <f t="shared" si="4"/>
        <v>#DIV/0!</v>
      </c>
    </row>
    <row r="182" spans="1:8" ht="21" customHeight="1">
      <c r="A182" s="62">
        <v>10</v>
      </c>
      <c r="B182" s="19"/>
      <c r="C182" s="19"/>
      <c r="D182" s="19"/>
      <c r="E182" s="19"/>
      <c r="F182" s="71" t="e">
        <f>E182/G3</f>
        <v>#DIV/0!</v>
      </c>
      <c r="G182" s="68"/>
      <c r="H182" s="72" t="e">
        <f t="shared" si="4"/>
        <v>#DIV/0!</v>
      </c>
    </row>
    <row r="183" spans="1:8" ht="21" customHeight="1">
      <c r="A183" s="62">
        <v>11</v>
      </c>
      <c r="B183" s="19"/>
      <c r="C183" s="19"/>
      <c r="D183" s="19"/>
      <c r="E183" s="19"/>
      <c r="F183" s="71" t="e">
        <f>E183/G3</f>
        <v>#DIV/0!</v>
      </c>
      <c r="G183" s="68"/>
      <c r="H183" s="72" t="e">
        <f t="shared" si="4"/>
        <v>#DIV/0!</v>
      </c>
    </row>
    <row r="184" spans="1:8" ht="21" customHeight="1">
      <c r="A184" s="62">
        <v>12</v>
      </c>
      <c r="B184" s="19"/>
      <c r="C184" s="19"/>
      <c r="D184" s="19"/>
      <c r="E184" s="19"/>
      <c r="F184" s="71" t="e">
        <f>E184/G3</f>
        <v>#DIV/0!</v>
      </c>
      <c r="G184" s="68"/>
      <c r="H184" s="72" t="e">
        <f t="shared" si="4"/>
        <v>#DIV/0!</v>
      </c>
    </row>
    <row r="185" spans="1:8" ht="21" customHeight="1">
      <c r="A185" s="62">
        <v>13</v>
      </c>
      <c r="B185" s="19"/>
      <c r="C185" s="19"/>
      <c r="D185" s="19"/>
      <c r="E185" s="19"/>
      <c r="F185" s="71" t="e">
        <f>E185/G3</f>
        <v>#DIV/0!</v>
      </c>
      <c r="G185" s="68"/>
      <c r="H185" s="72" t="e">
        <f t="shared" si="4"/>
        <v>#DIV/0!</v>
      </c>
    </row>
    <row r="186" spans="1:8" ht="21" customHeight="1">
      <c r="A186" s="62">
        <v>14</v>
      </c>
      <c r="B186" s="19"/>
      <c r="C186" s="19"/>
      <c r="D186" s="19"/>
      <c r="E186" s="19"/>
      <c r="F186" s="71" t="e">
        <f>E186/G3</f>
        <v>#DIV/0!</v>
      </c>
      <c r="G186" s="68"/>
      <c r="H186" s="72" t="e">
        <f t="shared" si="4"/>
        <v>#DIV/0!</v>
      </c>
    </row>
    <row r="187" spans="1:8" ht="21" customHeight="1">
      <c r="A187" s="62">
        <v>15</v>
      </c>
      <c r="B187" s="19"/>
      <c r="C187" s="19"/>
      <c r="D187" s="19"/>
      <c r="E187" s="19"/>
      <c r="F187" s="71" t="e">
        <f>E187/G3</f>
        <v>#DIV/0!</v>
      </c>
      <c r="G187" s="68"/>
      <c r="H187" s="72" t="e">
        <f t="shared" si="4"/>
        <v>#DIV/0!</v>
      </c>
    </row>
    <row r="188" spans="1:8" ht="21" customHeight="1">
      <c r="A188" s="62">
        <v>16</v>
      </c>
      <c r="B188" s="19"/>
      <c r="C188" s="19"/>
      <c r="D188" s="19"/>
      <c r="E188" s="19"/>
      <c r="F188" s="71" t="e">
        <f>E188/G3</f>
        <v>#DIV/0!</v>
      </c>
      <c r="G188" s="68"/>
      <c r="H188" s="72" t="e">
        <f t="shared" si="4"/>
        <v>#DIV/0!</v>
      </c>
    </row>
    <row r="189" spans="1:8" ht="21" customHeight="1">
      <c r="A189" s="62">
        <v>17</v>
      </c>
      <c r="B189" s="19"/>
      <c r="C189" s="19"/>
      <c r="D189" s="19"/>
      <c r="E189" s="19"/>
      <c r="F189" s="71" t="e">
        <f>E189/G3</f>
        <v>#DIV/0!</v>
      </c>
      <c r="G189" s="68"/>
      <c r="H189" s="72" t="e">
        <f t="shared" si="4"/>
        <v>#DIV/0!</v>
      </c>
    </row>
    <row r="190" spans="1:8" ht="21" customHeight="1">
      <c r="A190" s="62">
        <v>18</v>
      </c>
      <c r="B190" s="19"/>
      <c r="C190" s="19"/>
      <c r="D190" s="19"/>
      <c r="E190" s="19"/>
      <c r="F190" s="71" t="e">
        <f>E190/G3</f>
        <v>#DIV/0!</v>
      </c>
      <c r="G190" s="68"/>
      <c r="H190" s="72" t="e">
        <f t="shared" si="4"/>
        <v>#DIV/0!</v>
      </c>
    </row>
    <row r="191" spans="1:8" ht="21" customHeight="1">
      <c r="A191" s="62">
        <v>19</v>
      </c>
      <c r="B191" s="19"/>
      <c r="C191" s="19"/>
      <c r="D191" s="19"/>
      <c r="E191" s="19"/>
      <c r="F191" s="71" t="e">
        <f>E191/G3</f>
        <v>#DIV/0!</v>
      </c>
      <c r="G191" s="68"/>
      <c r="H191" s="72" t="e">
        <f t="shared" si="4"/>
        <v>#DIV/0!</v>
      </c>
    </row>
    <row r="192" spans="1:8" ht="21" customHeight="1">
      <c r="A192" s="62">
        <v>20</v>
      </c>
      <c r="B192" s="19"/>
      <c r="C192" s="19"/>
      <c r="D192" s="19"/>
      <c r="E192" s="19"/>
      <c r="F192" s="71" t="e">
        <f>E192/G3</f>
        <v>#DIV/0!</v>
      </c>
      <c r="G192" s="68"/>
      <c r="H192" s="72" t="e">
        <f t="shared" si="4"/>
        <v>#DIV/0!</v>
      </c>
    </row>
    <row r="193" spans="1:8" ht="21" customHeight="1">
      <c r="A193" s="62">
        <v>21</v>
      </c>
      <c r="B193" s="19"/>
      <c r="C193" s="19"/>
      <c r="D193" s="19"/>
      <c r="E193" s="19"/>
      <c r="F193" s="71" t="e">
        <f>E193/G3</f>
        <v>#DIV/0!</v>
      </c>
      <c r="G193" s="68"/>
      <c r="H193" s="72" t="e">
        <f t="shared" si="4"/>
        <v>#DIV/0!</v>
      </c>
    </row>
    <row r="194" spans="1:8" ht="21" customHeight="1">
      <c r="A194" s="62">
        <v>22</v>
      </c>
      <c r="B194" s="19"/>
      <c r="C194" s="19"/>
      <c r="D194" s="19"/>
      <c r="E194" s="19"/>
      <c r="F194" s="71" t="e">
        <f>E194/G3</f>
        <v>#DIV/0!</v>
      </c>
      <c r="G194" s="68"/>
      <c r="H194" s="72" t="e">
        <f t="shared" si="4"/>
        <v>#DIV/0!</v>
      </c>
    </row>
    <row r="195" spans="1:8" ht="21" customHeight="1">
      <c r="A195" s="62">
        <v>23</v>
      </c>
      <c r="B195" s="19"/>
      <c r="C195" s="19"/>
      <c r="D195" s="19"/>
      <c r="E195" s="19"/>
      <c r="F195" s="71" t="e">
        <f>E195/G3</f>
        <v>#DIV/0!</v>
      </c>
      <c r="G195" s="68"/>
      <c r="H195" s="72" t="e">
        <f t="shared" si="4"/>
        <v>#DIV/0!</v>
      </c>
    </row>
    <row r="196" spans="1:8" ht="21" customHeight="1">
      <c r="A196" s="62">
        <v>24</v>
      </c>
      <c r="B196" s="19"/>
      <c r="C196" s="19"/>
      <c r="D196" s="19"/>
      <c r="E196" s="19"/>
      <c r="F196" s="71" t="e">
        <f>E196/G3</f>
        <v>#DIV/0!</v>
      </c>
      <c r="G196" s="68"/>
      <c r="H196" s="72" t="e">
        <f t="shared" si="4"/>
        <v>#DIV/0!</v>
      </c>
    </row>
    <row r="197" spans="1:8" ht="21" customHeight="1">
      <c r="A197" s="62">
        <v>25</v>
      </c>
      <c r="B197" s="19"/>
      <c r="C197" s="19"/>
      <c r="D197" s="19"/>
      <c r="E197" s="19"/>
      <c r="F197" s="71" t="e">
        <f>E197/G3</f>
        <v>#DIV/0!</v>
      </c>
      <c r="G197" s="68"/>
      <c r="H197" s="72" t="e">
        <f t="shared" si="4"/>
        <v>#DIV/0!</v>
      </c>
    </row>
    <row r="198" spans="1:8" ht="21" customHeight="1" thickBot="1">
      <c r="A198" s="231" t="s">
        <v>4</v>
      </c>
      <c r="B198" s="232"/>
      <c r="C198" s="232"/>
      <c r="D198" s="233"/>
      <c r="E198" s="21">
        <f>SUM(E173:E197)</f>
        <v>0</v>
      </c>
      <c r="F198" s="74" t="e">
        <f>E198/G3</f>
        <v>#DIV/0!</v>
      </c>
      <c r="G198" s="75">
        <f>SUM(G173:G197)</f>
        <v>0</v>
      </c>
      <c r="H198" s="72" t="e">
        <f>SUM(H173:H197)</f>
        <v>#DIV/0!</v>
      </c>
    </row>
    <row r="200" spans="1:8">
      <c r="A200" s="218" t="s">
        <v>7</v>
      </c>
      <c r="B200" s="218"/>
      <c r="C200" s="234" t="s">
        <v>8</v>
      </c>
      <c r="D200" s="234"/>
      <c r="E200" s="234" t="s">
        <v>104</v>
      </c>
      <c r="F200" s="234"/>
      <c r="G200" s="234"/>
      <c r="H200" s="65"/>
    </row>
    <row r="211" spans="1:8" ht="17.25" customHeight="1">
      <c r="A211" s="217" t="s">
        <v>106</v>
      </c>
      <c r="B211" s="235"/>
      <c r="C211" s="235"/>
      <c r="D211" s="235"/>
      <c r="E211" s="235"/>
      <c r="F211" s="65"/>
      <c r="G211" s="65"/>
      <c r="H211" s="65"/>
    </row>
    <row r="212" spans="1:8" ht="17.25" customHeight="1">
      <c r="A212" s="217" t="s">
        <v>107</v>
      </c>
      <c r="B212" s="235"/>
      <c r="C212" s="235"/>
      <c r="D212" s="235"/>
      <c r="E212" s="235"/>
      <c r="F212" s="65"/>
      <c r="G212" s="65"/>
      <c r="H212" s="65"/>
    </row>
    <row r="213" spans="1:8" ht="17.25" customHeight="1" thickBot="1">
      <c r="A213" s="230" t="s">
        <v>154</v>
      </c>
      <c r="B213" s="230"/>
      <c r="C213" s="230"/>
      <c r="D213" s="230"/>
      <c r="E213" s="230"/>
      <c r="F213" s="66" t="s">
        <v>119</v>
      </c>
      <c r="G213" s="104" t="e">
        <f>تسعير!E34</f>
        <v>#DIV/0!</v>
      </c>
      <c r="H213" s="65"/>
    </row>
    <row r="214" spans="1:8" ht="21" customHeight="1">
      <c r="A214" s="63" t="s">
        <v>0</v>
      </c>
      <c r="B214" s="64" t="s">
        <v>101</v>
      </c>
      <c r="C214" s="64" t="s">
        <v>100</v>
      </c>
      <c r="D214" s="64" t="s">
        <v>103</v>
      </c>
      <c r="E214" s="64" t="s">
        <v>17</v>
      </c>
      <c r="F214" s="67" t="s">
        <v>109</v>
      </c>
      <c r="G214" s="67" t="s">
        <v>18</v>
      </c>
      <c r="H214" s="69" t="s">
        <v>102</v>
      </c>
    </row>
    <row r="215" spans="1:8" ht="21" customHeight="1">
      <c r="A215" s="62">
        <v>1</v>
      </c>
      <c r="B215" s="19" t="s">
        <v>120</v>
      </c>
      <c r="C215" s="4"/>
      <c r="D215" s="19"/>
      <c r="E215" s="19"/>
      <c r="F215" s="71" t="e">
        <f>E215/G3</f>
        <v>#DIV/0!</v>
      </c>
      <c r="G215" s="68"/>
      <c r="H215" s="72" t="e">
        <f>G215+F215</f>
        <v>#DIV/0!</v>
      </c>
    </row>
    <row r="216" spans="1:8" ht="21" customHeight="1">
      <c r="A216" s="62">
        <v>2</v>
      </c>
      <c r="B216" s="19"/>
      <c r="C216" s="19"/>
      <c r="D216" s="19"/>
      <c r="E216" s="19"/>
      <c r="F216" s="71" t="e">
        <f>E216/G3</f>
        <v>#DIV/0!</v>
      </c>
      <c r="G216" s="68"/>
      <c r="H216" s="72" t="e">
        <f t="shared" ref="H216:H239" si="5">G216+F216</f>
        <v>#DIV/0!</v>
      </c>
    </row>
    <row r="217" spans="1:8" ht="21" customHeight="1">
      <c r="A217" s="62">
        <v>3</v>
      </c>
      <c r="B217" s="19"/>
      <c r="C217" s="19"/>
      <c r="D217" s="19"/>
      <c r="E217" s="19"/>
      <c r="F217" s="71" t="e">
        <f>E217/G3</f>
        <v>#DIV/0!</v>
      </c>
      <c r="G217" s="68"/>
      <c r="H217" s="72" t="e">
        <f t="shared" si="5"/>
        <v>#DIV/0!</v>
      </c>
    </row>
    <row r="218" spans="1:8" ht="21" customHeight="1">
      <c r="A218" s="62">
        <v>4</v>
      </c>
      <c r="B218" s="19"/>
      <c r="C218" s="19"/>
      <c r="D218" s="19"/>
      <c r="E218" s="19"/>
      <c r="F218" s="71" t="e">
        <f>E218/G3</f>
        <v>#DIV/0!</v>
      </c>
      <c r="G218" s="68"/>
      <c r="H218" s="72" t="e">
        <f t="shared" si="5"/>
        <v>#DIV/0!</v>
      </c>
    </row>
    <row r="219" spans="1:8" ht="21" customHeight="1">
      <c r="A219" s="62">
        <v>5</v>
      </c>
      <c r="B219" s="19"/>
      <c r="C219" s="19"/>
      <c r="D219" s="19"/>
      <c r="E219" s="19"/>
      <c r="F219" s="71" t="e">
        <f>E219/G3</f>
        <v>#DIV/0!</v>
      </c>
      <c r="G219" s="68"/>
      <c r="H219" s="72" t="e">
        <f t="shared" si="5"/>
        <v>#DIV/0!</v>
      </c>
    </row>
    <row r="220" spans="1:8" ht="21" customHeight="1">
      <c r="A220" s="62">
        <v>6</v>
      </c>
      <c r="B220" s="19"/>
      <c r="C220" s="19"/>
      <c r="D220" s="19"/>
      <c r="E220" s="19"/>
      <c r="F220" s="71" t="e">
        <f>E220/G3</f>
        <v>#DIV/0!</v>
      </c>
      <c r="G220" s="68"/>
      <c r="H220" s="72" t="e">
        <f t="shared" si="5"/>
        <v>#DIV/0!</v>
      </c>
    </row>
    <row r="221" spans="1:8" ht="21" customHeight="1">
      <c r="A221" s="62">
        <v>7</v>
      </c>
      <c r="B221" s="19"/>
      <c r="C221" s="19"/>
      <c r="D221" s="19"/>
      <c r="E221" s="19"/>
      <c r="F221" s="71" t="e">
        <f>E221/G3</f>
        <v>#DIV/0!</v>
      </c>
      <c r="G221" s="68"/>
      <c r="H221" s="72" t="e">
        <f t="shared" si="5"/>
        <v>#DIV/0!</v>
      </c>
    </row>
    <row r="222" spans="1:8" ht="21" customHeight="1">
      <c r="A222" s="62">
        <v>8</v>
      </c>
      <c r="B222" s="19"/>
      <c r="C222" s="19"/>
      <c r="D222" s="19"/>
      <c r="E222" s="19"/>
      <c r="F222" s="71" t="e">
        <f>E222/G3</f>
        <v>#DIV/0!</v>
      </c>
      <c r="G222" s="68"/>
      <c r="H222" s="72" t="e">
        <f t="shared" si="5"/>
        <v>#DIV/0!</v>
      </c>
    </row>
    <row r="223" spans="1:8" ht="21" customHeight="1">
      <c r="A223" s="62">
        <v>9</v>
      </c>
      <c r="B223" s="19"/>
      <c r="C223" s="19"/>
      <c r="D223" s="19"/>
      <c r="E223" s="19"/>
      <c r="F223" s="71" t="e">
        <f>E223/G3</f>
        <v>#DIV/0!</v>
      </c>
      <c r="G223" s="68"/>
      <c r="H223" s="72" t="e">
        <f t="shared" si="5"/>
        <v>#DIV/0!</v>
      </c>
    </row>
    <row r="224" spans="1:8" ht="21" customHeight="1">
      <c r="A224" s="62">
        <v>10</v>
      </c>
      <c r="B224" s="19"/>
      <c r="C224" s="19"/>
      <c r="D224" s="19"/>
      <c r="E224" s="19"/>
      <c r="F224" s="71" t="e">
        <f>E224/G3</f>
        <v>#DIV/0!</v>
      </c>
      <c r="G224" s="68"/>
      <c r="H224" s="72" t="e">
        <f t="shared" si="5"/>
        <v>#DIV/0!</v>
      </c>
    </row>
    <row r="225" spans="1:8" ht="21" customHeight="1">
      <c r="A225" s="62">
        <v>11</v>
      </c>
      <c r="B225" s="19"/>
      <c r="C225" s="19"/>
      <c r="D225" s="19"/>
      <c r="E225" s="19"/>
      <c r="F225" s="71" t="e">
        <f>E225/G3</f>
        <v>#DIV/0!</v>
      </c>
      <c r="G225" s="68"/>
      <c r="H225" s="72" t="e">
        <f t="shared" si="5"/>
        <v>#DIV/0!</v>
      </c>
    </row>
    <row r="226" spans="1:8" ht="21" customHeight="1">
      <c r="A226" s="62">
        <v>12</v>
      </c>
      <c r="B226" s="19"/>
      <c r="C226" s="19"/>
      <c r="D226" s="19"/>
      <c r="E226" s="19"/>
      <c r="F226" s="71" t="e">
        <f>E226/G3</f>
        <v>#DIV/0!</v>
      </c>
      <c r="G226" s="68"/>
      <c r="H226" s="72" t="e">
        <f t="shared" si="5"/>
        <v>#DIV/0!</v>
      </c>
    </row>
    <row r="227" spans="1:8" ht="21" customHeight="1">
      <c r="A227" s="62">
        <v>13</v>
      </c>
      <c r="B227" s="19"/>
      <c r="C227" s="19"/>
      <c r="D227" s="19"/>
      <c r="E227" s="19"/>
      <c r="F227" s="71" t="e">
        <f>E227/G3</f>
        <v>#DIV/0!</v>
      </c>
      <c r="G227" s="68"/>
      <c r="H227" s="72" t="e">
        <f t="shared" si="5"/>
        <v>#DIV/0!</v>
      </c>
    </row>
    <row r="228" spans="1:8" ht="21" customHeight="1">
      <c r="A228" s="62">
        <v>14</v>
      </c>
      <c r="B228" s="19"/>
      <c r="C228" s="19"/>
      <c r="D228" s="19"/>
      <c r="E228" s="19"/>
      <c r="F228" s="71" t="e">
        <f>E228/G3</f>
        <v>#DIV/0!</v>
      </c>
      <c r="G228" s="68"/>
      <c r="H228" s="72" t="e">
        <f t="shared" si="5"/>
        <v>#DIV/0!</v>
      </c>
    </row>
    <row r="229" spans="1:8" ht="21" customHeight="1">
      <c r="A229" s="62">
        <v>15</v>
      </c>
      <c r="B229" s="19"/>
      <c r="C229" s="19"/>
      <c r="D229" s="19"/>
      <c r="E229" s="19"/>
      <c r="F229" s="71" t="e">
        <f>E229/G3</f>
        <v>#DIV/0!</v>
      </c>
      <c r="G229" s="68"/>
      <c r="H229" s="72" t="e">
        <f t="shared" si="5"/>
        <v>#DIV/0!</v>
      </c>
    </row>
    <row r="230" spans="1:8" ht="21" customHeight="1">
      <c r="A230" s="62">
        <v>16</v>
      </c>
      <c r="B230" s="19"/>
      <c r="C230" s="19"/>
      <c r="D230" s="19"/>
      <c r="E230" s="19"/>
      <c r="F230" s="71" t="e">
        <f>E230/G3</f>
        <v>#DIV/0!</v>
      </c>
      <c r="G230" s="68"/>
      <c r="H230" s="72" t="e">
        <f t="shared" si="5"/>
        <v>#DIV/0!</v>
      </c>
    </row>
    <row r="231" spans="1:8" ht="21" customHeight="1">
      <c r="A231" s="62">
        <v>17</v>
      </c>
      <c r="B231" s="19"/>
      <c r="C231" s="19"/>
      <c r="D231" s="19"/>
      <c r="E231" s="19"/>
      <c r="F231" s="71" t="e">
        <f>E231/G3</f>
        <v>#DIV/0!</v>
      </c>
      <c r="G231" s="68"/>
      <c r="H231" s="72" t="e">
        <f t="shared" si="5"/>
        <v>#DIV/0!</v>
      </c>
    </row>
    <row r="232" spans="1:8" ht="21" customHeight="1">
      <c r="A232" s="62">
        <v>18</v>
      </c>
      <c r="B232" s="19"/>
      <c r="C232" s="19"/>
      <c r="D232" s="19"/>
      <c r="E232" s="19"/>
      <c r="F232" s="71" t="e">
        <f>E232/G3</f>
        <v>#DIV/0!</v>
      </c>
      <c r="G232" s="68"/>
      <c r="H232" s="72" t="e">
        <f t="shared" si="5"/>
        <v>#DIV/0!</v>
      </c>
    </row>
    <row r="233" spans="1:8" ht="21" customHeight="1">
      <c r="A233" s="62">
        <v>19</v>
      </c>
      <c r="B233" s="19"/>
      <c r="C233" s="19"/>
      <c r="D233" s="19"/>
      <c r="E233" s="19"/>
      <c r="F233" s="71" t="e">
        <f>E233/G3</f>
        <v>#DIV/0!</v>
      </c>
      <c r="G233" s="68"/>
      <c r="H233" s="72" t="e">
        <f t="shared" si="5"/>
        <v>#DIV/0!</v>
      </c>
    </row>
    <row r="234" spans="1:8" ht="21" customHeight="1">
      <c r="A234" s="62">
        <v>20</v>
      </c>
      <c r="B234" s="19"/>
      <c r="C234" s="19"/>
      <c r="D234" s="19"/>
      <c r="E234" s="19"/>
      <c r="F234" s="71" t="e">
        <f>E234/G3</f>
        <v>#DIV/0!</v>
      </c>
      <c r="G234" s="68"/>
      <c r="H234" s="72" t="e">
        <f t="shared" si="5"/>
        <v>#DIV/0!</v>
      </c>
    </row>
    <row r="235" spans="1:8" ht="21" customHeight="1">
      <c r="A235" s="62">
        <v>21</v>
      </c>
      <c r="B235" s="19"/>
      <c r="C235" s="19"/>
      <c r="D235" s="19"/>
      <c r="E235" s="19"/>
      <c r="F235" s="71" t="e">
        <f>E235/G3</f>
        <v>#DIV/0!</v>
      </c>
      <c r="G235" s="68"/>
      <c r="H235" s="72" t="e">
        <f t="shared" si="5"/>
        <v>#DIV/0!</v>
      </c>
    </row>
    <row r="236" spans="1:8" ht="21" customHeight="1">
      <c r="A236" s="62">
        <v>22</v>
      </c>
      <c r="B236" s="19"/>
      <c r="C236" s="19"/>
      <c r="D236" s="19"/>
      <c r="E236" s="19"/>
      <c r="F236" s="71" t="e">
        <f>E236/G3</f>
        <v>#DIV/0!</v>
      </c>
      <c r="G236" s="68"/>
      <c r="H236" s="72" t="e">
        <f t="shared" si="5"/>
        <v>#DIV/0!</v>
      </c>
    </row>
    <row r="237" spans="1:8" ht="21" customHeight="1">
      <c r="A237" s="62">
        <v>23</v>
      </c>
      <c r="B237" s="19"/>
      <c r="C237" s="19"/>
      <c r="D237" s="19"/>
      <c r="E237" s="19"/>
      <c r="F237" s="71" t="e">
        <f>E237/G3</f>
        <v>#DIV/0!</v>
      </c>
      <c r="G237" s="68"/>
      <c r="H237" s="72" t="e">
        <f t="shared" si="5"/>
        <v>#DIV/0!</v>
      </c>
    </row>
    <row r="238" spans="1:8" ht="21" customHeight="1">
      <c r="A238" s="62">
        <v>24</v>
      </c>
      <c r="B238" s="19"/>
      <c r="C238" s="19"/>
      <c r="D238" s="19"/>
      <c r="E238" s="19"/>
      <c r="F238" s="71" t="e">
        <f>E238/G3</f>
        <v>#DIV/0!</v>
      </c>
      <c r="G238" s="68"/>
      <c r="H238" s="72" t="e">
        <f t="shared" si="5"/>
        <v>#DIV/0!</v>
      </c>
    </row>
    <row r="239" spans="1:8" ht="21" customHeight="1">
      <c r="A239" s="62">
        <v>25</v>
      </c>
      <c r="B239" s="19"/>
      <c r="C239" s="19"/>
      <c r="D239" s="19"/>
      <c r="E239" s="19"/>
      <c r="F239" s="71" t="e">
        <f>E239/G3</f>
        <v>#DIV/0!</v>
      </c>
      <c r="G239" s="68"/>
      <c r="H239" s="72" t="e">
        <f t="shared" si="5"/>
        <v>#DIV/0!</v>
      </c>
    </row>
    <row r="240" spans="1:8" ht="21" customHeight="1" thickBot="1">
      <c r="A240" s="231" t="s">
        <v>4</v>
      </c>
      <c r="B240" s="232"/>
      <c r="C240" s="232"/>
      <c r="D240" s="233"/>
      <c r="E240" s="21">
        <f>SUM(E215:E239)</f>
        <v>0</v>
      </c>
      <c r="F240" s="71" t="e">
        <f>E240/G3</f>
        <v>#DIV/0!</v>
      </c>
      <c r="G240" s="75">
        <f>SUM(G215:G239)</f>
        <v>0</v>
      </c>
      <c r="H240" s="72" t="e">
        <f>SUM(H215:H239)</f>
        <v>#DIV/0!</v>
      </c>
    </row>
    <row r="242" spans="1:8">
      <c r="A242" s="218" t="s">
        <v>7</v>
      </c>
      <c r="B242" s="218"/>
      <c r="C242" s="234" t="s">
        <v>8</v>
      </c>
      <c r="D242" s="234"/>
      <c r="E242" s="234" t="s">
        <v>104</v>
      </c>
      <c r="F242" s="234"/>
      <c r="G242" s="234"/>
      <c r="H242" s="65"/>
    </row>
    <row r="253" spans="1:8" ht="17.25" customHeight="1">
      <c r="A253" s="217" t="s">
        <v>106</v>
      </c>
      <c r="B253" s="235"/>
      <c r="C253" s="235"/>
      <c r="D253" s="235"/>
      <c r="E253" s="235"/>
      <c r="F253" s="65"/>
      <c r="G253" s="65"/>
      <c r="H253" s="65"/>
    </row>
    <row r="254" spans="1:8" ht="17.25" customHeight="1">
      <c r="A254" s="217" t="s">
        <v>107</v>
      </c>
      <c r="B254" s="235"/>
      <c r="C254" s="235"/>
      <c r="D254" s="235"/>
      <c r="E254" s="235"/>
      <c r="F254" s="65"/>
      <c r="G254" s="65"/>
      <c r="H254" s="65"/>
    </row>
    <row r="255" spans="1:8" ht="17.25" customHeight="1" thickBot="1">
      <c r="A255" s="230" t="s">
        <v>153</v>
      </c>
      <c r="B255" s="230"/>
      <c r="C255" s="230"/>
      <c r="D255" s="230"/>
      <c r="E255" s="230"/>
      <c r="F255" s="66" t="s">
        <v>119</v>
      </c>
      <c r="G255" s="104" t="e">
        <f>تسعير!E34</f>
        <v>#DIV/0!</v>
      </c>
      <c r="H255" s="65"/>
    </row>
    <row r="256" spans="1:8" ht="21" customHeight="1">
      <c r="A256" s="63" t="s">
        <v>0</v>
      </c>
      <c r="B256" s="64" t="s">
        <v>101</v>
      </c>
      <c r="C256" s="64" t="s">
        <v>100</v>
      </c>
      <c r="D256" s="64" t="s">
        <v>103</v>
      </c>
      <c r="E256" s="64" t="s">
        <v>17</v>
      </c>
      <c r="F256" s="67" t="s">
        <v>109</v>
      </c>
      <c r="G256" s="67" t="s">
        <v>18</v>
      </c>
      <c r="H256" s="69" t="s">
        <v>102</v>
      </c>
    </row>
    <row r="257" spans="1:8" ht="21" customHeight="1">
      <c r="A257" s="62">
        <v>1</v>
      </c>
      <c r="B257" s="19" t="s">
        <v>120</v>
      </c>
      <c r="C257" s="4"/>
      <c r="D257" s="19"/>
      <c r="E257" s="19"/>
      <c r="F257" s="71" t="e">
        <f>E257/G3</f>
        <v>#DIV/0!</v>
      </c>
      <c r="G257" s="68"/>
      <c r="H257" s="72" t="e">
        <f>G257+F257</f>
        <v>#DIV/0!</v>
      </c>
    </row>
    <row r="258" spans="1:8" ht="21" customHeight="1">
      <c r="A258" s="62">
        <v>2</v>
      </c>
      <c r="B258" s="19"/>
      <c r="C258" s="19"/>
      <c r="D258" s="19"/>
      <c r="E258" s="19"/>
      <c r="F258" s="71" t="e">
        <f>E258/G3</f>
        <v>#DIV/0!</v>
      </c>
      <c r="G258" s="68"/>
      <c r="H258" s="72" t="e">
        <f t="shared" ref="H258:H281" si="6">G258+F258</f>
        <v>#DIV/0!</v>
      </c>
    </row>
    <row r="259" spans="1:8" ht="21" customHeight="1">
      <c r="A259" s="62">
        <v>3</v>
      </c>
      <c r="B259" s="19"/>
      <c r="C259" s="19"/>
      <c r="D259" s="19"/>
      <c r="E259" s="19"/>
      <c r="F259" s="71" t="e">
        <f>E259/G3</f>
        <v>#DIV/0!</v>
      </c>
      <c r="G259" s="68"/>
      <c r="H259" s="72" t="e">
        <f t="shared" si="6"/>
        <v>#DIV/0!</v>
      </c>
    </row>
    <row r="260" spans="1:8" ht="21" customHeight="1">
      <c r="A260" s="62">
        <v>4</v>
      </c>
      <c r="B260" s="19"/>
      <c r="C260" s="19"/>
      <c r="D260" s="19"/>
      <c r="E260" s="19"/>
      <c r="F260" s="71" t="e">
        <f>E260/G3</f>
        <v>#DIV/0!</v>
      </c>
      <c r="G260" s="68"/>
      <c r="H260" s="72" t="e">
        <f t="shared" si="6"/>
        <v>#DIV/0!</v>
      </c>
    </row>
    <row r="261" spans="1:8" ht="21" customHeight="1">
      <c r="A261" s="62">
        <v>5</v>
      </c>
      <c r="B261" s="19"/>
      <c r="C261" s="19"/>
      <c r="D261" s="19"/>
      <c r="E261" s="19"/>
      <c r="F261" s="71" t="e">
        <f>E261/G3</f>
        <v>#DIV/0!</v>
      </c>
      <c r="G261" s="68"/>
      <c r="H261" s="72" t="e">
        <f t="shared" si="6"/>
        <v>#DIV/0!</v>
      </c>
    </row>
    <row r="262" spans="1:8" ht="21" customHeight="1">
      <c r="A262" s="62">
        <v>6</v>
      </c>
      <c r="B262" s="19"/>
      <c r="C262" s="19"/>
      <c r="D262" s="19"/>
      <c r="E262" s="19"/>
      <c r="F262" s="71" t="e">
        <f>E262/G3</f>
        <v>#DIV/0!</v>
      </c>
      <c r="G262" s="68"/>
      <c r="H262" s="72" t="e">
        <f t="shared" si="6"/>
        <v>#DIV/0!</v>
      </c>
    </row>
    <row r="263" spans="1:8" ht="21" customHeight="1">
      <c r="A263" s="62">
        <v>7</v>
      </c>
      <c r="B263" s="19"/>
      <c r="C263" s="19"/>
      <c r="D263" s="19"/>
      <c r="E263" s="19"/>
      <c r="F263" s="71" t="e">
        <f>E263/G3</f>
        <v>#DIV/0!</v>
      </c>
      <c r="G263" s="68"/>
      <c r="H263" s="72" t="e">
        <f t="shared" si="6"/>
        <v>#DIV/0!</v>
      </c>
    </row>
    <row r="264" spans="1:8" ht="21" customHeight="1">
      <c r="A264" s="62">
        <v>8</v>
      </c>
      <c r="B264" s="19"/>
      <c r="C264" s="19"/>
      <c r="D264" s="19"/>
      <c r="E264" s="19"/>
      <c r="F264" s="71" t="e">
        <f>E264/G3</f>
        <v>#DIV/0!</v>
      </c>
      <c r="G264" s="68"/>
      <c r="H264" s="72" t="e">
        <f t="shared" si="6"/>
        <v>#DIV/0!</v>
      </c>
    </row>
    <row r="265" spans="1:8" ht="21" customHeight="1">
      <c r="A265" s="62">
        <v>9</v>
      </c>
      <c r="B265" s="19"/>
      <c r="C265" s="19"/>
      <c r="D265" s="19"/>
      <c r="E265" s="19"/>
      <c r="F265" s="71" t="e">
        <f>E265/G3</f>
        <v>#DIV/0!</v>
      </c>
      <c r="G265" s="68"/>
      <c r="H265" s="72" t="e">
        <f t="shared" si="6"/>
        <v>#DIV/0!</v>
      </c>
    </row>
    <row r="266" spans="1:8" ht="21" customHeight="1">
      <c r="A266" s="62">
        <v>10</v>
      </c>
      <c r="B266" s="19"/>
      <c r="C266" s="19"/>
      <c r="D266" s="19"/>
      <c r="E266" s="19"/>
      <c r="F266" s="71" t="e">
        <f>E266/G3</f>
        <v>#DIV/0!</v>
      </c>
      <c r="G266" s="68"/>
      <c r="H266" s="72" t="e">
        <f t="shared" si="6"/>
        <v>#DIV/0!</v>
      </c>
    </row>
    <row r="267" spans="1:8" ht="21" customHeight="1">
      <c r="A267" s="62">
        <v>11</v>
      </c>
      <c r="B267" s="19"/>
      <c r="C267" s="19"/>
      <c r="D267" s="19"/>
      <c r="E267" s="19"/>
      <c r="F267" s="71" t="e">
        <f>E267/G3</f>
        <v>#DIV/0!</v>
      </c>
      <c r="G267" s="68"/>
      <c r="H267" s="72" t="e">
        <f t="shared" si="6"/>
        <v>#DIV/0!</v>
      </c>
    </row>
    <row r="268" spans="1:8" ht="21" customHeight="1">
      <c r="A268" s="62">
        <v>12</v>
      </c>
      <c r="B268" s="19"/>
      <c r="C268" s="19"/>
      <c r="D268" s="19"/>
      <c r="E268" s="19"/>
      <c r="F268" s="71" t="e">
        <f>E268/G3</f>
        <v>#DIV/0!</v>
      </c>
      <c r="G268" s="68"/>
      <c r="H268" s="72" t="e">
        <f t="shared" si="6"/>
        <v>#DIV/0!</v>
      </c>
    </row>
    <row r="269" spans="1:8" ht="21" customHeight="1">
      <c r="A269" s="62">
        <v>13</v>
      </c>
      <c r="B269" s="19"/>
      <c r="C269" s="19"/>
      <c r="D269" s="19"/>
      <c r="E269" s="19"/>
      <c r="F269" s="71" t="e">
        <f>E269/G3</f>
        <v>#DIV/0!</v>
      </c>
      <c r="G269" s="68"/>
      <c r="H269" s="72" t="e">
        <f t="shared" si="6"/>
        <v>#DIV/0!</v>
      </c>
    </row>
    <row r="270" spans="1:8" ht="21" customHeight="1">
      <c r="A270" s="62">
        <v>14</v>
      </c>
      <c r="B270" s="19"/>
      <c r="C270" s="19"/>
      <c r="D270" s="19"/>
      <c r="E270" s="19"/>
      <c r="F270" s="71" t="e">
        <f>E270/G3</f>
        <v>#DIV/0!</v>
      </c>
      <c r="G270" s="68"/>
      <c r="H270" s="72" t="e">
        <f t="shared" si="6"/>
        <v>#DIV/0!</v>
      </c>
    </row>
    <row r="271" spans="1:8" ht="21" customHeight="1">
      <c r="A271" s="62">
        <v>15</v>
      </c>
      <c r="B271" s="19"/>
      <c r="C271" s="19"/>
      <c r="D271" s="19"/>
      <c r="E271" s="19"/>
      <c r="F271" s="71" t="e">
        <f>E271/G3</f>
        <v>#DIV/0!</v>
      </c>
      <c r="G271" s="68"/>
      <c r="H271" s="72" t="e">
        <f t="shared" si="6"/>
        <v>#DIV/0!</v>
      </c>
    </row>
    <row r="272" spans="1:8" ht="21" customHeight="1">
      <c r="A272" s="62">
        <v>16</v>
      </c>
      <c r="B272" s="19"/>
      <c r="C272" s="19"/>
      <c r="D272" s="19"/>
      <c r="E272" s="19"/>
      <c r="F272" s="71" t="e">
        <f>E272/G3</f>
        <v>#DIV/0!</v>
      </c>
      <c r="G272" s="68"/>
      <c r="H272" s="72" t="e">
        <f t="shared" si="6"/>
        <v>#DIV/0!</v>
      </c>
    </row>
    <row r="273" spans="1:8" ht="21" customHeight="1">
      <c r="A273" s="62">
        <v>17</v>
      </c>
      <c r="B273" s="19"/>
      <c r="C273" s="19"/>
      <c r="D273" s="19"/>
      <c r="E273" s="19"/>
      <c r="F273" s="71" t="e">
        <f>E273/G3</f>
        <v>#DIV/0!</v>
      </c>
      <c r="G273" s="68"/>
      <c r="H273" s="72" t="e">
        <f t="shared" si="6"/>
        <v>#DIV/0!</v>
      </c>
    </row>
    <row r="274" spans="1:8" ht="21" customHeight="1">
      <c r="A274" s="62">
        <v>18</v>
      </c>
      <c r="B274" s="19"/>
      <c r="C274" s="19"/>
      <c r="D274" s="19"/>
      <c r="E274" s="19"/>
      <c r="F274" s="71" t="e">
        <f>E274/G3</f>
        <v>#DIV/0!</v>
      </c>
      <c r="G274" s="68"/>
      <c r="H274" s="72" t="e">
        <f t="shared" si="6"/>
        <v>#DIV/0!</v>
      </c>
    </row>
    <row r="275" spans="1:8" ht="21" customHeight="1">
      <c r="A275" s="62">
        <v>19</v>
      </c>
      <c r="B275" s="19"/>
      <c r="C275" s="19"/>
      <c r="D275" s="19"/>
      <c r="E275" s="19"/>
      <c r="F275" s="71" t="e">
        <f>E275/G3</f>
        <v>#DIV/0!</v>
      </c>
      <c r="G275" s="68"/>
      <c r="H275" s="72" t="e">
        <f t="shared" si="6"/>
        <v>#DIV/0!</v>
      </c>
    </row>
    <row r="276" spans="1:8" ht="21" customHeight="1">
      <c r="A276" s="62">
        <v>20</v>
      </c>
      <c r="B276" s="19"/>
      <c r="C276" s="19"/>
      <c r="D276" s="19"/>
      <c r="E276" s="19"/>
      <c r="F276" s="71" t="e">
        <f>E276/G3</f>
        <v>#DIV/0!</v>
      </c>
      <c r="G276" s="68"/>
      <c r="H276" s="72" t="e">
        <f t="shared" si="6"/>
        <v>#DIV/0!</v>
      </c>
    </row>
    <row r="277" spans="1:8" ht="21" customHeight="1">
      <c r="A277" s="62">
        <v>21</v>
      </c>
      <c r="B277" s="19"/>
      <c r="C277" s="19"/>
      <c r="D277" s="19"/>
      <c r="E277" s="19"/>
      <c r="F277" s="71" t="e">
        <f>E277/G3</f>
        <v>#DIV/0!</v>
      </c>
      <c r="G277" s="68"/>
      <c r="H277" s="72" t="e">
        <f t="shared" si="6"/>
        <v>#DIV/0!</v>
      </c>
    </row>
    <row r="278" spans="1:8" ht="21" customHeight="1">
      <c r="A278" s="62">
        <v>22</v>
      </c>
      <c r="B278" s="19"/>
      <c r="C278" s="19"/>
      <c r="D278" s="19"/>
      <c r="E278" s="19"/>
      <c r="F278" s="71" t="e">
        <f>E278/G3</f>
        <v>#DIV/0!</v>
      </c>
      <c r="G278" s="68"/>
      <c r="H278" s="72" t="e">
        <f t="shared" si="6"/>
        <v>#DIV/0!</v>
      </c>
    </row>
    <row r="279" spans="1:8" ht="21" customHeight="1">
      <c r="A279" s="62">
        <v>23</v>
      </c>
      <c r="B279" s="19"/>
      <c r="C279" s="19"/>
      <c r="D279" s="19"/>
      <c r="E279" s="19"/>
      <c r="F279" s="71" t="e">
        <f>E279/G3</f>
        <v>#DIV/0!</v>
      </c>
      <c r="G279" s="68"/>
      <c r="H279" s="72" t="e">
        <f t="shared" si="6"/>
        <v>#DIV/0!</v>
      </c>
    </row>
    <row r="280" spans="1:8" ht="21" customHeight="1">
      <c r="A280" s="62">
        <v>24</v>
      </c>
      <c r="B280" s="19"/>
      <c r="C280" s="19"/>
      <c r="D280" s="19"/>
      <c r="E280" s="19"/>
      <c r="F280" s="71" t="e">
        <f>E280/G3</f>
        <v>#DIV/0!</v>
      </c>
      <c r="G280" s="68"/>
      <c r="H280" s="72" t="e">
        <f t="shared" si="6"/>
        <v>#DIV/0!</v>
      </c>
    </row>
    <row r="281" spans="1:8" ht="21" customHeight="1">
      <c r="A281" s="62">
        <v>25</v>
      </c>
      <c r="B281" s="19"/>
      <c r="C281" s="19"/>
      <c r="D281" s="19"/>
      <c r="E281" s="19"/>
      <c r="F281" s="71" t="e">
        <f>E281/G3</f>
        <v>#DIV/0!</v>
      </c>
      <c r="G281" s="68"/>
      <c r="H281" s="72" t="e">
        <f t="shared" si="6"/>
        <v>#DIV/0!</v>
      </c>
    </row>
    <row r="282" spans="1:8" ht="21" customHeight="1" thickBot="1">
      <c r="A282" s="231" t="s">
        <v>4</v>
      </c>
      <c r="B282" s="232"/>
      <c r="C282" s="232"/>
      <c r="D282" s="233"/>
      <c r="E282" s="21">
        <f>SUM(E257:E281)</f>
        <v>0</v>
      </c>
      <c r="F282" s="74" t="e">
        <f>E282/G3</f>
        <v>#DIV/0!</v>
      </c>
      <c r="G282" s="75">
        <f>SUM(G257:G281)</f>
        <v>0</v>
      </c>
      <c r="H282" s="72" t="e">
        <f>SUM(H257:H281)</f>
        <v>#DIV/0!</v>
      </c>
    </row>
    <row r="284" spans="1:8">
      <c r="A284" s="218" t="s">
        <v>7</v>
      </c>
      <c r="B284" s="218"/>
      <c r="C284" s="234" t="s">
        <v>8</v>
      </c>
      <c r="D284" s="234"/>
      <c r="E284" s="234" t="s">
        <v>104</v>
      </c>
      <c r="F284" s="234"/>
      <c r="G284" s="234"/>
      <c r="H284" s="65"/>
    </row>
    <row r="295" spans="1:8" ht="17.25" customHeight="1">
      <c r="A295" s="217" t="s">
        <v>106</v>
      </c>
      <c r="B295" s="235"/>
      <c r="C295" s="235"/>
      <c r="D295" s="235"/>
      <c r="E295" s="235"/>
      <c r="F295" s="65"/>
      <c r="G295" s="65"/>
      <c r="H295" s="65"/>
    </row>
    <row r="296" spans="1:8" ht="17.25" customHeight="1">
      <c r="A296" s="217" t="s">
        <v>107</v>
      </c>
      <c r="B296" s="235"/>
      <c r="C296" s="235"/>
      <c r="D296" s="235"/>
      <c r="E296" s="235"/>
      <c r="F296" s="65"/>
      <c r="G296" s="65"/>
      <c r="H296" s="65"/>
    </row>
    <row r="297" spans="1:8" ht="17.25" customHeight="1" thickBot="1">
      <c r="A297" s="230" t="s">
        <v>152</v>
      </c>
      <c r="B297" s="230"/>
      <c r="C297" s="230"/>
      <c r="D297" s="230"/>
      <c r="E297" s="230"/>
      <c r="F297" s="66" t="s">
        <v>119</v>
      </c>
      <c r="G297" s="104" t="e">
        <f>تسعير!E34</f>
        <v>#DIV/0!</v>
      </c>
      <c r="H297" s="65"/>
    </row>
    <row r="298" spans="1:8" ht="21" customHeight="1">
      <c r="A298" s="63" t="s">
        <v>0</v>
      </c>
      <c r="B298" s="64" t="s">
        <v>101</v>
      </c>
      <c r="C298" s="64" t="s">
        <v>100</v>
      </c>
      <c r="D298" s="64" t="s">
        <v>103</v>
      </c>
      <c r="E298" s="64" t="s">
        <v>17</v>
      </c>
      <c r="F298" s="67" t="s">
        <v>109</v>
      </c>
      <c r="G298" s="67" t="s">
        <v>18</v>
      </c>
      <c r="H298" s="69" t="s">
        <v>102</v>
      </c>
    </row>
    <row r="299" spans="1:8" ht="21" customHeight="1">
      <c r="A299" s="62">
        <v>1</v>
      </c>
      <c r="B299" s="19" t="s">
        <v>120</v>
      </c>
      <c r="C299" s="4"/>
      <c r="D299" s="19"/>
      <c r="E299" s="19"/>
      <c r="F299" s="71" t="e">
        <f>E299/G3</f>
        <v>#DIV/0!</v>
      </c>
      <c r="G299" s="68"/>
      <c r="H299" s="72" t="e">
        <f>G299+F299</f>
        <v>#DIV/0!</v>
      </c>
    </row>
    <row r="300" spans="1:8" ht="21" customHeight="1">
      <c r="A300" s="62">
        <v>2</v>
      </c>
      <c r="B300" s="19"/>
      <c r="C300" s="19"/>
      <c r="D300" s="19"/>
      <c r="E300" s="19"/>
      <c r="F300" s="71" t="e">
        <f>E300/G3</f>
        <v>#DIV/0!</v>
      </c>
      <c r="G300" s="68"/>
      <c r="H300" s="72" t="e">
        <f t="shared" ref="H300:H323" si="7">G300+F300</f>
        <v>#DIV/0!</v>
      </c>
    </row>
    <row r="301" spans="1:8" ht="21" customHeight="1">
      <c r="A301" s="62">
        <v>3</v>
      </c>
      <c r="B301" s="19"/>
      <c r="C301" s="19"/>
      <c r="D301" s="19"/>
      <c r="E301" s="19"/>
      <c r="F301" s="71" t="e">
        <f>E301/G3</f>
        <v>#DIV/0!</v>
      </c>
      <c r="G301" s="68"/>
      <c r="H301" s="72" t="e">
        <f t="shared" si="7"/>
        <v>#DIV/0!</v>
      </c>
    </row>
    <row r="302" spans="1:8" ht="21" customHeight="1">
      <c r="A302" s="62">
        <v>4</v>
      </c>
      <c r="B302" s="19"/>
      <c r="C302" s="19"/>
      <c r="D302" s="19"/>
      <c r="E302" s="19"/>
      <c r="F302" s="71" t="e">
        <f>E302/G3</f>
        <v>#DIV/0!</v>
      </c>
      <c r="G302" s="68"/>
      <c r="H302" s="72" t="e">
        <f t="shared" si="7"/>
        <v>#DIV/0!</v>
      </c>
    </row>
    <row r="303" spans="1:8" ht="21" customHeight="1">
      <c r="A303" s="62">
        <v>5</v>
      </c>
      <c r="B303" s="19"/>
      <c r="C303" s="19"/>
      <c r="D303" s="19"/>
      <c r="E303" s="19"/>
      <c r="F303" s="71" t="e">
        <f>E303/G3</f>
        <v>#DIV/0!</v>
      </c>
      <c r="G303" s="68"/>
      <c r="H303" s="72" t="e">
        <f t="shared" si="7"/>
        <v>#DIV/0!</v>
      </c>
    </row>
    <row r="304" spans="1:8" ht="21" customHeight="1">
      <c r="A304" s="62">
        <v>6</v>
      </c>
      <c r="B304" s="19"/>
      <c r="C304" s="19"/>
      <c r="D304" s="19"/>
      <c r="E304" s="19"/>
      <c r="F304" s="71" t="e">
        <f>E304/G3</f>
        <v>#DIV/0!</v>
      </c>
      <c r="G304" s="68"/>
      <c r="H304" s="72" t="e">
        <f t="shared" si="7"/>
        <v>#DIV/0!</v>
      </c>
    </row>
    <row r="305" spans="1:8" ht="21" customHeight="1">
      <c r="A305" s="62">
        <v>7</v>
      </c>
      <c r="B305" s="19"/>
      <c r="C305" s="19"/>
      <c r="D305" s="19"/>
      <c r="E305" s="19"/>
      <c r="F305" s="71" t="e">
        <f>E305/G3</f>
        <v>#DIV/0!</v>
      </c>
      <c r="G305" s="68"/>
      <c r="H305" s="72" t="e">
        <f t="shared" si="7"/>
        <v>#DIV/0!</v>
      </c>
    </row>
    <row r="306" spans="1:8" ht="21" customHeight="1">
      <c r="A306" s="62">
        <v>8</v>
      </c>
      <c r="B306" s="19"/>
      <c r="C306" s="19"/>
      <c r="D306" s="19"/>
      <c r="E306" s="19"/>
      <c r="F306" s="71" t="e">
        <f>E306/G3</f>
        <v>#DIV/0!</v>
      </c>
      <c r="G306" s="68"/>
      <c r="H306" s="72" t="e">
        <f t="shared" si="7"/>
        <v>#DIV/0!</v>
      </c>
    </row>
    <row r="307" spans="1:8" ht="21" customHeight="1">
      <c r="A307" s="62">
        <v>9</v>
      </c>
      <c r="B307" s="19"/>
      <c r="C307" s="19"/>
      <c r="D307" s="19"/>
      <c r="E307" s="19"/>
      <c r="F307" s="71" t="e">
        <f>E307/G3</f>
        <v>#DIV/0!</v>
      </c>
      <c r="G307" s="68"/>
      <c r="H307" s="72" t="e">
        <f t="shared" si="7"/>
        <v>#DIV/0!</v>
      </c>
    </row>
    <row r="308" spans="1:8" ht="21" customHeight="1">
      <c r="A308" s="62">
        <v>10</v>
      </c>
      <c r="B308" s="19"/>
      <c r="C308" s="19"/>
      <c r="D308" s="19"/>
      <c r="E308" s="19"/>
      <c r="F308" s="71" t="e">
        <f>E308/G3</f>
        <v>#DIV/0!</v>
      </c>
      <c r="G308" s="68"/>
      <c r="H308" s="72" t="e">
        <f t="shared" si="7"/>
        <v>#DIV/0!</v>
      </c>
    </row>
    <row r="309" spans="1:8" ht="21" customHeight="1">
      <c r="A309" s="62">
        <v>11</v>
      </c>
      <c r="B309" s="19"/>
      <c r="C309" s="19"/>
      <c r="D309" s="19"/>
      <c r="E309" s="19"/>
      <c r="F309" s="71" t="e">
        <f>E309/G3</f>
        <v>#DIV/0!</v>
      </c>
      <c r="G309" s="68"/>
      <c r="H309" s="72" t="e">
        <f t="shared" si="7"/>
        <v>#DIV/0!</v>
      </c>
    </row>
    <row r="310" spans="1:8" ht="21" customHeight="1">
      <c r="A310" s="62">
        <v>12</v>
      </c>
      <c r="B310" s="19"/>
      <c r="C310" s="19"/>
      <c r="D310" s="19"/>
      <c r="E310" s="19"/>
      <c r="F310" s="71" t="e">
        <f>E310/G3</f>
        <v>#DIV/0!</v>
      </c>
      <c r="G310" s="68"/>
      <c r="H310" s="72" t="e">
        <f t="shared" si="7"/>
        <v>#DIV/0!</v>
      </c>
    </row>
    <row r="311" spans="1:8" ht="21" customHeight="1">
      <c r="A311" s="62">
        <v>13</v>
      </c>
      <c r="B311" s="19"/>
      <c r="C311" s="19"/>
      <c r="D311" s="19"/>
      <c r="E311" s="19"/>
      <c r="F311" s="71" t="e">
        <f>E311/G3</f>
        <v>#DIV/0!</v>
      </c>
      <c r="G311" s="68"/>
      <c r="H311" s="72" t="e">
        <f t="shared" si="7"/>
        <v>#DIV/0!</v>
      </c>
    </row>
    <row r="312" spans="1:8" ht="21" customHeight="1">
      <c r="A312" s="62">
        <v>14</v>
      </c>
      <c r="B312" s="19"/>
      <c r="C312" s="19"/>
      <c r="D312" s="19"/>
      <c r="E312" s="19"/>
      <c r="F312" s="71" t="e">
        <f>E312/G3</f>
        <v>#DIV/0!</v>
      </c>
      <c r="G312" s="68"/>
      <c r="H312" s="72" t="e">
        <f t="shared" si="7"/>
        <v>#DIV/0!</v>
      </c>
    </row>
    <row r="313" spans="1:8" ht="21" customHeight="1">
      <c r="A313" s="62">
        <v>15</v>
      </c>
      <c r="B313" s="19"/>
      <c r="C313" s="19"/>
      <c r="D313" s="19"/>
      <c r="E313" s="19"/>
      <c r="F313" s="71" t="e">
        <f>E313/G3</f>
        <v>#DIV/0!</v>
      </c>
      <c r="G313" s="68"/>
      <c r="H313" s="72" t="e">
        <f t="shared" si="7"/>
        <v>#DIV/0!</v>
      </c>
    </row>
    <row r="314" spans="1:8" ht="21" customHeight="1">
      <c r="A314" s="62">
        <v>16</v>
      </c>
      <c r="B314" s="19"/>
      <c r="C314" s="19"/>
      <c r="D314" s="19"/>
      <c r="E314" s="19"/>
      <c r="F314" s="71" t="e">
        <f>E314/G3</f>
        <v>#DIV/0!</v>
      </c>
      <c r="G314" s="68"/>
      <c r="H314" s="72" t="e">
        <f t="shared" si="7"/>
        <v>#DIV/0!</v>
      </c>
    </row>
    <row r="315" spans="1:8" ht="21" customHeight="1">
      <c r="A315" s="62">
        <v>17</v>
      </c>
      <c r="B315" s="19"/>
      <c r="C315" s="19"/>
      <c r="D315" s="19"/>
      <c r="E315" s="19"/>
      <c r="F315" s="71" t="e">
        <f>E315/G3</f>
        <v>#DIV/0!</v>
      </c>
      <c r="G315" s="68"/>
      <c r="H315" s="72" t="e">
        <f t="shared" si="7"/>
        <v>#DIV/0!</v>
      </c>
    </row>
    <row r="316" spans="1:8" ht="21" customHeight="1">
      <c r="A316" s="62">
        <v>18</v>
      </c>
      <c r="B316" s="19"/>
      <c r="C316" s="19"/>
      <c r="D316" s="19"/>
      <c r="E316" s="19"/>
      <c r="F316" s="71" t="e">
        <f>E316/G3</f>
        <v>#DIV/0!</v>
      </c>
      <c r="G316" s="68"/>
      <c r="H316" s="72" t="e">
        <f t="shared" si="7"/>
        <v>#DIV/0!</v>
      </c>
    </row>
    <row r="317" spans="1:8" ht="21" customHeight="1">
      <c r="A317" s="62">
        <v>19</v>
      </c>
      <c r="B317" s="19"/>
      <c r="C317" s="19"/>
      <c r="D317" s="19"/>
      <c r="E317" s="19"/>
      <c r="F317" s="71" t="e">
        <f>E317/G3</f>
        <v>#DIV/0!</v>
      </c>
      <c r="G317" s="68"/>
      <c r="H317" s="72" t="e">
        <f t="shared" si="7"/>
        <v>#DIV/0!</v>
      </c>
    </row>
    <row r="318" spans="1:8" ht="21" customHeight="1">
      <c r="A318" s="62">
        <v>20</v>
      </c>
      <c r="B318" s="19"/>
      <c r="C318" s="19"/>
      <c r="D318" s="19"/>
      <c r="E318" s="19"/>
      <c r="F318" s="71" t="e">
        <f>E318/G3</f>
        <v>#DIV/0!</v>
      </c>
      <c r="G318" s="68"/>
      <c r="H318" s="72" t="e">
        <f t="shared" si="7"/>
        <v>#DIV/0!</v>
      </c>
    </row>
    <row r="319" spans="1:8" ht="21" customHeight="1">
      <c r="A319" s="62">
        <v>21</v>
      </c>
      <c r="B319" s="19"/>
      <c r="C319" s="19"/>
      <c r="D319" s="19"/>
      <c r="E319" s="19"/>
      <c r="F319" s="71" t="e">
        <f>E319/G3</f>
        <v>#DIV/0!</v>
      </c>
      <c r="G319" s="68"/>
      <c r="H319" s="72" t="e">
        <f t="shared" si="7"/>
        <v>#DIV/0!</v>
      </c>
    </row>
    <row r="320" spans="1:8" ht="21" customHeight="1">
      <c r="A320" s="62">
        <v>22</v>
      </c>
      <c r="B320" s="19"/>
      <c r="C320" s="19"/>
      <c r="D320" s="19"/>
      <c r="E320" s="19"/>
      <c r="F320" s="71" t="e">
        <f>E320/G3</f>
        <v>#DIV/0!</v>
      </c>
      <c r="G320" s="68"/>
      <c r="H320" s="72" t="e">
        <f t="shared" si="7"/>
        <v>#DIV/0!</v>
      </c>
    </row>
    <row r="321" spans="1:8" ht="21" customHeight="1">
      <c r="A321" s="62">
        <v>23</v>
      </c>
      <c r="B321" s="19"/>
      <c r="C321" s="19"/>
      <c r="D321" s="19"/>
      <c r="E321" s="19"/>
      <c r="F321" s="71" t="e">
        <f>E321/G3</f>
        <v>#DIV/0!</v>
      </c>
      <c r="G321" s="68"/>
      <c r="H321" s="72" t="e">
        <f t="shared" si="7"/>
        <v>#DIV/0!</v>
      </c>
    </row>
    <row r="322" spans="1:8" ht="21" customHeight="1">
      <c r="A322" s="62">
        <v>24</v>
      </c>
      <c r="B322" s="19"/>
      <c r="C322" s="19"/>
      <c r="D322" s="19"/>
      <c r="E322" s="19"/>
      <c r="F322" s="71" t="e">
        <f>E322/G3</f>
        <v>#DIV/0!</v>
      </c>
      <c r="G322" s="68"/>
      <c r="H322" s="72" t="e">
        <f t="shared" si="7"/>
        <v>#DIV/0!</v>
      </c>
    </row>
    <row r="323" spans="1:8" ht="21" customHeight="1">
      <c r="A323" s="62">
        <v>25</v>
      </c>
      <c r="B323" s="19"/>
      <c r="C323" s="19"/>
      <c r="D323" s="19"/>
      <c r="E323" s="19"/>
      <c r="F323" s="71" t="e">
        <f>E323/G3</f>
        <v>#DIV/0!</v>
      </c>
      <c r="G323" s="68"/>
      <c r="H323" s="72" t="e">
        <f t="shared" si="7"/>
        <v>#DIV/0!</v>
      </c>
    </row>
    <row r="324" spans="1:8" ht="21" customHeight="1" thickBot="1">
      <c r="A324" s="231" t="s">
        <v>4</v>
      </c>
      <c r="B324" s="232"/>
      <c r="C324" s="232"/>
      <c r="D324" s="233"/>
      <c r="E324" s="21">
        <f>SUM(E299:E323)</f>
        <v>0</v>
      </c>
      <c r="F324" s="74" t="e">
        <f>E324/G3</f>
        <v>#DIV/0!</v>
      </c>
      <c r="G324" s="75">
        <f>SUM(G299:G323)</f>
        <v>0</v>
      </c>
      <c r="H324" s="72" t="e">
        <f>SUM(H299:H323)</f>
        <v>#DIV/0!</v>
      </c>
    </row>
    <row r="326" spans="1:8">
      <c r="A326" s="218" t="s">
        <v>7</v>
      </c>
      <c r="B326" s="218"/>
      <c r="C326" s="234" t="s">
        <v>8</v>
      </c>
      <c r="D326" s="234"/>
      <c r="E326" s="234" t="s">
        <v>104</v>
      </c>
      <c r="F326" s="234"/>
      <c r="G326" s="234"/>
      <c r="H326" s="65"/>
    </row>
    <row r="337" spans="1:8" ht="17.25" customHeight="1">
      <c r="A337" s="217" t="s">
        <v>106</v>
      </c>
      <c r="B337" s="235"/>
      <c r="C337" s="235"/>
      <c r="D337" s="235"/>
      <c r="E337" s="235"/>
      <c r="F337" s="65"/>
      <c r="G337" s="65"/>
      <c r="H337" s="65"/>
    </row>
    <row r="338" spans="1:8" ht="17.25" customHeight="1">
      <c r="A338" s="217" t="s">
        <v>107</v>
      </c>
      <c r="B338" s="235"/>
      <c r="C338" s="235"/>
      <c r="D338" s="235"/>
      <c r="E338" s="235"/>
      <c r="F338" s="65"/>
      <c r="G338" s="65"/>
      <c r="H338" s="65"/>
    </row>
    <row r="339" spans="1:8" ht="17.25" customHeight="1" thickBot="1">
      <c r="A339" s="230" t="s">
        <v>151</v>
      </c>
      <c r="B339" s="230"/>
      <c r="C339" s="230"/>
      <c r="D339" s="230"/>
      <c r="E339" s="230"/>
      <c r="F339" s="66" t="s">
        <v>119</v>
      </c>
      <c r="G339" s="104" t="e">
        <f>تسعير!E34</f>
        <v>#DIV/0!</v>
      </c>
      <c r="H339" s="65"/>
    </row>
    <row r="340" spans="1:8" ht="21" customHeight="1">
      <c r="A340" s="63" t="s">
        <v>0</v>
      </c>
      <c r="B340" s="64" t="s">
        <v>101</v>
      </c>
      <c r="C340" s="64" t="s">
        <v>100</v>
      </c>
      <c r="D340" s="64" t="s">
        <v>103</v>
      </c>
      <c r="E340" s="64" t="s">
        <v>17</v>
      </c>
      <c r="F340" s="67" t="s">
        <v>109</v>
      </c>
      <c r="G340" s="67" t="s">
        <v>18</v>
      </c>
      <c r="H340" s="69" t="s">
        <v>102</v>
      </c>
    </row>
    <row r="341" spans="1:8" ht="21" customHeight="1">
      <c r="A341" s="62">
        <v>1</v>
      </c>
      <c r="B341" s="19" t="s">
        <v>120</v>
      </c>
      <c r="C341" s="4"/>
      <c r="D341" s="19"/>
      <c r="E341" s="19"/>
      <c r="F341" s="71" t="e">
        <f>E341/G3</f>
        <v>#DIV/0!</v>
      </c>
      <c r="G341" s="68"/>
      <c r="H341" s="72" t="e">
        <f>G341+F341</f>
        <v>#DIV/0!</v>
      </c>
    </row>
    <row r="342" spans="1:8" ht="21" customHeight="1">
      <c r="A342" s="62">
        <v>2</v>
      </c>
      <c r="B342" s="19"/>
      <c r="C342" s="19"/>
      <c r="D342" s="19"/>
      <c r="E342" s="19"/>
      <c r="F342" s="71" t="e">
        <f>E342/G3</f>
        <v>#DIV/0!</v>
      </c>
      <c r="G342" s="68"/>
      <c r="H342" s="72" t="e">
        <f t="shared" ref="H342:H365" si="8">G342+F342</f>
        <v>#DIV/0!</v>
      </c>
    </row>
    <row r="343" spans="1:8" ht="21" customHeight="1">
      <c r="A343" s="62">
        <v>3</v>
      </c>
      <c r="B343" s="19"/>
      <c r="C343" s="19"/>
      <c r="D343" s="19"/>
      <c r="E343" s="19"/>
      <c r="F343" s="71" t="e">
        <f>E343/G3</f>
        <v>#DIV/0!</v>
      </c>
      <c r="G343" s="68"/>
      <c r="H343" s="72" t="e">
        <f t="shared" si="8"/>
        <v>#DIV/0!</v>
      </c>
    </row>
    <row r="344" spans="1:8" ht="21" customHeight="1">
      <c r="A344" s="62">
        <v>4</v>
      </c>
      <c r="B344" s="19"/>
      <c r="C344" s="19"/>
      <c r="D344" s="19"/>
      <c r="E344" s="19"/>
      <c r="F344" s="71" t="e">
        <f>E344/G3</f>
        <v>#DIV/0!</v>
      </c>
      <c r="G344" s="68"/>
      <c r="H344" s="72" t="e">
        <f t="shared" si="8"/>
        <v>#DIV/0!</v>
      </c>
    </row>
    <row r="345" spans="1:8" ht="21" customHeight="1">
      <c r="A345" s="62">
        <v>5</v>
      </c>
      <c r="B345" s="19"/>
      <c r="C345" s="19"/>
      <c r="D345" s="19"/>
      <c r="E345" s="19"/>
      <c r="F345" s="71" t="e">
        <f>E345/G3</f>
        <v>#DIV/0!</v>
      </c>
      <c r="G345" s="68"/>
      <c r="H345" s="72" t="e">
        <f t="shared" si="8"/>
        <v>#DIV/0!</v>
      </c>
    </row>
    <row r="346" spans="1:8" ht="21" customHeight="1">
      <c r="A346" s="62">
        <v>6</v>
      </c>
      <c r="B346" s="19"/>
      <c r="C346" s="19"/>
      <c r="D346" s="19"/>
      <c r="E346" s="19"/>
      <c r="F346" s="71" t="e">
        <f>E346/G3</f>
        <v>#DIV/0!</v>
      </c>
      <c r="G346" s="68"/>
      <c r="H346" s="72" t="e">
        <f t="shared" si="8"/>
        <v>#DIV/0!</v>
      </c>
    </row>
    <row r="347" spans="1:8" ht="21" customHeight="1">
      <c r="A347" s="62">
        <v>7</v>
      </c>
      <c r="B347" s="19"/>
      <c r="C347" s="19"/>
      <c r="D347" s="19"/>
      <c r="E347" s="19"/>
      <c r="F347" s="71" t="e">
        <f>E347/G3</f>
        <v>#DIV/0!</v>
      </c>
      <c r="G347" s="68"/>
      <c r="H347" s="72" t="e">
        <f t="shared" si="8"/>
        <v>#DIV/0!</v>
      </c>
    </row>
    <row r="348" spans="1:8" ht="21" customHeight="1">
      <c r="A348" s="62">
        <v>8</v>
      </c>
      <c r="B348" s="19"/>
      <c r="C348" s="19"/>
      <c r="D348" s="19"/>
      <c r="E348" s="19"/>
      <c r="F348" s="71" t="e">
        <f>E348/G3</f>
        <v>#DIV/0!</v>
      </c>
      <c r="G348" s="68"/>
      <c r="H348" s="72" t="e">
        <f t="shared" si="8"/>
        <v>#DIV/0!</v>
      </c>
    </row>
    <row r="349" spans="1:8" ht="21" customHeight="1">
      <c r="A349" s="62">
        <v>9</v>
      </c>
      <c r="B349" s="19"/>
      <c r="C349" s="19"/>
      <c r="D349" s="19"/>
      <c r="E349" s="19"/>
      <c r="F349" s="71" t="e">
        <f>E349/G3</f>
        <v>#DIV/0!</v>
      </c>
      <c r="G349" s="68"/>
      <c r="H349" s="72" t="e">
        <f t="shared" si="8"/>
        <v>#DIV/0!</v>
      </c>
    </row>
    <row r="350" spans="1:8" ht="21" customHeight="1">
      <c r="A350" s="62">
        <v>10</v>
      </c>
      <c r="B350" s="19"/>
      <c r="C350" s="19"/>
      <c r="D350" s="19"/>
      <c r="E350" s="19"/>
      <c r="F350" s="71" t="e">
        <f>E350/G3</f>
        <v>#DIV/0!</v>
      </c>
      <c r="G350" s="68"/>
      <c r="H350" s="72" t="e">
        <f t="shared" si="8"/>
        <v>#DIV/0!</v>
      </c>
    </row>
    <row r="351" spans="1:8" ht="21" customHeight="1">
      <c r="A351" s="62">
        <v>11</v>
      </c>
      <c r="B351" s="19"/>
      <c r="C351" s="19"/>
      <c r="D351" s="19"/>
      <c r="E351" s="19"/>
      <c r="F351" s="71" t="e">
        <f>E351/G3</f>
        <v>#DIV/0!</v>
      </c>
      <c r="G351" s="68"/>
      <c r="H351" s="72" t="e">
        <f t="shared" si="8"/>
        <v>#DIV/0!</v>
      </c>
    </row>
    <row r="352" spans="1:8" ht="21" customHeight="1">
      <c r="A352" s="62">
        <v>12</v>
      </c>
      <c r="B352" s="19"/>
      <c r="C352" s="19"/>
      <c r="D352" s="19"/>
      <c r="E352" s="19"/>
      <c r="F352" s="71" t="e">
        <f>E352/G3</f>
        <v>#DIV/0!</v>
      </c>
      <c r="G352" s="68"/>
      <c r="H352" s="72" t="e">
        <f t="shared" si="8"/>
        <v>#DIV/0!</v>
      </c>
    </row>
    <row r="353" spans="1:8" ht="21" customHeight="1">
      <c r="A353" s="62">
        <v>13</v>
      </c>
      <c r="B353" s="19"/>
      <c r="C353" s="19"/>
      <c r="D353" s="19"/>
      <c r="E353" s="19"/>
      <c r="F353" s="71" t="e">
        <f>E353/G3</f>
        <v>#DIV/0!</v>
      </c>
      <c r="G353" s="68"/>
      <c r="H353" s="72" t="e">
        <f t="shared" si="8"/>
        <v>#DIV/0!</v>
      </c>
    </row>
    <row r="354" spans="1:8" ht="21" customHeight="1">
      <c r="A354" s="62">
        <v>14</v>
      </c>
      <c r="B354" s="19"/>
      <c r="C354" s="19"/>
      <c r="D354" s="19"/>
      <c r="E354" s="19"/>
      <c r="F354" s="71" t="e">
        <f>E354/G3</f>
        <v>#DIV/0!</v>
      </c>
      <c r="G354" s="68"/>
      <c r="H354" s="72" t="e">
        <f t="shared" si="8"/>
        <v>#DIV/0!</v>
      </c>
    </row>
    <row r="355" spans="1:8" ht="21" customHeight="1">
      <c r="A355" s="62">
        <v>15</v>
      </c>
      <c r="B355" s="19"/>
      <c r="C355" s="19"/>
      <c r="D355" s="19"/>
      <c r="E355" s="19"/>
      <c r="F355" s="71" t="e">
        <f>E355/G3</f>
        <v>#DIV/0!</v>
      </c>
      <c r="G355" s="68"/>
      <c r="H355" s="72" t="e">
        <f t="shared" si="8"/>
        <v>#DIV/0!</v>
      </c>
    </row>
    <row r="356" spans="1:8" ht="21" customHeight="1">
      <c r="A356" s="62">
        <v>16</v>
      </c>
      <c r="B356" s="19"/>
      <c r="C356" s="19"/>
      <c r="D356" s="19"/>
      <c r="E356" s="19"/>
      <c r="F356" s="71" t="e">
        <f>E356/G3</f>
        <v>#DIV/0!</v>
      </c>
      <c r="G356" s="68"/>
      <c r="H356" s="72" t="e">
        <f t="shared" si="8"/>
        <v>#DIV/0!</v>
      </c>
    </row>
    <row r="357" spans="1:8" ht="21" customHeight="1">
      <c r="A357" s="62">
        <v>17</v>
      </c>
      <c r="B357" s="19"/>
      <c r="C357" s="19"/>
      <c r="D357" s="19"/>
      <c r="E357" s="19"/>
      <c r="F357" s="71" t="e">
        <f>E357/G3</f>
        <v>#DIV/0!</v>
      </c>
      <c r="G357" s="68"/>
      <c r="H357" s="72" t="e">
        <f t="shared" si="8"/>
        <v>#DIV/0!</v>
      </c>
    </row>
    <row r="358" spans="1:8" ht="21" customHeight="1">
      <c r="A358" s="62">
        <v>18</v>
      </c>
      <c r="B358" s="19"/>
      <c r="C358" s="19"/>
      <c r="D358" s="19"/>
      <c r="E358" s="19"/>
      <c r="F358" s="71" t="e">
        <f>E358/G3</f>
        <v>#DIV/0!</v>
      </c>
      <c r="G358" s="68"/>
      <c r="H358" s="72" t="e">
        <f t="shared" si="8"/>
        <v>#DIV/0!</v>
      </c>
    </row>
    <row r="359" spans="1:8" ht="21" customHeight="1">
      <c r="A359" s="62">
        <v>19</v>
      </c>
      <c r="B359" s="19"/>
      <c r="C359" s="19"/>
      <c r="D359" s="19"/>
      <c r="E359" s="19"/>
      <c r="F359" s="71" t="e">
        <f>E359/G3</f>
        <v>#DIV/0!</v>
      </c>
      <c r="G359" s="68"/>
      <c r="H359" s="72" t="e">
        <f t="shared" si="8"/>
        <v>#DIV/0!</v>
      </c>
    </row>
    <row r="360" spans="1:8" ht="21" customHeight="1">
      <c r="A360" s="62">
        <v>20</v>
      </c>
      <c r="B360" s="19"/>
      <c r="C360" s="19"/>
      <c r="D360" s="19"/>
      <c r="E360" s="19"/>
      <c r="F360" s="71" t="e">
        <f>E360/G3</f>
        <v>#DIV/0!</v>
      </c>
      <c r="G360" s="68"/>
      <c r="H360" s="72" t="e">
        <f t="shared" si="8"/>
        <v>#DIV/0!</v>
      </c>
    </row>
    <row r="361" spans="1:8" ht="21" customHeight="1">
      <c r="A361" s="62">
        <v>21</v>
      </c>
      <c r="B361" s="19"/>
      <c r="C361" s="19"/>
      <c r="D361" s="19"/>
      <c r="E361" s="19"/>
      <c r="F361" s="71" t="e">
        <f>E361/G3</f>
        <v>#DIV/0!</v>
      </c>
      <c r="G361" s="68"/>
      <c r="H361" s="72" t="e">
        <f t="shared" si="8"/>
        <v>#DIV/0!</v>
      </c>
    </row>
    <row r="362" spans="1:8" ht="21" customHeight="1">
      <c r="A362" s="62">
        <v>22</v>
      </c>
      <c r="B362" s="19"/>
      <c r="C362" s="19"/>
      <c r="D362" s="19"/>
      <c r="E362" s="19"/>
      <c r="F362" s="71" t="e">
        <f>E362/G3</f>
        <v>#DIV/0!</v>
      </c>
      <c r="G362" s="68"/>
      <c r="H362" s="72" t="e">
        <f t="shared" si="8"/>
        <v>#DIV/0!</v>
      </c>
    </row>
    <row r="363" spans="1:8" ht="21" customHeight="1">
      <c r="A363" s="62">
        <v>23</v>
      </c>
      <c r="B363" s="19"/>
      <c r="C363" s="19"/>
      <c r="D363" s="19"/>
      <c r="E363" s="19"/>
      <c r="F363" s="71" t="e">
        <f>E363/G3</f>
        <v>#DIV/0!</v>
      </c>
      <c r="G363" s="68"/>
      <c r="H363" s="72" t="e">
        <f t="shared" si="8"/>
        <v>#DIV/0!</v>
      </c>
    </row>
    <row r="364" spans="1:8" ht="21" customHeight="1">
      <c r="A364" s="62">
        <v>24</v>
      </c>
      <c r="B364" s="19"/>
      <c r="C364" s="19"/>
      <c r="D364" s="19"/>
      <c r="E364" s="19"/>
      <c r="F364" s="71" t="e">
        <f>E364/G3</f>
        <v>#DIV/0!</v>
      </c>
      <c r="G364" s="68"/>
      <c r="H364" s="72" t="e">
        <f t="shared" si="8"/>
        <v>#DIV/0!</v>
      </c>
    </row>
    <row r="365" spans="1:8" ht="21" customHeight="1">
      <c r="A365" s="62">
        <v>25</v>
      </c>
      <c r="B365" s="19"/>
      <c r="C365" s="19"/>
      <c r="D365" s="19"/>
      <c r="E365" s="19"/>
      <c r="F365" s="71" t="e">
        <f>E365/G3</f>
        <v>#DIV/0!</v>
      </c>
      <c r="G365" s="68"/>
      <c r="H365" s="72" t="e">
        <f t="shared" si="8"/>
        <v>#DIV/0!</v>
      </c>
    </row>
    <row r="366" spans="1:8" ht="21" customHeight="1" thickBot="1">
      <c r="A366" s="231" t="s">
        <v>4</v>
      </c>
      <c r="B366" s="232"/>
      <c r="C366" s="232"/>
      <c r="D366" s="233"/>
      <c r="E366" s="21">
        <f>SUM(E341:E365)</f>
        <v>0</v>
      </c>
      <c r="F366" s="74" t="e">
        <f>E366/G3</f>
        <v>#DIV/0!</v>
      </c>
      <c r="G366" s="75">
        <f>SUM(G341:G365)</f>
        <v>0</v>
      </c>
      <c r="H366" s="72" t="e">
        <f>SUM(H341:H365)</f>
        <v>#DIV/0!</v>
      </c>
    </row>
    <row r="368" spans="1:8">
      <c r="A368" s="218" t="s">
        <v>7</v>
      </c>
      <c r="B368" s="218"/>
      <c r="C368" s="234" t="s">
        <v>8</v>
      </c>
      <c r="D368" s="234"/>
      <c r="E368" s="234" t="s">
        <v>104</v>
      </c>
      <c r="F368" s="234"/>
      <c r="G368" s="234"/>
      <c r="H368" s="65"/>
    </row>
    <row r="379" spans="1:8" ht="17.25" customHeight="1">
      <c r="A379" s="217" t="s">
        <v>106</v>
      </c>
      <c r="B379" s="235"/>
      <c r="C379" s="235"/>
      <c r="D379" s="235"/>
      <c r="E379" s="235"/>
      <c r="F379" s="65"/>
      <c r="G379" s="65"/>
      <c r="H379" s="65"/>
    </row>
    <row r="380" spans="1:8" ht="17.25" customHeight="1">
      <c r="A380" s="217" t="s">
        <v>107</v>
      </c>
      <c r="B380" s="235"/>
      <c r="C380" s="235"/>
      <c r="D380" s="235"/>
      <c r="E380" s="235"/>
      <c r="F380" s="65"/>
      <c r="G380" s="65"/>
      <c r="H380" s="65"/>
    </row>
    <row r="381" spans="1:8" ht="17.25" customHeight="1" thickBot="1">
      <c r="A381" s="230" t="s">
        <v>150</v>
      </c>
      <c r="B381" s="230"/>
      <c r="C381" s="230"/>
      <c r="D381" s="230"/>
      <c r="E381" s="230"/>
      <c r="F381" s="66" t="s">
        <v>119</v>
      </c>
      <c r="G381" s="104" t="e">
        <f>تسعير!E34</f>
        <v>#DIV/0!</v>
      </c>
      <c r="H381" s="65"/>
    </row>
    <row r="382" spans="1:8" ht="21" customHeight="1">
      <c r="A382" s="63" t="s">
        <v>0</v>
      </c>
      <c r="B382" s="64" t="s">
        <v>101</v>
      </c>
      <c r="C382" s="64" t="s">
        <v>100</v>
      </c>
      <c r="D382" s="64" t="s">
        <v>103</v>
      </c>
      <c r="E382" s="64" t="s">
        <v>17</v>
      </c>
      <c r="F382" s="67" t="s">
        <v>109</v>
      </c>
      <c r="G382" s="67" t="s">
        <v>18</v>
      </c>
      <c r="H382" s="69" t="s">
        <v>102</v>
      </c>
    </row>
    <row r="383" spans="1:8" ht="21" customHeight="1">
      <c r="A383" s="62">
        <v>1</v>
      </c>
      <c r="B383" s="19" t="s">
        <v>120</v>
      </c>
      <c r="C383" s="4"/>
      <c r="D383" s="19"/>
      <c r="E383" s="19"/>
      <c r="F383" s="71" t="e">
        <f>E383/G3</f>
        <v>#DIV/0!</v>
      </c>
      <c r="G383" s="68"/>
      <c r="H383" s="72" t="e">
        <f>G383+F383</f>
        <v>#DIV/0!</v>
      </c>
    </row>
    <row r="384" spans="1:8" ht="21" customHeight="1">
      <c r="A384" s="62">
        <v>2</v>
      </c>
      <c r="B384" s="19"/>
      <c r="C384" s="19"/>
      <c r="D384" s="19"/>
      <c r="E384" s="19"/>
      <c r="F384" s="71" t="e">
        <f>E384/G3</f>
        <v>#DIV/0!</v>
      </c>
      <c r="G384" s="68"/>
      <c r="H384" s="72" t="e">
        <f t="shared" ref="H384:H407" si="9">G384+F384</f>
        <v>#DIV/0!</v>
      </c>
    </row>
    <row r="385" spans="1:8" ht="21" customHeight="1">
      <c r="A385" s="62">
        <v>3</v>
      </c>
      <c r="B385" s="19"/>
      <c r="C385" s="19"/>
      <c r="D385" s="19"/>
      <c r="E385" s="19"/>
      <c r="F385" s="71" t="e">
        <f>E385/G3</f>
        <v>#DIV/0!</v>
      </c>
      <c r="G385" s="68"/>
      <c r="H385" s="72" t="e">
        <f t="shared" si="9"/>
        <v>#DIV/0!</v>
      </c>
    </row>
    <row r="386" spans="1:8" ht="21" customHeight="1">
      <c r="A386" s="62">
        <v>4</v>
      </c>
      <c r="B386" s="19"/>
      <c r="C386" s="19"/>
      <c r="D386" s="19"/>
      <c r="E386" s="19"/>
      <c r="F386" s="71" t="e">
        <f>E386/G3</f>
        <v>#DIV/0!</v>
      </c>
      <c r="G386" s="68"/>
      <c r="H386" s="72" t="e">
        <f t="shared" si="9"/>
        <v>#DIV/0!</v>
      </c>
    </row>
    <row r="387" spans="1:8" ht="21" customHeight="1">
      <c r="A387" s="62">
        <v>5</v>
      </c>
      <c r="B387" s="19"/>
      <c r="C387" s="19"/>
      <c r="D387" s="19"/>
      <c r="E387" s="19"/>
      <c r="F387" s="71" t="e">
        <f>E387/G3</f>
        <v>#DIV/0!</v>
      </c>
      <c r="G387" s="68"/>
      <c r="H387" s="72" t="e">
        <f t="shared" si="9"/>
        <v>#DIV/0!</v>
      </c>
    </row>
    <row r="388" spans="1:8" ht="21" customHeight="1">
      <c r="A388" s="62">
        <v>6</v>
      </c>
      <c r="B388" s="19"/>
      <c r="C388" s="19"/>
      <c r="D388" s="19"/>
      <c r="E388" s="19"/>
      <c r="F388" s="71" t="e">
        <f>E388/G3</f>
        <v>#DIV/0!</v>
      </c>
      <c r="G388" s="68"/>
      <c r="H388" s="72" t="e">
        <f t="shared" si="9"/>
        <v>#DIV/0!</v>
      </c>
    </row>
    <row r="389" spans="1:8" ht="21" customHeight="1">
      <c r="A389" s="62">
        <v>7</v>
      </c>
      <c r="B389" s="19"/>
      <c r="C389" s="19"/>
      <c r="D389" s="19"/>
      <c r="E389" s="19"/>
      <c r="F389" s="71" t="e">
        <f>E389/G3</f>
        <v>#DIV/0!</v>
      </c>
      <c r="G389" s="68"/>
      <c r="H389" s="72" t="e">
        <f t="shared" si="9"/>
        <v>#DIV/0!</v>
      </c>
    </row>
    <row r="390" spans="1:8" ht="21" customHeight="1">
      <c r="A390" s="62">
        <v>8</v>
      </c>
      <c r="B390" s="19"/>
      <c r="C390" s="19"/>
      <c r="D390" s="19"/>
      <c r="E390" s="19"/>
      <c r="F390" s="71" t="e">
        <f>E390/G3</f>
        <v>#DIV/0!</v>
      </c>
      <c r="G390" s="68"/>
      <c r="H390" s="72" t="e">
        <f t="shared" si="9"/>
        <v>#DIV/0!</v>
      </c>
    </row>
    <row r="391" spans="1:8" ht="21" customHeight="1">
      <c r="A391" s="62">
        <v>9</v>
      </c>
      <c r="B391" s="19"/>
      <c r="C391" s="19"/>
      <c r="D391" s="19"/>
      <c r="E391" s="19"/>
      <c r="F391" s="71" t="e">
        <f>E391/G3</f>
        <v>#DIV/0!</v>
      </c>
      <c r="G391" s="68"/>
      <c r="H391" s="72" t="e">
        <f t="shared" si="9"/>
        <v>#DIV/0!</v>
      </c>
    </row>
    <row r="392" spans="1:8" ht="21" customHeight="1">
      <c r="A392" s="62">
        <v>10</v>
      </c>
      <c r="B392" s="19"/>
      <c r="C392" s="19"/>
      <c r="D392" s="19"/>
      <c r="E392" s="19"/>
      <c r="F392" s="71" t="e">
        <f>E392/G3</f>
        <v>#DIV/0!</v>
      </c>
      <c r="G392" s="68"/>
      <c r="H392" s="72" t="e">
        <f t="shared" si="9"/>
        <v>#DIV/0!</v>
      </c>
    </row>
    <row r="393" spans="1:8" ht="21" customHeight="1">
      <c r="A393" s="62">
        <v>11</v>
      </c>
      <c r="B393" s="19"/>
      <c r="C393" s="19"/>
      <c r="D393" s="19"/>
      <c r="E393" s="19"/>
      <c r="F393" s="71" t="e">
        <f>E393/G3</f>
        <v>#DIV/0!</v>
      </c>
      <c r="G393" s="68"/>
      <c r="H393" s="72" t="e">
        <f t="shared" si="9"/>
        <v>#DIV/0!</v>
      </c>
    </row>
    <row r="394" spans="1:8" ht="21" customHeight="1">
      <c r="A394" s="62">
        <v>12</v>
      </c>
      <c r="B394" s="19"/>
      <c r="C394" s="19"/>
      <c r="D394" s="19"/>
      <c r="E394" s="19"/>
      <c r="F394" s="71" t="e">
        <f>E394/G3</f>
        <v>#DIV/0!</v>
      </c>
      <c r="G394" s="68"/>
      <c r="H394" s="72" t="e">
        <f t="shared" si="9"/>
        <v>#DIV/0!</v>
      </c>
    </row>
    <row r="395" spans="1:8" ht="21" customHeight="1">
      <c r="A395" s="62">
        <v>13</v>
      </c>
      <c r="B395" s="19"/>
      <c r="C395" s="19"/>
      <c r="D395" s="19"/>
      <c r="E395" s="19"/>
      <c r="F395" s="71" t="e">
        <f>E395/G3</f>
        <v>#DIV/0!</v>
      </c>
      <c r="G395" s="68"/>
      <c r="H395" s="72" t="e">
        <f t="shared" si="9"/>
        <v>#DIV/0!</v>
      </c>
    </row>
    <row r="396" spans="1:8" ht="21" customHeight="1">
      <c r="A396" s="62">
        <v>14</v>
      </c>
      <c r="B396" s="19"/>
      <c r="C396" s="19"/>
      <c r="D396" s="19"/>
      <c r="E396" s="19"/>
      <c r="F396" s="71" t="e">
        <f>E396/G3</f>
        <v>#DIV/0!</v>
      </c>
      <c r="G396" s="68"/>
      <c r="H396" s="72" t="e">
        <f t="shared" si="9"/>
        <v>#DIV/0!</v>
      </c>
    </row>
    <row r="397" spans="1:8" ht="21" customHeight="1">
      <c r="A397" s="62">
        <v>15</v>
      </c>
      <c r="B397" s="19"/>
      <c r="C397" s="19"/>
      <c r="D397" s="19"/>
      <c r="E397" s="19"/>
      <c r="F397" s="71" t="e">
        <f>E397/G3</f>
        <v>#DIV/0!</v>
      </c>
      <c r="G397" s="68"/>
      <c r="H397" s="72" t="e">
        <f t="shared" si="9"/>
        <v>#DIV/0!</v>
      </c>
    </row>
    <row r="398" spans="1:8" ht="21" customHeight="1">
      <c r="A398" s="62">
        <v>16</v>
      </c>
      <c r="B398" s="19"/>
      <c r="C398" s="19"/>
      <c r="D398" s="19"/>
      <c r="E398" s="19"/>
      <c r="F398" s="71" t="e">
        <f>E398/G3</f>
        <v>#DIV/0!</v>
      </c>
      <c r="G398" s="68"/>
      <c r="H398" s="72" t="e">
        <f t="shared" si="9"/>
        <v>#DIV/0!</v>
      </c>
    </row>
    <row r="399" spans="1:8" ht="21" customHeight="1">
      <c r="A399" s="62">
        <v>17</v>
      </c>
      <c r="B399" s="19"/>
      <c r="C399" s="19"/>
      <c r="D399" s="19"/>
      <c r="E399" s="19"/>
      <c r="F399" s="71" t="e">
        <f>E399/G3</f>
        <v>#DIV/0!</v>
      </c>
      <c r="G399" s="68"/>
      <c r="H399" s="72" t="e">
        <f t="shared" si="9"/>
        <v>#DIV/0!</v>
      </c>
    </row>
    <row r="400" spans="1:8" ht="21" customHeight="1">
      <c r="A400" s="62">
        <v>18</v>
      </c>
      <c r="B400" s="19"/>
      <c r="C400" s="19"/>
      <c r="D400" s="19"/>
      <c r="E400" s="19"/>
      <c r="F400" s="71" t="e">
        <f>E400/G3</f>
        <v>#DIV/0!</v>
      </c>
      <c r="G400" s="68"/>
      <c r="H400" s="72" t="e">
        <f t="shared" si="9"/>
        <v>#DIV/0!</v>
      </c>
    </row>
    <row r="401" spans="1:8" ht="21" customHeight="1">
      <c r="A401" s="62">
        <v>19</v>
      </c>
      <c r="B401" s="19"/>
      <c r="C401" s="19"/>
      <c r="D401" s="19"/>
      <c r="E401" s="19"/>
      <c r="F401" s="71" t="e">
        <f>E401/G3</f>
        <v>#DIV/0!</v>
      </c>
      <c r="G401" s="68"/>
      <c r="H401" s="72" t="e">
        <f t="shared" si="9"/>
        <v>#DIV/0!</v>
      </c>
    </row>
    <row r="402" spans="1:8" ht="21" customHeight="1">
      <c r="A402" s="62">
        <v>20</v>
      </c>
      <c r="B402" s="19"/>
      <c r="C402" s="19"/>
      <c r="D402" s="19"/>
      <c r="E402" s="19"/>
      <c r="F402" s="71" t="e">
        <f>E402/G3</f>
        <v>#DIV/0!</v>
      </c>
      <c r="G402" s="68"/>
      <c r="H402" s="72" t="e">
        <f t="shared" si="9"/>
        <v>#DIV/0!</v>
      </c>
    </row>
    <row r="403" spans="1:8" ht="21" customHeight="1">
      <c r="A403" s="62">
        <v>21</v>
      </c>
      <c r="B403" s="19"/>
      <c r="C403" s="19"/>
      <c r="D403" s="19"/>
      <c r="E403" s="19"/>
      <c r="F403" s="71" t="e">
        <f>E403/G3</f>
        <v>#DIV/0!</v>
      </c>
      <c r="G403" s="68"/>
      <c r="H403" s="72" t="e">
        <f t="shared" si="9"/>
        <v>#DIV/0!</v>
      </c>
    </row>
    <row r="404" spans="1:8" ht="21" customHeight="1">
      <c r="A404" s="62">
        <v>22</v>
      </c>
      <c r="B404" s="19"/>
      <c r="C404" s="19"/>
      <c r="D404" s="19"/>
      <c r="E404" s="19"/>
      <c r="F404" s="71" t="e">
        <f>E404/G3</f>
        <v>#DIV/0!</v>
      </c>
      <c r="G404" s="68"/>
      <c r="H404" s="72" t="e">
        <f t="shared" si="9"/>
        <v>#DIV/0!</v>
      </c>
    </row>
    <row r="405" spans="1:8" ht="21" customHeight="1">
      <c r="A405" s="62">
        <v>23</v>
      </c>
      <c r="B405" s="19"/>
      <c r="C405" s="19"/>
      <c r="D405" s="19"/>
      <c r="E405" s="19"/>
      <c r="F405" s="71" t="e">
        <f>E405/G3</f>
        <v>#DIV/0!</v>
      </c>
      <c r="G405" s="68"/>
      <c r="H405" s="72" t="e">
        <f t="shared" si="9"/>
        <v>#DIV/0!</v>
      </c>
    </row>
    <row r="406" spans="1:8" ht="21" customHeight="1">
      <c r="A406" s="62">
        <v>24</v>
      </c>
      <c r="B406" s="19"/>
      <c r="C406" s="19"/>
      <c r="D406" s="19"/>
      <c r="E406" s="19"/>
      <c r="F406" s="71" t="e">
        <f>E406/G3</f>
        <v>#DIV/0!</v>
      </c>
      <c r="G406" s="68"/>
      <c r="H406" s="72" t="e">
        <f t="shared" si="9"/>
        <v>#DIV/0!</v>
      </c>
    </row>
    <row r="407" spans="1:8" ht="21" customHeight="1">
      <c r="A407" s="62">
        <v>25</v>
      </c>
      <c r="B407" s="19"/>
      <c r="C407" s="19"/>
      <c r="D407" s="19"/>
      <c r="E407" s="19"/>
      <c r="F407" s="71" t="e">
        <f>E407/G3</f>
        <v>#DIV/0!</v>
      </c>
      <c r="G407" s="68"/>
      <c r="H407" s="72" t="e">
        <f t="shared" si="9"/>
        <v>#DIV/0!</v>
      </c>
    </row>
    <row r="408" spans="1:8" ht="21" customHeight="1" thickBot="1">
      <c r="A408" s="231" t="s">
        <v>4</v>
      </c>
      <c r="B408" s="232"/>
      <c r="C408" s="232"/>
      <c r="D408" s="233"/>
      <c r="E408" s="21">
        <f>SUM(E383:E407)</f>
        <v>0</v>
      </c>
      <c r="F408" s="74" t="e">
        <f>E408/G3</f>
        <v>#DIV/0!</v>
      </c>
      <c r="G408" s="75">
        <f>SUM(G383:G407)</f>
        <v>0</v>
      </c>
      <c r="H408" s="72" t="e">
        <f>SUM(H383:H407)</f>
        <v>#DIV/0!</v>
      </c>
    </row>
    <row r="410" spans="1:8">
      <c r="A410" s="218" t="s">
        <v>7</v>
      </c>
      <c r="B410" s="218"/>
      <c r="C410" s="234" t="s">
        <v>8</v>
      </c>
      <c r="D410" s="234"/>
      <c r="E410" s="234" t="s">
        <v>104</v>
      </c>
      <c r="F410" s="234"/>
      <c r="G410" s="234"/>
      <c r="H410" s="65"/>
    </row>
  </sheetData>
  <mergeCells count="80">
    <mergeCell ref="A379:E379"/>
    <mergeCell ref="A380:E380"/>
    <mergeCell ref="A381:E381"/>
    <mergeCell ref="A408:D408"/>
    <mergeCell ref="A410:B410"/>
    <mergeCell ref="C410:D410"/>
    <mergeCell ref="E410:G410"/>
    <mergeCell ref="A337:E337"/>
    <mergeCell ref="A338:E338"/>
    <mergeCell ref="A339:E339"/>
    <mergeCell ref="A366:D366"/>
    <mergeCell ref="A368:B368"/>
    <mergeCell ref="C368:D368"/>
    <mergeCell ref="E368:G368"/>
    <mergeCell ref="A295:E295"/>
    <mergeCell ref="A296:E296"/>
    <mergeCell ref="A297:E297"/>
    <mergeCell ref="A324:D324"/>
    <mergeCell ref="A326:B326"/>
    <mergeCell ref="C326:D326"/>
    <mergeCell ref="E326:G326"/>
    <mergeCell ref="A253:E253"/>
    <mergeCell ref="A254:E254"/>
    <mergeCell ref="A255:E255"/>
    <mergeCell ref="A282:D282"/>
    <mergeCell ref="A284:B284"/>
    <mergeCell ref="C284:D284"/>
    <mergeCell ref="E284:G284"/>
    <mergeCell ref="A211:E211"/>
    <mergeCell ref="A212:E212"/>
    <mergeCell ref="A213:E213"/>
    <mergeCell ref="A240:D240"/>
    <mergeCell ref="A242:B242"/>
    <mergeCell ref="C242:D242"/>
    <mergeCell ref="E242:G242"/>
    <mergeCell ref="A169:E169"/>
    <mergeCell ref="A170:E170"/>
    <mergeCell ref="A171:E171"/>
    <mergeCell ref="A198:D198"/>
    <mergeCell ref="A200:B200"/>
    <mergeCell ref="C200:D200"/>
    <mergeCell ref="E200:G200"/>
    <mergeCell ref="A127:E127"/>
    <mergeCell ref="A128:E128"/>
    <mergeCell ref="A129:E129"/>
    <mergeCell ref="A156:D156"/>
    <mergeCell ref="A158:B158"/>
    <mergeCell ref="C158:D158"/>
    <mergeCell ref="E158:G158"/>
    <mergeCell ref="A45:E45"/>
    <mergeCell ref="A72:D72"/>
    <mergeCell ref="A87:E87"/>
    <mergeCell ref="A114:D114"/>
    <mergeCell ref="A116:B116"/>
    <mergeCell ref="C116:D116"/>
    <mergeCell ref="E116:G116"/>
    <mergeCell ref="A85:E85"/>
    <mergeCell ref="A86:E86"/>
    <mergeCell ref="A74:B74"/>
    <mergeCell ref="C74:D74"/>
    <mergeCell ref="E74:G74"/>
    <mergeCell ref="A32:B32"/>
    <mergeCell ref="C32:D32"/>
    <mergeCell ref="E32:G32"/>
    <mergeCell ref="A43:E43"/>
    <mergeCell ref="A44:E44"/>
    <mergeCell ref="J2:L2"/>
    <mergeCell ref="A1:E1"/>
    <mergeCell ref="A2:E2"/>
    <mergeCell ref="A3:E3"/>
    <mergeCell ref="A30:D30"/>
    <mergeCell ref="J1:L1"/>
    <mergeCell ref="J3:L3"/>
    <mergeCell ref="J4:L4"/>
    <mergeCell ref="J5:L5"/>
    <mergeCell ref="J6:L6"/>
    <mergeCell ref="J7:L7"/>
    <mergeCell ref="J8:L8"/>
    <mergeCell ref="J9:L9"/>
    <mergeCell ref="J10:L10"/>
  </mergeCells>
  <hyperlinks>
    <hyperlink ref="J1:L1" location="'ريز فرهنگي'!A1" display="برگزاري جشن نوروز"/>
    <hyperlink ref="A3:E3" location="'ريز فرهنگي'!A1" display="هزينه فرهنگي: برگزاري جشن نوروز"/>
    <hyperlink ref="J2:L2" location="'ريز فرهنگي'!A45" display="برگزاري مراسم ارتحال امام"/>
    <hyperlink ref="A45:E45" location="'ريز فرهنگي'!A1" display="هزينه فرهنگي: برگزاري مراسم ارتحال امام"/>
    <hyperlink ref="A87:E87" location="'ريز فرهنگي'!A1" display="هزينه فرهنگي سه:"/>
    <hyperlink ref="A129:E129" location="'ريز فرهنگي'!A1" display="هزينه فرهنگي: برگزاري مراسم ارتحال امام"/>
    <hyperlink ref="A171:E171" location="'ريز فرهنگي'!A1" display="هزينه فرهنگي: برگزاري مراسم ارتحال امام"/>
    <hyperlink ref="A213:E213" location="'ريز فرهنگي'!A1" display="هزينه فرهنگي: برگزاري مراسم ارتحال امام"/>
    <hyperlink ref="A255:E255" location="'ريز فرهنگي'!A1" display="هزينه فرهنگي: برگزاري مراسم ارتحال امام"/>
    <hyperlink ref="A297:E297" location="'ريز فرهنگي'!A1" display="هزينه فرهنگي: برگزاري مراسم ارتحال امام"/>
    <hyperlink ref="A339:E339" location="'ريز فرهنگي'!A1" display="هزينه فرهنگي: برگزاري مراسم ارتحال امام"/>
    <hyperlink ref="A381:E381" location="'ريز فرهنگي'!A1" display="هزينه فرهنگي: برگزاري مراسم ارتحال امام"/>
    <hyperlink ref="J3:L3" location="'ريز فرهنگي'!A87" display="هزينه سه:"/>
    <hyperlink ref="J4:L4" location="'ريز فرهنگي'!A129" display="هزينه چهار:"/>
    <hyperlink ref="J5:L5" location="'ريز فرهنگي'!A171" display="هزينه پنج:"/>
    <hyperlink ref="J6:L6" location="'ريز فرهنگي'!A213" display="هزينه شش:"/>
    <hyperlink ref="J7:L7" location="'ريز فرهنگي'!A255" display="هزينه هفت:"/>
    <hyperlink ref="J9:L9" location="'ريز فرهنگي'!A339" display="هزينه نه:"/>
    <hyperlink ref="J8:L8" location="'ريز فرهنگي'!A297" display="هزينه هشت:"/>
    <hyperlink ref="J10:L10" location="'ريز فرهنگي'!A381" display="هزينه ده:"/>
  </hyperlinks>
  <pageMargins left="0.39370078740157483" right="0.59055118110236227" top="0.39370078740157483" bottom="0.39370078740157483" header="0.31496062992125984" footer="0.31496062992125984"/>
  <pageSetup paperSize="9" orientation="portrait" verticalDpi="0" r:id="rId1"/>
</worksheet>
</file>

<file path=xl/worksheets/sheet4.xml><?xml version="1.0" encoding="utf-8"?>
<worksheet xmlns="http://schemas.openxmlformats.org/spreadsheetml/2006/main" xmlns:r="http://schemas.openxmlformats.org/officeDocument/2006/relationships">
  <sheetPr>
    <tabColor rgb="FF92D050"/>
  </sheetPr>
  <dimension ref="A1:F92"/>
  <sheetViews>
    <sheetView rightToLeft="1" zoomScale="90" zoomScaleNormal="90" workbookViewId="0">
      <selection activeCell="C52" sqref="C52"/>
    </sheetView>
  </sheetViews>
  <sheetFormatPr defaultRowHeight="15"/>
  <cols>
    <col min="1" max="1" width="4.7109375" customWidth="1"/>
    <col min="2" max="2" width="13.7109375" customWidth="1"/>
    <col min="3" max="3" width="36.140625" customWidth="1"/>
    <col min="4" max="6" width="13.7109375" customWidth="1"/>
  </cols>
  <sheetData>
    <row r="1" spans="1:6" ht="17.25">
      <c r="A1" s="239" t="s">
        <v>303</v>
      </c>
      <c r="B1" s="240"/>
      <c r="C1" s="240"/>
      <c r="D1" s="240"/>
      <c r="E1" s="17"/>
      <c r="F1" s="17"/>
    </row>
    <row r="2" spans="1:6" ht="17.25">
      <c r="A2" s="239" t="s">
        <v>58</v>
      </c>
      <c r="B2" s="240"/>
      <c r="C2" s="240"/>
      <c r="D2" s="240"/>
      <c r="E2" s="17"/>
      <c r="F2" s="17"/>
    </row>
    <row r="3" spans="1:6" ht="17.25" customHeight="1" thickBot="1">
      <c r="A3" s="5"/>
      <c r="B3" s="5"/>
      <c r="C3" s="5"/>
      <c r="D3" s="18"/>
      <c r="E3" s="18"/>
      <c r="F3" s="18"/>
    </row>
    <row r="4" spans="1:6" ht="16.5" customHeight="1">
      <c r="A4" s="25" t="s">
        <v>0</v>
      </c>
      <c r="B4" s="26" t="s">
        <v>15</v>
      </c>
      <c r="C4" s="26" t="s">
        <v>16</v>
      </c>
      <c r="D4" s="26" t="s">
        <v>17</v>
      </c>
      <c r="E4" s="26" t="s">
        <v>18</v>
      </c>
      <c r="F4" s="27" t="s">
        <v>19</v>
      </c>
    </row>
    <row r="5" spans="1:6" ht="16.5" customHeight="1">
      <c r="A5" s="197">
        <v>1</v>
      </c>
      <c r="B5" s="19"/>
      <c r="C5" s="85" t="s">
        <v>122</v>
      </c>
      <c r="D5" s="70">
        <f>'ريز جاري'!E30</f>
        <v>0</v>
      </c>
      <c r="E5" s="70">
        <f>'ريز جاري'!G30</f>
        <v>0</v>
      </c>
      <c r="F5" s="58" t="e">
        <f>D5/تسعير!E34+E5</f>
        <v>#DIV/0!</v>
      </c>
    </row>
    <row r="6" spans="1:6" ht="16.5" customHeight="1">
      <c r="A6" s="197">
        <v>2</v>
      </c>
      <c r="B6" s="19"/>
      <c r="C6" s="85" t="s">
        <v>123</v>
      </c>
      <c r="D6" s="70">
        <f>'ريز جاري'!E72</f>
        <v>0</v>
      </c>
      <c r="E6" s="70">
        <f>'ريز جاري'!G72</f>
        <v>0</v>
      </c>
      <c r="F6" s="58" t="e">
        <f>D6/تسعير!E34+E6</f>
        <v>#DIV/0!</v>
      </c>
    </row>
    <row r="7" spans="1:6" ht="16.5" customHeight="1">
      <c r="A7" s="197">
        <v>3</v>
      </c>
      <c r="B7" s="19"/>
      <c r="C7" s="85" t="s">
        <v>111</v>
      </c>
      <c r="D7" s="70">
        <f>'ريز جاري'!E156</f>
        <v>0</v>
      </c>
      <c r="E7" s="70">
        <f>'ريز جاري'!G156</f>
        <v>0</v>
      </c>
      <c r="F7" s="58" t="e">
        <f>D7/تسعير!E34+E7</f>
        <v>#DIV/0!</v>
      </c>
    </row>
    <row r="8" spans="1:6" ht="16.5" customHeight="1">
      <c r="A8" s="197">
        <v>4</v>
      </c>
      <c r="B8" s="19"/>
      <c r="C8" s="85" t="s">
        <v>112</v>
      </c>
      <c r="D8" s="70">
        <f>'ريز جاري'!E198</f>
        <v>0</v>
      </c>
      <c r="E8" s="70">
        <f>'ريز جاري'!G198</f>
        <v>0</v>
      </c>
      <c r="F8" s="58" t="e">
        <f>D8/تسعير!E34+E8</f>
        <v>#DIV/0!</v>
      </c>
    </row>
    <row r="9" spans="1:6" ht="16.5" customHeight="1">
      <c r="A9" s="197">
        <v>5</v>
      </c>
      <c r="B9" s="19"/>
      <c r="C9" s="85" t="s">
        <v>113</v>
      </c>
      <c r="D9" s="70">
        <f>'ريز جاري'!E240</f>
        <v>0</v>
      </c>
      <c r="E9" s="70">
        <f>'ريز جاري'!G240</f>
        <v>0</v>
      </c>
      <c r="F9" s="58" t="e">
        <f>D9/تسعير!E34+E9</f>
        <v>#DIV/0!</v>
      </c>
    </row>
    <row r="10" spans="1:6" ht="16.5" customHeight="1">
      <c r="A10" s="197">
        <v>6</v>
      </c>
      <c r="B10" s="19"/>
      <c r="C10" s="85" t="s">
        <v>114</v>
      </c>
      <c r="D10" s="70">
        <f>'ريز جاري'!E282</f>
        <v>0</v>
      </c>
      <c r="E10" s="70">
        <f>'ريز جاري'!G282</f>
        <v>0</v>
      </c>
      <c r="F10" s="58" t="e">
        <f>D10/تسعير!E34+E10</f>
        <v>#DIV/0!</v>
      </c>
    </row>
    <row r="11" spans="1:6" ht="16.5" customHeight="1">
      <c r="A11" s="197">
        <v>7</v>
      </c>
      <c r="B11" s="19"/>
      <c r="C11" s="85" t="s">
        <v>124</v>
      </c>
      <c r="D11" s="70">
        <f>'ريز جاري'!E324</f>
        <v>0</v>
      </c>
      <c r="E11" s="70">
        <f>'ريز جاري'!G324</f>
        <v>0</v>
      </c>
      <c r="F11" s="58" t="e">
        <f>D11/تسعير!E34+E11</f>
        <v>#DIV/0!</v>
      </c>
    </row>
    <row r="12" spans="1:6" ht="16.5" customHeight="1">
      <c r="A12" s="197">
        <v>8</v>
      </c>
      <c r="B12" s="19"/>
      <c r="C12" s="85" t="s">
        <v>116</v>
      </c>
      <c r="D12" s="70">
        <f>'ريز جاري'!E366</f>
        <v>0</v>
      </c>
      <c r="E12" s="70">
        <f>'ريز جاري'!G366</f>
        <v>0</v>
      </c>
      <c r="F12" s="58" t="e">
        <f>D12/تسعير!E34+E12</f>
        <v>#DIV/0!</v>
      </c>
    </row>
    <row r="13" spans="1:6" ht="16.5" customHeight="1">
      <c r="A13" s="197">
        <v>9</v>
      </c>
      <c r="B13" s="19"/>
      <c r="C13" s="85" t="s">
        <v>117</v>
      </c>
      <c r="D13" s="70">
        <f>'ريز جاري'!E408</f>
        <v>0</v>
      </c>
      <c r="E13" s="70">
        <f>'ريز جاري'!G408</f>
        <v>0</v>
      </c>
      <c r="F13" s="58" t="e">
        <f>D13/تسعير!E34+E13</f>
        <v>#DIV/0!</v>
      </c>
    </row>
    <row r="14" spans="1:6" ht="16.5" customHeight="1">
      <c r="A14" s="197">
        <v>10</v>
      </c>
      <c r="B14" s="19"/>
      <c r="C14" s="85" t="s">
        <v>20</v>
      </c>
      <c r="D14" s="70">
        <f>'ريز جاري'!E450</f>
        <v>0</v>
      </c>
      <c r="E14" s="70">
        <f>'ريز جاري'!G450</f>
        <v>0</v>
      </c>
      <c r="F14" s="58" t="e">
        <f>D14/تسعير!E34+E14</f>
        <v>#DIV/0!</v>
      </c>
    </row>
    <row r="15" spans="1:6" ht="16.5" customHeight="1">
      <c r="A15" s="197">
        <v>11</v>
      </c>
      <c r="B15" s="19"/>
      <c r="C15" s="85" t="s">
        <v>118</v>
      </c>
      <c r="D15" s="70">
        <f>'ريز جاري'!E492</f>
        <v>0</v>
      </c>
      <c r="E15" s="70">
        <f>'ريز جاري'!G492</f>
        <v>0</v>
      </c>
      <c r="F15" s="58" t="e">
        <f>D15/تسعير!E34+E15</f>
        <v>#DIV/0!</v>
      </c>
    </row>
    <row r="16" spans="1:6" ht="16.5" customHeight="1">
      <c r="A16" s="197">
        <v>12</v>
      </c>
      <c r="B16" s="19"/>
      <c r="C16" s="85" t="s">
        <v>110</v>
      </c>
      <c r="D16" s="70">
        <f>'ريز جاري'!E114</f>
        <v>0</v>
      </c>
      <c r="E16" s="70">
        <f>'ريز جاري'!G114</f>
        <v>0</v>
      </c>
      <c r="F16" s="58" t="e">
        <f>D16/تسعير!E34+E16</f>
        <v>#DIV/0!</v>
      </c>
    </row>
    <row r="17" spans="1:6" ht="16.5" customHeight="1">
      <c r="A17" s="197">
        <v>13</v>
      </c>
      <c r="B17" s="19"/>
      <c r="C17" s="62" t="s">
        <v>41</v>
      </c>
      <c r="D17" s="136"/>
      <c r="E17" s="136"/>
      <c r="F17" s="58" t="e">
        <f>D17/تسعير!E34+E17</f>
        <v>#DIV/0!</v>
      </c>
    </row>
    <row r="18" spans="1:6" ht="16.5" customHeight="1">
      <c r="A18" s="197">
        <v>14</v>
      </c>
      <c r="B18" s="19"/>
      <c r="C18" s="19"/>
      <c r="D18" s="19"/>
      <c r="E18" s="19"/>
      <c r="F18" s="58" t="e">
        <f>D18/تسعير!E34+E18</f>
        <v>#DIV/0!</v>
      </c>
    </row>
    <row r="19" spans="1:6" ht="16.5" customHeight="1">
      <c r="A19" s="197">
        <v>15</v>
      </c>
      <c r="B19" s="19"/>
      <c r="C19" s="19"/>
      <c r="D19" s="19"/>
      <c r="E19" s="19"/>
      <c r="F19" s="58" t="e">
        <f>D19/تسعير!E34+E19</f>
        <v>#DIV/0!</v>
      </c>
    </row>
    <row r="20" spans="1:6" ht="16.5" customHeight="1">
      <c r="A20" s="197">
        <v>16</v>
      </c>
      <c r="B20" s="19"/>
      <c r="C20" s="19"/>
      <c r="D20" s="19"/>
      <c r="E20" s="19"/>
      <c r="F20" s="58" t="e">
        <f>D20/تسعير!E34+E20</f>
        <v>#DIV/0!</v>
      </c>
    </row>
    <row r="21" spans="1:6" ht="16.5" customHeight="1">
      <c r="A21" s="197">
        <v>17</v>
      </c>
      <c r="B21" s="19"/>
      <c r="C21" s="19"/>
      <c r="D21" s="19"/>
      <c r="E21" s="19"/>
      <c r="F21" s="58" t="e">
        <f>D21/تسعير!E34+E21</f>
        <v>#DIV/0!</v>
      </c>
    </row>
    <row r="22" spans="1:6" ht="16.5" customHeight="1">
      <c r="A22" s="197">
        <v>18</v>
      </c>
      <c r="B22" s="19"/>
      <c r="C22" s="19"/>
      <c r="D22" s="19"/>
      <c r="E22" s="19"/>
      <c r="F22" s="58" t="e">
        <f>D22/تسعير!E34+E22</f>
        <v>#DIV/0!</v>
      </c>
    </row>
    <row r="23" spans="1:6" ht="16.5" customHeight="1">
      <c r="A23" s="197">
        <v>19</v>
      </c>
      <c r="B23" s="19"/>
      <c r="C23" s="19"/>
      <c r="D23" s="19"/>
      <c r="E23" s="19"/>
      <c r="F23" s="58" t="e">
        <f>D23/تسعير!E34+E23</f>
        <v>#DIV/0!</v>
      </c>
    </row>
    <row r="24" spans="1:6" ht="16.5" customHeight="1">
      <c r="A24" s="197">
        <v>20</v>
      </c>
      <c r="B24" s="19"/>
      <c r="C24" s="19"/>
      <c r="D24" s="19"/>
      <c r="E24" s="19"/>
      <c r="F24" s="58" t="e">
        <f>D24/تسعير!E34+E24</f>
        <v>#DIV/0!</v>
      </c>
    </row>
    <row r="25" spans="1:6" ht="16.5" customHeight="1">
      <c r="A25" s="197">
        <v>21</v>
      </c>
      <c r="B25" s="19"/>
      <c r="C25" s="19"/>
      <c r="D25" s="19"/>
      <c r="E25" s="19"/>
      <c r="F25" s="58" t="e">
        <f>D25/تسعير!E34+E25</f>
        <v>#DIV/0!</v>
      </c>
    </row>
    <row r="26" spans="1:6" ht="16.5" customHeight="1">
      <c r="A26" s="197">
        <v>22</v>
      </c>
      <c r="B26" s="19"/>
      <c r="C26" s="19"/>
      <c r="D26" s="19"/>
      <c r="E26" s="19"/>
      <c r="F26" s="58" t="e">
        <f>D26/تسعير!E34+E26</f>
        <v>#DIV/0!</v>
      </c>
    </row>
    <row r="27" spans="1:6" ht="16.5" customHeight="1">
      <c r="A27" s="197">
        <v>23</v>
      </c>
      <c r="B27" s="19"/>
      <c r="C27" s="19"/>
      <c r="D27" s="19"/>
      <c r="E27" s="19"/>
      <c r="F27" s="58" t="e">
        <f>D27/تسعير!E34+E27</f>
        <v>#DIV/0!</v>
      </c>
    </row>
    <row r="28" spans="1:6" ht="16.5" customHeight="1">
      <c r="A28" s="197">
        <v>24</v>
      </c>
      <c r="B28" s="19"/>
      <c r="C28" s="19"/>
      <c r="D28" s="19"/>
      <c r="E28" s="19"/>
      <c r="F28" s="58" t="e">
        <f>D28/تسعير!E34+E28</f>
        <v>#DIV/0!</v>
      </c>
    </row>
    <row r="29" spans="1:6" ht="16.5" customHeight="1">
      <c r="A29" s="197">
        <v>25</v>
      </c>
      <c r="B29" s="19"/>
      <c r="C29" s="19"/>
      <c r="D29" s="19"/>
      <c r="E29" s="19"/>
      <c r="F29" s="58" t="e">
        <f>D29/تسعير!E34+E29</f>
        <v>#DIV/0!</v>
      </c>
    </row>
    <row r="30" spans="1:6" ht="16.5" customHeight="1">
      <c r="A30" s="197">
        <v>26</v>
      </c>
      <c r="B30" s="19"/>
      <c r="C30" s="19"/>
      <c r="D30" s="19"/>
      <c r="E30" s="19"/>
      <c r="F30" s="58" t="e">
        <f>D30/تسعير!E34+E30</f>
        <v>#DIV/0!</v>
      </c>
    </row>
    <row r="31" spans="1:6" ht="16.5" customHeight="1">
      <c r="A31" s="197">
        <v>27</v>
      </c>
      <c r="B31" s="19"/>
      <c r="C31" s="19"/>
      <c r="D31" s="19"/>
      <c r="E31" s="19"/>
      <c r="F31" s="58" t="e">
        <f>D31/تسعير!E34+E31</f>
        <v>#DIV/0!</v>
      </c>
    </row>
    <row r="32" spans="1:6" ht="16.5" customHeight="1">
      <c r="A32" s="197">
        <v>28</v>
      </c>
      <c r="B32" s="31"/>
      <c r="C32" s="31"/>
      <c r="D32" s="19"/>
      <c r="E32" s="19"/>
      <c r="F32" s="58" t="e">
        <f>D32/تسعير!E34+E32</f>
        <v>#DIV/0!</v>
      </c>
    </row>
    <row r="33" spans="1:6" ht="16.5" customHeight="1">
      <c r="A33" s="197">
        <v>29</v>
      </c>
      <c r="B33" s="19"/>
      <c r="C33" s="19"/>
      <c r="D33" s="19"/>
      <c r="E33" s="19"/>
      <c r="F33" s="58" t="e">
        <f>D33/تسعير!E34+E33</f>
        <v>#DIV/0!</v>
      </c>
    </row>
    <row r="34" spans="1:6" ht="16.5" customHeight="1">
      <c r="A34" s="197">
        <v>30</v>
      </c>
      <c r="B34" s="19"/>
      <c r="C34" s="19"/>
      <c r="D34" s="19"/>
      <c r="E34" s="19"/>
      <c r="F34" s="58" t="e">
        <f>D34/تسعير!E34+E34</f>
        <v>#DIV/0!</v>
      </c>
    </row>
    <row r="35" spans="1:6" ht="16.5" customHeight="1" thickBot="1">
      <c r="A35" s="40" t="s">
        <v>21</v>
      </c>
      <c r="B35" s="41"/>
      <c r="C35" s="41"/>
      <c r="D35" s="21">
        <f>SUM(D5:D34)</f>
        <v>0</v>
      </c>
      <c r="E35" s="21">
        <f>SUM(E5:E34)</f>
        <v>0</v>
      </c>
      <c r="F35" s="59" t="e">
        <f>SUM(F5:F34)</f>
        <v>#DIV/0!</v>
      </c>
    </row>
    <row r="36" spans="1:6" ht="16.5" customHeight="1"/>
    <row r="37" spans="1:6" ht="16.5" customHeight="1">
      <c r="A37" s="241" t="s">
        <v>25</v>
      </c>
      <c r="B37" s="241"/>
      <c r="C37" s="37" t="s">
        <v>24</v>
      </c>
      <c r="D37" s="18"/>
      <c r="E37" s="241" t="s">
        <v>23</v>
      </c>
      <c r="F37" s="241"/>
    </row>
    <row r="47" spans="1:6" ht="17.25">
      <c r="A47" s="239" t="s">
        <v>302</v>
      </c>
      <c r="B47" s="240"/>
      <c r="C47" s="240"/>
      <c r="D47" s="240"/>
    </row>
    <row r="48" spans="1:6" ht="17.25">
      <c r="A48" s="245" t="s">
        <v>58</v>
      </c>
      <c r="B48" s="246"/>
      <c r="C48" s="246"/>
      <c r="D48" s="246"/>
    </row>
    <row r="49" spans="1:6" ht="15.75" customHeight="1" thickBot="1">
      <c r="A49" s="16"/>
      <c r="B49" s="39"/>
      <c r="C49" s="39"/>
      <c r="D49" s="39"/>
    </row>
    <row r="50" spans="1:6" ht="16.5" customHeight="1">
      <c r="A50" s="25" t="s">
        <v>0</v>
      </c>
      <c r="B50" s="26" t="s">
        <v>15</v>
      </c>
      <c r="C50" s="26" t="s">
        <v>16</v>
      </c>
      <c r="D50" s="26" t="s">
        <v>17</v>
      </c>
      <c r="E50" s="26" t="s">
        <v>18</v>
      </c>
      <c r="F50" s="27" t="s">
        <v>19</v>
      </c>
    </row>
    <row r="51" spans="1:6" ht="16.5" customHeight="1">
      <c r="A51" s="28">
        <v>1</v>
      </c>
      <c r="B51" s="20"/>
      <c r="C51" s="84" t="s">
        <v>125</v>
      </c>
      <c r="D51" s="70">
        <f>'ريز فرهنگي'!E30</f>
        <v>0</v>
      </c>
      <c r="E51" s="70">
        <f>'ريز فرهنگي'!G30</f>
        <v>0</v>
      </c>
      <c r="F51" s="58" t="e">
        <f>D51/تسعير!E34+E51</f>
        <v>#DIV/0!</v>
      </c>
    </row>
    <row r="52" spans="1:6" ht="16.5" customHeight="1">
      <c r="A52" s="28">
        <v>2</v>
      </c>
      <c r="B52" s="20"/>
      <c r="C52" s="84" t="s">
        <v>126</v>
      </c>
      <c r="D52" s="70">
        <f>'ريز فرهنگي'!E72</f>
        <v>0</v>
      </c>
      <c r="E52" s="70">
        <f>'ريز فرهنگي'!G72</f>
        <v>0</v>
      </c>
      <c r="F52" s="58" t="e">
        <f>D52/تسعير!E34+E52</f>
        <v>#DIV/0!</v>
      </c>
    </row>
    <row r="53" spans="1:6" ht="16.5" customHeight="1">
      <c r="A53" s="28">
        <v>3</v>
      </c>
      <c r="B53" s="20"/>
      <c r="C53" s="19" t="s">
        <v>141</v>
      </c>
      <c r="D53" s="70">
        <f>'ريز فرهنگي'!E114</f>
        <v>0</v>
      </c>
      <c r="E53" s="70">
        <f>'ريز فرهنگي'!G114</f>
        <v>0</v>
      </c>
      <c r="F53" s="58" t="e">
        <f>D53/تسعير!E34+E53</f>
        <v>#DIV/0!</v>
      </c>
    </row>
    <row r="54" spans="1:6" ht="16.5" customHeight="1">
      <c r="A54" s="28">
        <v>4</v>
      </c>
      <c r="B54" s="20"/>
      <c r="C54" s="19" t="s">
        <v>142</v>
      </c>
      <c r="D54" s="70">
        <f>'ريز فرهنگي'!E156</f>
        <v>0</v>
      </c>
      <c r="E54" s="70">
        <f>'ريز فرهنگي'!G156</f>
        <v>0</v>
      </c>
      <c r="F54" s="58" t="e">
        <f>D54/تسعير!E34+E54</f>
        <v>#DIV/0!</v>
      </c>
    </row>
    <row r="55" spans="1:6" ht="16.5" customHeight="1">
      <c r="A55" s="28">
        <v>5</v>
      </c>
      <c r="B55" s="20"/>
      <c r="C55" s="19" t="s">
        <v>143</v>
      </c>
      <c r="D55" s="70">
        <f>'ريز فرهنگي'!E198</f>
        <v>0</v>
      </c>
      <c r="E55" s="70">
        <f>'ريز فرهنگي'!G198</f>
        <v>0</v>
      </c>
      <c r="F55" s="58" t="e">
        <f>D55/تسعير!E34+E55</f>
        <v>#DIV/0!</v>
      </c>
    </row>
    <row r="56" spans="1:6" ht="16.5" customHeight="1">
      <c r="A56" s="28">
        <v>6</v>
      </c>
      <c r="B56" s="20"/>
      <c r="C56" s="19" t="s">
        <v>144</v>
      </c>
      <c r="D56" s="70">
        <f>'ريز فرهنگي'!E240</f>
        <v>0</v>
      </c>
      <c r="E56" s="70">
        <f>'ريز فرهنگي'!G240</f>
        <v>0</v>
      </c>
      <c r="F56" s="58" t="e">
        <f>D56/تسعير!E34+E56</f>
        <v>#DIV/0!</v>
      </c>
    </row>
    <row r="57" spans="1:6" ht="16.5" customHeight="1">
      <c r="A57" s="28">
        <v>7</v>
      </c>
      <c r="B57" s="20"/>
      <c r="C57" s="19" t="s">
        <v>145</v>
      </c>
      <c r="D57" s="70">
        <f>'ريز فرهنگي'!E282</f>
        <v>0</v>
      </c>
      <c r="E57" s="70">
        <f>'ريز فرهنگي'!G282</f>
        <v>0</v>
      </c>
      <c r="F57" s="58" t="e">
        <f>D57/تسعير!E34+E57</f>
        <v>#DIV/0!</v>
      </c>
    </row>
    <row r="58" spans="1:6" ht="16.5" customHeight="1">
      <c r="A58" s="28">
        <v>8</v>
      </c>
      <c r="B58" s="20"/>
      <c r="C58" s="19" t="s">
        <v>146</v>
      </c>
      <c r="D58" s="70">
        <f>'ريز فرهنگي'!E324</f>
        <v>0</v>
      </c>
      <c r="E58" s="70">
        <f>'ريز فرهنگي'!G324</f>
        <v>0</v>
      </c>
      <c r="F58" s="58" t="e">
        <f>D58/تسعير!E34+E58</f>
        <v>#DIV/0!</v>
      </c>
    </row>
    <row r="59" spans="1:6" ht="16.5" customHeight="1">
      <c r="A59" s="28">
        <v>9</v>
      </c>
      <c r="B59" s="20"/>
      <c r="C59" s="19" t="s">
        <v>147</v>
      </c>
      <c r="D59" s="70">
        <f>'ريز فرهنگي'!E366</f>
        <v>0</v>
      </c>
      <c r="E59" s="70">
        <f>'ريز فرهنگي'!G366</f>
        <v>0</v>
      </c>
      <c r="F59" s="58" t="e">
        <f>D59/تسعير!E34+E59</f>
        <v>#DIV/0!</v>
      </c>
    </row>
    <row r="60" spans="1:6" ht="16.5" customHeight="1">
      <c r="A60" s="28">
        <v>10</v>
      </c>
      <c r="B60" s="20"/>
      <c r="C60" s="19" t="s">
        <v>148</v>
      </c>
      <c r="D60" s="70">
        <f>'ريز فرهنگي'!E408</f>
        <v>0</v>
      </c>
      <c r="E60" s="70">
        <f>'ريز فرهنگي'!G408</f>
        <v>0</v>
      </c>
      <c r="F60" s="58" t="e">
        <f>D60/تسعير!E34+E60</f>
        <v>#DIV/0!</v>
      </c>
    </row>
    <row r="61" spans="1:6" ht="16.5" customHeight="1">
      <c r="A61" s="28">
        <v>11</v>
      </c>
      <c r="B61" s="20"/>
      <c r="C61" s="20"/>
      <c r="D61" s="19"/>
      <c r="E61" s="19"/>
      <c r="F61" s="58" t="e">
        <f>D61/تسعير!E34+E61</f>
        <v>#DIV/0!</v>
      </c>
    </row>
    <row r="62" spans="1:6" ht="16.5" customHeight="1">
      <c r="A62" s="28">
        <v>12</v>
      </c>
      <c r="B62" s="20"/>
      <c r="C62" s="20"/>
      <c r="D62" s="19"/>
      <c r="E62" s="19"/>
      <c r="F62" s="58" t="e">
        <f>D62/تسعير!E34+E62</f>
        <v>#DIV/0!</v>
      </c>
    </row>
    <row r="63" spans="1:6" ht="16.5" customHeight="1">
      <c r="A63" s="28">
        <v>13</v>
      </c>
      <c r="B63" s="20"/>
      <c r="C63" s="20"/>
      <c r="D63" s="19"/>
      <c r="E63" s="19"/>
      <c r="F63" s="58" t="e">
        <f>D63/تسعير!E34+E63</f>
        <v>#DIV/0!</v>
      </c>
    </row>
    <row r="64" spans="1:6" ht="16.5" customHeight="1">
      <c r="A64" s="28">
        <v>14</v>
      </c>
      <c r="B64" s="20"/>
      <c r="C64" s="20"/>
      <c r="D64" s="19"/>
      <c r="E64" s="19"/>
      <c r="F64" s="58" t="e">
        <f>D64/تسعير!E34+E64</f>
        <v>#DIV/0!</v>
      </c>
    </row>
    <row r="65" spans="1:6" ht="16.5" customHeight="1">
      <c r="A65" s="28">
        <v>15</v>
      </c>
      <c r="B65" s="20"/>
      <c r="C65" s="20"/>
      <c r="D65" s="19"/>
      <c r="E65" s="19"/>
      <c r="F65" s="58" t="e">
        <f>D65/تسعير!E34+E65</f>
        <v>#DIV/0!</v>
      </c>
    </row>
    <row r="66" spans="1:6" ht="16.5" customHeight="1">
      <c r="A66" s="28">
        <v>16</v>
      </c>
      <c r="B66" s="20"/>
      <c r="C66" s="20"/>
      <c r="D66" s="19"/>
      <c r="E66" s="19"/>
      <c r="F66" s="58" t="e">
        <f>D66/تسعير!E34+E66</f>
        <v>#DIV/0!</v>
      </c>
    </row>
    <row r="67" spans="1:6" ht="16.5" customHeight="1">
      <c r="A67" s="28">
        <v>17</v>
      </c>
      <c r="B67" s="20"/>
      <c r="C67" s="20"/>
      <c r="D67" s="19"/>
      <c r="E67" s="19"/>
      <c r="F67" s="58" t="e">
        <f>D67/تسعير!E34+E67</f>
        <v>#DIV/0!</v>
      </c>
    </row>
    <row r="68" spans="1:6" ht="16.5" customHeight="1">
      <c r="A68" s="28">
        <v>18</v>
      </c>
      <c r="B68" s="20"/>
      <c r="C68" s="20"/>
      <c r="D68" s="19"/>
      <c r="E68" s="19"/>
      <c r="F68" s="58" t="e">
        <f>D68/تسعير!E34+E68</f>
        <v>#DIV/0!</v>
      </c>
    </row>
    <row r="69" spans="1:6" ht="16.5" customHeight="1">
      <c r="A69" s="28">
        <v>19</v>
      </c>
      <c r="B69" s="20"/>
      <c r="C69" s="20"/>
      <c r="D69" s="19"/>
      <c r="E69" s="19"/>
      <c r="F69" s="58" t="e">
        <f>D69/تسعير!E34+E69</f>
        <v>#DIV/0!</v>
      </c>
    </row>
    <row r="70" spans="1:6" ht="16.5" customHeight="1">
      <c r="A70" s="28">
        <v>20</v>
      </c>
      <c r="B70" s="20"/>
      <c r="C70" s="20"/>
      <c r="D70" s="19"/>
      <c r="E70" s="19"/>
      <c r="F70" s="58" t="e">
        <f>D70/تسعير!E34+E70</f>
        <v>#DIV/0!</v>
      </c>
    </row>
    <row r="71" spans="1:6" ht="16.5" customHeight="1">
      <c r="A71" s="28">
        <v>21</v>
      </c>
      <c r="B71" s="20"/>
      <c r="C71" s="20"/>
      <c r="D71" s="19"/>
      <c r="E71" s="19"/>
      <c r="F71" s="58" t="e">
        <f>D71/تسعير!E34+E71</f>
        <v>#DIV/0!</v>
      </c>
    </row>
    <row r="72" spans="1:6" ht="16.5" customHeight="1">
      <c r="A72" s="28">
        <v>22</v>
      </c>
      <c r="B72" s="20"/>
      <c r="C72" s="20"/>
      <c r="D72" s="19"/>
      <c r="E72" s="19"/>
      <c r="F72" s="58" t="e">
        <f>D72/تسعير!E34+E72</f>
        <v>#DIV/0!</v>
      </c>
    </row>
    <row r="73" spans="1:6" ht="16.5" customHeight="1">
      <c r="A73" s="28">
        <v>23</v>
      </c>
      <c r="B73" s="20"/>
      <c r="C73" s="20"/>
      <c r="D73" s="19"/>
      <c r="E73" s="19"/>
      <c r="F73" s="58" t="e">
        <f>D73/تسعير!E34+E73</f>
        <v>#DIV/0!</v>
      </c>
    </row>
    <row r="74" spans="1:6" ht="16.5" customHeight="1">
      <c r="A74" s="28">
        <v>24</v>
      </c>
      <c r="B74" s="20"/>
      <c r="C74" s="20"/>
      <c r="D74" s="19"/>
      <c r="E74" s="19"/>
      <c r="F74" s="58" t="e">
        <f>D74/تسعير!E34+E74</f>
        <v>#DIV/0!</v>
      </c>
    </row>
    <row r="75" spans="1:6" ht="16.5" customHeight="1">
      <c r="A75" s="28">
        <v>25</v>
      </c>
      <c r="B75" s="20"/>
      <c r="C75" s="20"/>
      <c r="D75" s="19"/>
      <c r="E75" s="19"/>
      <c r="F75" s="58" t="e">
        <f>D75/تسعير!E34+E75</f>
        <v>#DIV/0!</v>
      </c>
    </row>
    <row r="76" spans="1:6" ht="16.5" customHeight="1">
      <c r="A76" s="28">
        <v>26</v>
      </c>
      <c r="B76" s="20"/>
      <c r="C76" s="20"/>
      <c r="D76" s="19"/>
      <c r="E76" s="19"/>
      <c r="F76" s="58" t="e">
        <f>D76/تسعير!E34+E76</f>
        <v>#DIV/0!</v>
      </c>
    </row>
    <row r="77" spans="1:6" ht="16.5" customHeight="1">
      <c r="A77" s="28">
        <v>27</v>
      </c>
      <c r="B77" s="20"/>
      <c r="C77" s="20"/>
      <c r="D77" s="19"/>
      <c r="E77" s="19"/>
      <c r="F77" s="58" t="e">
        <f>D77/تسعير!E34+E77</f>
        <v>#DIV/0!</v>
      </c>
    </row>
    <row r="78" spans="1:6" ht="16.5" customHeight="1">
      <c r="A78" s="28">
        <v>28</v>
      </c>
      <c r="B78" s="20"/>
      <c r="C78" s="20"/>
      <c r="D78" s="19"/>
      <c r="E78" s="19"/>
      <c r="F78" s="58" t="e">
        <f>D78/تسعير!E34+E78</f>
        <v>#DIV/0!</v>
      </c>
    </row>
    <row r="79" spans="1:6" ht="16.5" customHeight="1">
      <c r="A79" s="28">
        <v>29</v>
      </c>
      <c r="B79" s="20"/>
      <c r="C79" s="20"/>
      <c r="D79" s="19"/>
      <c r="E79" s="19"/>
      <c r="F79" s="58" t="e">
        <f>D79/تسعير!E34+E79</f>
        <v>#DIV/0!</v>
      </c>
    </row>
    <row r="80" spans="1:6" ht="16.5" customHeight="1">
      <c r="A80" s="28">
        <v>30</v>
      </c>
      <c r="B80" s="20"/>
      <c r="C80" s="20"/>
      <c r="D80" s="22"/>
      <c r="E80" s="22"/>
      <c r="F80" s="60" t="e">
        <f>D80/تسعير!E34+E80</f>
        <v>#DIV/0!</v>
      </c>
    </row>
    <row r="81" spans="1:6" ht="16.5" customHeight="1" thickBot="1">
      <c r="A81" s="242" t="s">
        <v>22</v>
      </c>
      <c r="B81" s="243"/>
      <c r="C81" s="244"/>
      <c r="D81" s="21">
        <f>SUM(D50:D80)</f>
        <v>0</v>
      </c>
      <c r="E81" s="21">
        <f>SUM(E50:E80)</f>
        <v>0</v>
      </c>
      <c r="F81" s="59" t="e">
        <f>SUM(F50:F80)</f>
        <v>#DIV/0!</v>
      </c>
    </row>
    <row r="82" spans="1:6" ht="16.5" customHeight="1">
      <c r="A82" s="42"/>
      <c r="B82" s="42"/>
      <c r="C82" s="42"/>
      <c r="D82" s="43"/>
      <c r="E82" s="43"/>
      <c r="F82" s="43"/>
    </row>
    <row r="83" spans="1:6" ht="16.5" customHeight="1">
      <c r="A83" s="241" t="s">
        <v>25</v>
      </c>
      <c r="B83" s="241"/>
      <c r="C83" s="61" t="s">
        <v>98</v>
      </c>
      <c r="D83" s="18"/>
      <c r="E83" s="241" t="s">
        <v>99</v>
      </c>
      <c r="F83" s="241"/>
    </row>
    <row r="84" spans="1:6" ht="16.5" customHeight="1">
      <c r="A84" s="42"/>
      <c r="B84" s="42"/>
      <c r="C84" s="42"/>
      <c r="D84" s="43"/>
      <c r="E84" s="43"/>
      <c r="F84" s="43"/>
    </row>
    <row r="85" spans="1:6" ht="16.5" customHeight="1">
      <c r="A85" s="42"/>
      <c r="B85" s="42"/>
      <c r="C85" s="42"/>
      <c r="D85" s="43"/>
      <c r="E85" s="43"/>
      <c r="F85" s="43"/>
    </row>
    <row r="86" spans="1:6" ht="16.5" customHeight="1">
      <c r="A86" s="42"/>
      <c r="B86" s="42"/>
      <c r="C86" s="42"/>
      <c r="D86" s="43"/>
      <c r="E86" s="43"/>
      <c r="F86" s="43"/>
    </row>
    <row r="92" spans="1:6">
      <c r="A92" s="5"/>
      <c r="B92" s="5"/>
      <c r="C92" s="5"/>
      <c r="D92" s="18"/>
      <c r="E92" s="18"/>
      <c r="F92" s="18"/>
    </row>
  </sheetData>
  <mergeCells count="9">
    <mergeCell ref="A1:D1"/>
    <mergeCell ref="A83:B83"/>
    <mergeCell ref="A81:C81"/>
    <mergeCell ref="E83:F83"/>
    <mergeCell ref="A2:D2"/>
    <mergeCell ref="A37:B37"/>
    <mergeCell ref="E37:F37"/>
    <mergeCell ref="A47:D47"/>
    <mergeCell ref="A48:D48"/>
  </mergeCells>
  <hyperlinks>
    <hyperlink ref="C5" location="'ليست ريز جاري'!A1" display="هزينه بانكي"/>
    <hyperlink ref="C6" location="'ليست ريز جاري'!A45" display="حقوق بازخريدي و ... كاركنان بومي"/>
    <hyperlink ref="C16" location="'ليست ريز جاري'!A87" display="خريد اقلام مصرفي"/>
    <hyperlink ref="C7" location="'ليست ريز جاري'!A129" display="هزينه آب برق گاز و ساير سوخت ها"/>
    <hyperlink ref="C8" location="'ليست ريز جاري'!A171" display="تعمير و نگهداري خودرو"/>
    <hyperlink ref="C9" location="'ليست ريز جاري'!A213" display="ترميم و نگهداري جزئي ساختمان"/>
    <hyperlink ref="C10" location="'ليست ريز جاري'!A255" display="حمل و نقل و ارتباطات"/>
    <hyperlink ref="C11" location="'ليست ريز جاري'!A297" display="تلفن ، فاكس و اينترنت"/>
    <hyperlink ref="C12" location="'ليست ريز جاري'!A339" display="هزينه اجاره ساختمان نمايندگي"/>
    <hyperlink ref="C13" location="'ليست ريز جاري'!A381" display="كمك هزينه درمان و بيمه كاركنان"/>
    <hyperlink ref="C14" location="'ليست ريز جاري'!A423" display="هزينه هاي خارج از مصوب و تخصيص"/>
    <hyperlink ref="C15" location="'ليست ريز جاري'!A465" display="هزينه هاي پيش بيني نشده"/>
    <hyperlink ref="C51" location="'ليست ريز فرهنگي'!A1" display="برگزاري جشن نوروز"/>
    <hyperlink ref="C52" location="'ليست ريز فرهنگي'!A45" display="برگزاري مراسم ارتحال امام"/>
  </hyperlinks>
  <pageMargins left="0.39370078740157483" right="0.59055118110236227" top="0.39370078740157483" bottom="0.39370078740157483" header="0.31496062992125984" footer="0.31496062992125984"/>
  <pageSetup orientation="portrait" verticalDpi="300" r:id="rId1"/>
</worksheet>
</file>

<file path=xl/worksheets/sheet5.xml><?xml version="1.0" encoding="utf-8"?>
<worksheet xmlns="http://schemas.openxmlformats.org/spreadsheetml/2006/main" xmlns:r="http://schemas.openxmlformats.org/officeDocument/2006/relationships">
  <sheetPr>
    <tabColor rgb="FFFF0000"/>
  </sheetPr>
  <dimension ref="A2:E73"/>
  <sheetViews>
    <sheetView rightToLeft="1" tabSelected="1" topLeftCell="A4" zoomScale="90" zoomScaleNormal="90" workbookViewId="0">
      <selection activeCell="D31" sqref="D31"/>
    </sheetView>
  </sheetViews>
  <sheetFormatPr defaultRowHeight="15"/>
  <cols>
    <col min="1" max="1" width="31.7109375" customWidth="1"/>
    <col min="2" max="5" width="15.140625" style="5" customWidth="1"/>
  </cols>
  <sheetData>
    <row r="2" spans="1:5" ht="20.25" customHeight="1">
      <c r="A2" s="267" t="s">
        <v>46</v>
      </c>
      <c r="B2" s="267"/>
      <c r="C2" s="267"/>
      <c r="D2" s="267"/>
      <c r="E2" s="267"/>
    </row>
    <row r="3" spans="1:5" ht="20.25" customHeight="1" thickBot="1">
      <c r="A3" s="253" t="s">
        <v>59</v>
      </c>
      <c r="B3" s="254"/>
      <c r="C3" s="254"/>
      <c r="D3" s="254"/>
      <c r="E3" s="254"/>
    </row>
    <row r="4" spans="1:5">
      <c r="A4" s="255" t="s">
        <v>26</v>
      </c>
      <c r="B4" s="258" t="s">
        <v>27</v>
      </c>
      <c r="C4" s="259"/>
      <c r="D4" s="258" t="s">
        <v>30</v>
      </c>
      <c r="E4" s="265"/>
    </row>
    <row r="5" spans="1:5">
      <c r="A5" s="256"/>
      <c r="B5" s="260"/>
      <c r="C5" s="260"/>
      <c r="D5" s="260"/>
      <c r="E5" s="266"/>
    </row>
    <row r="6" spans="1:5" ht="21" customHeight="1">
      <c r="A6" s="257"/>
      <c r="B6" s="44" t="s">
        <v>28</v>
      </c>
      <c r="C6" s="44" t="s">
        <v>29</v>
      </c>
      <c r="D6" s="44" t="s">
        <v>28</v>
      </c>
      <c r="E6" s="45" t="s">
        <v>29</v>
      </c>
    </row>
    <row r="7" spans="1:5" ht="21" customHeight="1">
      <c r="A7" s="138" t="s">
        <v>32</v>
      </c>
      <c r="B7" s="151"/>
      <c r="C7" s="151"/>
      <c r="D7" s="151"/>
      <c r="E7" s="152"/>
    </row>
    <row r="8" spans="1:5" ht="21" customHeight="1">
      <c r="A8" s="33" t="s">
        <v>298</v>
      </c>
      <c r="B8" s="151"/>
      <c r="C8" s="151"/>
      <c r="D8" s="153"/>
      <c r="E8" s="152"/>
    </row>
    <row r="9" spans="1:5" ht="21" customHeight="1">
      <c r="A9" s="33" t="s">
        <v>299</v>
      </c>
      <c r="B9" s="151"/>
      <c r="C9" s="151"/>
      <c r="D9" s="153"/>
      <c r="E9" s="152"/>
    </row>
    <row r="10" spans="1:5" ht="21" customHeight="1">
      <c r="A10" s="34" t="s">
        <v>33</v>
      </c>
      <c r="B10" s="154"/>
      <c r="C10" s="154"/>
      <c r="D10" s="154"/>
      <c r="E10" s="155"/>
    </row>
    <row r="11" spans="1:5" ht="21" customHeight="1">
      <c r="A11" s="33" t="s">
        <v>300</v>
      </c>
      <c r="B11" s="151"/>
      <c r="C11" s="151"/>
      <c r="D11" s="171"/>
      <c r="E11" s="152"/>
    </row>
    <row r="12" spans="1:5" ht="21" customHeight="1">
      <c r="A12" s="32" t="s">
        <v>34</v>
      </c>
      <c r="B12" s="154"/>
      <c r="C12" s="154"/>
      <c r="D12" s="154"/>
      <c r="E12" s="155"/>
    </row>
    <row r="13" spans="1:5" ht="21" customHeight="1">
      <c r="A13" s="54" t="s">
        <v>66</v>
      </c>
      <c r="B13" s="151"/>
      <c r="C13" s="151"/>
      <c r="D13" s="151"/>
      <c r="E13" s="156"/>
    </row>
    <row r="14" spans="1:5" ht="21" customHeight="1">
      <c r="A14" s="135" t="s">
        <v>35</v>
      </c>
      <c r="B14" s="151"/>
      <c r="C14" s="151"/>
      <c r="D14" s="153"/>
      <c r="E14" s="152"/>
    </row>
    <row r="15" spans="1:5" ht="21" customHeight="1">
      <c r="A15" s="33" t="s">
        <v>316</v>
      </c>
      <c r="B15" s="151"/>
      <c r="C15" s="151"/>
      <c r="D15" s="153"/>
      <c r="E15" s="152"/>
    </row>
    <row r="16" spans="1:5" ht="21" customHeight="1">
      <c r="A16" s="33" t="s">
        <v>49</v>
      </c>
      <c r="B16" s="151"/>
      <c r="C16" s="151"/>
      <c r="D16" s="153"/>
      <c r="E16" s="152"/>
    </row>
    <row r="17" spans="1:5" ht="21" customHeight="1">
      <c r="A17" s="33" t="s">
        <v>48</v>
      </c>
      <c r="B17" s="151"/>
      <c r="C17" s="151"/>
      <c r="D17" s="153"/>
      <c r="E17" s="152"/>
    </row>
    <row r="18" spans="1:5" ht="21" customHeight="1">
      <c r="A18" s="33" t="s">
        <v>37</v>
      </c>
      <c r="B18" s="151"/>
      <c r="C18" s="151"/>
      <c r="D18" s="87">
        <f>تسعير!D34</f>
        <v>0</v>
      </c>
      <c r="E18" s="152"/>
    </row>
    <row r="19" spans="1:5" ht="21" customHeight="1">
      <c r="A19" s="32" t="s">
        <v>38</v>
      </c>
      <c r="B19" s="154"/>
      <c r="C19" s="154"/>
      <c r="D19" s="154"/>
      <c r="E19" s="155"/>
    </row>
    <row r="20" spans="1:5" ht="21" customHeight="1">
      <c r="A20" s="33" t="s">
        <v>39</v>
      </c>
      <c r="B20" s="151"/>
      <c r="C20" s="151"/>
      <c r="D20" s="87" t="e">
        <f>'روكش جاري و فرهنگي'!E35-'روكش جاري و فرهنگي'!F17</f>
        <v>#DIV/0!</v>
      </c>
      <c r="E20" s="157"/>
    </row>
    <row r="21" spans="1:5" ht="21" customHeight="1">
      <c r="A21" s="33" t="s">
        <v>40</v>
      </c>
      <c r="B21" s="151"/>
      <c r="C21" s="151"/>
      <c r="D21" s="158">
        <f>'روكش جاري و فرهنگي'!E81</f>
        <v>0</v>
      </c>
      <c r="E21" s="152"/>
    </row>
    <row r="22" spans="1:5" ht="21" customHeight="1">
      <c r="A22" s="33" t="s">
        <v>41</v>
      </c>
      <c r="B22" s="151"/>
      <c r="C22" s="151"/>
      <c r="D22" s="87" t="e">
        <f>'روكش جاري و فرهنگي'!F17</f>
        <v>#DIV/0!</v>
      </c>
      <c r="E22" s="152"/>
    </row>
    <row r="23" spans="1:5" ht="21" customHeight="1">
      <c r="A23" s="33" t="s">
        <v>42</v>
      </c>
      <c r="B23" s="151"/>
      <c r="C23" s="151"/>
      <c r="D23" s="153"/>
      <c r="E23" s="152"/>
    </row>
    <row r="24" spans="1:5" ht="21" customHeight="1">
      <c r="A24" s="33" t="s">
        <v>43</v>
      </c>
      <c r="B24" s="151"/>
      <c r="C24" s="151"/>
      <c r="D24" s="153"/>
      <c r="E24" s="152"/>
    </row>
    <row r="25" spans="1:5" ht="21" customHeight="1">
      <c r="A25" s="34" t="s">
        <v>31</v>
      </c>
      <c r="B25" s="154"/>
      <c r="C25" s="154"/>
      <c r="D25" s="154"/>
      <c r="E25" s="155"/>
    </row>
    <row r="26" spans="1:5" ht="21" customHeight="1">
      <c r="A26" s="33" t="s">
        <v>44</v>
      </c>
      <c r="B26" s="151"/>
      <c r="C26" s="151"/>
      <c r="D26" s="151"/>
      <c r="E26" s="156"/>
    </row>
    <row r="27" spans="1:5" ht="21" customHeight="1">
      <c r="A27" s="33" t="s">
        <v>301</v>
      </c>
      <c r="B27" s="151"/>
      <c r="C27" s="151"/>
      <c r="D27" s="151"/>
      <c r="E27" s="156"/>
    </row>
    <row r="28" spans="1:5" ht="21" customHeight="1">
      <c r="A28" s="32" t="s">
        <v>45</v>
      </c>
      <c r="B28" s="154"/>
      <c r="C28" s="154"/>
      <c r="D28" s="154"/>
      <c r="E28" s="155"/>
    </row>
    <row r="29" spans="1:5" ht="21" customHeight="1">
      <c r="A29" s="33" t="s">
        <v>297</v>
      </c>
      <c r="B29" s="151"/>
      <c r="C29" s="151"/>
      <c r="D29" s="151"/>
      <c r="E29" s="156"/>
    </row>
    <row r="30" spans="1:5" ht="21" customHeight="1">
      <c r="A30" s="33" t="s">
        <v>65</v>
      </c>
      <c r="B30" s="151"/>
      <c r="C30" s="151"/>
      <c r="D30" s="151"/>
      <c r="E30" s="156"/>
    </row>
    <row r="31" spans="1:5" ht="22.5" customHeight="1" thickBot="1">
      <c r="A31" s="35" t="s">
        <v>47</v>
      </c>
      <c r="B31" s="86">
        <f>SUM(B7:B30)</f>
        <v>0</v>
      </c>
      <c r="C31" s="86">
        <f>SUM(C7:C30)</f>
        <v>0</v>
      </c>
      <c r="D31" s="86" t="e">
        <f>SUM(D7:D30)</f>
        <v>#DIV/0!</v>
      </c>
      <c r="E31" s="59">
        <f>SUM(E7:E30)</f>
        <v>0</v>
      </c>
    </row>
    <row r="33" spans="1:5" ht="22.5" customHeight="1">
      <c r="A33" s="247" t="s">
        <v>50</v>
      </c>
      <c r="B33" s="248"/>
      <c r="C33" s="248"/>
      <c r="D33" s="248"/>
      <c r="E33" s="248"/>
    </row>
    <row r="35" spans="1:5" ht="22.5" customHeight="1">
      <c r="A35" s="249" t="s">
        <v>52</v>
      </c>
      <c r="B35" s="249"/>
      <c r="C35" s="250" t="s">
        <v>51</v>
      </c>
      <c r="D35" s="250"/>
      <c r="E35" s="251"/>
    </row>
    <row r="43" spans="1:5" ht="20.25" customHeight="1">
      <c r="A43" s="252" t="s">
        <v>46</v>
      </c>
      <c r="B43" s="252"/>
      <c r="C43" s="252"/>
      <c r="D43" s="252"/>
      <c r="E43" s="252"/>
    </row>
    <row r="44" spans="1:5" ht="20.25" customHeight="1">
      <c r="A44" s="253" t="s">
        <v>60</v>
      </c>
      <c r="B44" s="254"/>
      <c r="C44" s="254"/>
      <c r="D44" s="254"/>
      <c r="E44" s="254"/>
    </row>
    <row r="45" spans="1:5" ht="20.25" customHeight="1" thickBot="1">
      <c r="A45" s="36"/>
      <c r="B45" s="49"/>
      <c r="C45" s="49"/>
      <c r="D45" s="88" t="s">
        <v>53</v>
      </c>
      <c r="E45" s="128" t="e">
        <f>تسعير!E34</f>
        <v>#DIV/0!</v>
      </c>
    </row>
    <row r="46" spans="1:5">
      <c r="A46" s="255" t="s">
        <v>26</v>
      </c>
      <c r="B46" s="258" t="s">
        <v>27</v>
      </c>
      <c r="C46" s="259"/>
      <c r="D46" s="261" t="s">
        <v>30</v>
      </c>
      <c r="E46" s="262"/>
    </row>
    <row r="47" spans="1:5">
      <c r="A47" s="256"/>
      <c r="B47" s="260"/>
      <c r="C47" s="260"/>
      <c r="D47" s="263"/>
      <c r="E47" s="264"/>
    </row>
    <row r="48" spans="1:5" ht="21" customHeight="1">
      <c r="A48" s="257"/>
      <c r="B48" s="44" t="s">
        <v>28</v>
      </c>
      <c r="C48" s="44" t="s">
        <v>29</v>
      </c>
      <c r="D48" s="44" t="s">
        <v>28</v>
      </c>
      <c r="E48" s="45" t="s">
        <v>29</v>
      </c>
    </row>
    <row r="49" spans="1:5" ht="21" customHeight="1">
      <c r="A49" s="138" t="s">
        <v>32</v>
      </c>
      <c r="B49" s="151"/>
      <c r="C49" s="151"/>
      <c r="D49" s="151"/>
      <c r="E49" s="152"/>
    </row>
    <row r="50" spans="1:5" ht="21" customHeight="1">
      <c r="A50" s="33" t="s">
        <v>294</v>
      </c>
      <c r="B50" s="151"/>
      <c r="C50" s="151"/>
      <c r="D50" s="153"/>
      <c r="E50" s="152"/>
    </row>
    <row r="51" spans="1:5" ht="21" customHeight="1">
      <c r="A51" s="33" t="s">
        <v>295</v>
      </c>
      <c r="B51" s="151"/>
      <c r="C51" s="151"/>
      <c r="D51" s="153"/>
      <c r="E51" s="152"/>
    </row>
    <row r="52" spans="1:5" ht="21" customHeight="1">
      <c r="A52" s="34" t="s">
        <v>33</v>
      </c>
      <c r="B52" s="154"/>
      <c r="C52" s="154"/>
      <c r="D52" s="154"/>
      <c r="E52" s="155"/>
    </row>
    <row r="53" spans="1:5" ht="21" customHeight="1">
      <c r="A53" s="33" t="s">
        <v>296</v>
      </c>
      <c r="B53" s="151"/>
      <c r="C53" s="151"/>
      <c r="D53" s="171">
        <v>50000</v>
      </c>
      <c r="E53" s="159"/>
    </row>
    <row r="54" spans="1:5" ht="21" customHeight="1">
      <c r="A54" s="32" t="s">
        <v>34</v>
      </c>
      <c r="B54" s="154"/>
      <c r="C54" s="154"/>
      <c r="D54" s="154"/>
      <c r="E54" s="155"/>
    </row>
    <row r="55" spans="1:5" ht="21" customHeight="1">
      <c r="A55" s="33" t="s">
        <v>57</v>
      </c>
      <c r="B55" s="151"/>
      <c r="C55" s="151"/>
      <c r="D55" s="151"/>
      <c r="E55" s="156"/>
    </row>
    <row r="56" spans="1:5" ht="21" customHeight="1">
      <c r="A56" s="55" t="s">
        <v>35</v>
      </c>
      <c r="B56" s="151"/>
      <c r="C56" s="151"/>
      <c r="D56" s="153"/>
      <c r="E56" s="152"/>
    </row>
    <row r="57" spans="1:5" ht="21" customHeight="1">
      <c r="A57" s="33" t="s">
        <v>36</v>
      </c>
      <c r="B57" s="151"/>
      <c r="C57" s="151"/>
      <c r="D57" s="153"/>
      <c r="E57" s="152"/>
    </row>
    <row r="58" spans="1:5" ht="21" customHeight="1">
      <c r="A58" s="33" t="s">
        <v>49</v>
      </c>
      <c r="B58" s="151"/>
      <c r="C58" s="151"/>
      <c r="D58" s="153"/>
      <c r="E58" s="152"/>
    </row>
    <row r="59" spans="1:5" ht="21" customHeight="1">
      <c r="A59" s="33" t="s">
        <v>48</v>
      </c>
      <c r="B59" s="151"/>
      <c r="C59" s="151"/>
      <c r="D59" s="153"/>
      <c r="E59" s="152"/>
    </row>
    <row r="60" spans="1:5" ht="21" customHeight="1">
      <c r="A60" s="32" t="s">
        <v>38</v>
      </c>
      <c r="B60" s="154"/>
      <c r="C60" s="154"/>
      <c r="D60" s="154"/>
      <c r="E60" s="155"/>
    </row>
    <row r="61" spans="1:5" ht="21" customHeight="1">
      <c r="A61" s="33" t="s">
        <v>39</v>
      </c>
      <c r="B61" s="151"/>
      <c r="C61" s="151"/>
      <c r="D61" s="87">
        <f>'روكش جاري و فرهنگي'!D35</f>
        <v>0</v>
      </c>
      <c r="E61" s="152"/>
    </row>
    <row r="62" spans="1:5" ht="21" customHeight="1">
      <c r="A62" s="33" t="s">
        <v>40</v>
      </c>
      <c r="B62" s="151"/>
      <c r="C62" s="151"/>
      <c r="D62" s="87">
        <f>'روكش جاري و فرهنگي'!D81</f>
        <v>0</v>
      </c>
      <c r="E62" s="152"/>
    </row>
    <row r="63" spans="1:5" ht="21" customHeight="1">
      <c r="A63" s="33" t="s">
        <v>42</v>
      </c>
      <c r="B63" s="151"/>
      <c r="C63" s="151"/>
      <c r="D63" s="153"/>
      <c r="E63" s="152"/>
    </row>
    <row r="64" spans="1:5" ht="21" customHeight="1">
      <c r="A64" s="33" t="s">
        <v>43</v>
      </c>
      <c r="B64" s="151"/>
      <c r="C64" s="151"/>
      <c r="D64" s="153"/>
      <c r="E64" s="152"/>
    </row>
    <row r="65" spans="1:5" ht="21" customHeight="1">
      <c r="A65" s="34" t="s">
        <v>55</v>
      </c>
      <c r="B65" s="154"/>
      <c r="C65" s="154"/>
      <c r="D65" s="154"/>
      <c r="E65" s="155"/>
    </row>
    <row r="66" spans="1:5" ht="21" customHeight="1">
      <c r="A66" s="33" t="s">
        <v>297</v>
      </c>
      <c r="B66" s="151"/>
      <c r="C66" s="156"/>
      <c r="D66" s="151"/>
      <c r="E66" s="156"/>
    </row>
    <row r="67" spans="1:5" ht="21" customHeight="1">
      <c r="A67" s="33" t="s">
        <v>56</v>
      </c>
      <c r="B67" s="151"/>
      <c r="C67" s="151"/>
      <c r="D67" s="151"/>
      <c r="E67" s="58">
        <f>تسعير!F34</f>
        <v>0</v>
      </c>
    </row>
    <row r="68" spans="1:5" ht="21" customHeight="1">
      <c r="A68" s="51" t="s">
        <v>64</v>
      </c>
      <c r="B68" s="160"/>
      <c r="C68" s="160"/>
      <c r="D68" s="160"/>
      <c r="E68" s="161"/>
    </row>
    <row r="69" spans="1:5" ht="22.5" customHeight="1" thickBot="1">
      <c r="A69" s="35" t="s">
        <v>47</v>
      </c>
      <c r="B69" s="86">
        <f>SUM(B49:B67)</f>
        <v>0</v>
      </c>
      <c r="C69" s="86">
        <f>SUM(C49:C67)</f>
        <v>0</v>
      </c>
      <c r="D69" s="86">
        <f>SUM(D49:D67)</f>
        <v>50000</v>
      </c>
      <c r="E69" s="59">
        <f>SUM(E49:E67)</f>
        <v>0</v>
      </c>
    </row>
    <row r="71" spans="1:5" ht="22.5" customHeight="1">
      <c r="A71" s="247" t="s">
        <v>54</v>
      </c>
      <c r="B71" s="248"/>
      <c r="C71" s="248"/>
      <c r="D71" s="248"/>
      <c r="E71" s="248"/>
    </row>
    <row r="73" spans="1:5" ht="22.5" customHeight="1">
      <c r="A73" s="249" t="s">
        <v>52</v>
      </c>
      <c r="B73" s="249"/>
      <c r="C73" s="250" t="s">
        <v>51</v>
      </c>
      <c r="D73" s="250"/>
      <c r="E73" s="251"/>
    </row>
  </sheetData>
  <mergeCells count="16">
    <mergeCell ref="A33:E33"/>
    <mergeCell ref="A4:A6"/>
    <mergeCell ref="B4:C5"/>
    <mergeCell ref="D4:E5"/>
    <mergeCell ref="A2:E2"/>
    <mergeCell ref="A3:E3"/>
    <mergeCell ref="A71:E71"/>
    <mergeCell ref="A73:B73"/>
    <mergeCell ref="C73:E73"/>
    <mergeCell ref="C35:E35"/>
    <mergeCell ref="A35:B35"/>
    <mergeCell ref="A43:E43"/>
    <mergeCell ref="A44:E44"/>
    <mergeCell ref="A46:A48"/>
    <mergeCell ref="B46:C47"/>
    <mergeCell ref="D46:E47"/>
  </mergeCells>
  <pageMargins left="0.39370078740157483" right="0.59055118110236227" top="0.39370078740157483" bottom="0.39370078740157483" header="0.31496062992125984" footer="0.31496062992125984"/>
  <pageSetup paperSize="9" orientation="portrait" verticalDpi="1200" r:id="rId1"/>
  <legacyDrawing r:id="rId2"/>
</worksheet>
</file>

<file path=xl/worksheets/sheet6.xml><?xml version="1.0" encoding="utf-8"?>
<worksheet xmlns="http://schemas.openxmlformats.org/spreadsheetml/2006/main" xmlns:r="http://schemas.openxmlformats.org/officeDocument/2006/relationships">
  <sheetPr>
    <tabColor rgb="FFFF0000"/>
  </sheetPr>
  <dimension ref="A1:J38"/>
  <sheetViews>
    <sheetView rightToLeft="1" zoomScale="90" zoomScaleNormal="90" workbookViewId="0">
      <selection activeCell="E16" sqref="E16"/>
    </sheetView>
  </sheetViews>
  <sheetFormatPr defaultRowHeight="15"/>
  <cols>
    <col min="1" max="1" width="32.28515625" customWidth="1"/>
    <col min="2" max="7" width="10.5703125" style="5" customWidth="1"/>
  </cols>
  <sheetData>
    <row r="1" spans="1:10" ht="20.25" customHeight="1">
      <c r="A1" s="267" t="s">
        <v>72</v>
      </c>
      <c r="B1" s="267"/>
      <c r="C1" s="267"/>
      <c r="D1" s="267"/>
    </row>
    <row r="2" spans="1:10" ht="20.25" customHeight="1">
      <c r="A2" s="268" t="s">
        <v>71</v>
      </c>
      <c r="B2" s="268"/>
      <c r="C2" s="268"/>
      <c r="D2" s="268"/>
    </row>
    <row r="3" spans="1:10" ht="20.25" customHeight="1" thickBot="1">
      <c r="A3" s="269" t="s">
        <v>73</v>
      </c>
      <c r="B3" s="269"/>
      <c r="C3" s="112" t="e">
        <f>تسعير!E34</f>
        <v>#DIV/0!</v>
      </c>
      <c r="D3" s="52"/>
    </row>
    <row r="4" spans="1:10" ht="21" customHeight="1">
      <c r="A4" s="278" t="s">
        <v>26</v>
      </c>
      <c r="B4" s="273" t="s">
        <v>61</v>
      </c>
      <c r="C4" s="274"/>
      <c r="D4" s="275" t="s">
        <v>62</v>
      </c>
      <c r="E4" s="276"/>
      <c r="F4" s="273" t="s">
        <v>63</v>
      </c>
      <c r="G4" s="277"/>
    </row>
    <row r="5" spans="1:10" ht="21" customHeight="1">
      <c r="A5" s="279"/>
      <c r="B5" s="47" t="s">
        <v>28</v>
      </c>
      <c r="C5" s="47" t="s">
        <v>29</v>
      </c>
      <c r="D5" s="47" t="s">
        <v>28</v>
      </c>
      <c r="E5" s="47" t="s">
        <v>29</v>
      </c>
      <c r="F5" s="47" t="s">
        <v>28</v>
      </c>
      <c r="G5" s="48" t="s">
        <v>29</v>
      </c>
    </row>
    <row r="6" spans="1:10" ht="21" customHeight="1">
      <c r="A6" s="50" t="s">
        <v>74</v>
      </c>
      <c r="B6" s="76"/>
      <c r="C6" s="76"/>
      <c r="D6" s="76"/>
      <c r="E6" s="76"/>
      <c r="F6" s="76"/>
      <c r="G6" s="77"/>
    </row>
    <row r="7" spans="1:10" ht="21" customHeight="1">
      <c r="A7" s="51" t="s">
        <v>75</v>
      </c>
      <c r="B7" s="78">
        <f>'تراز يوروئي و ارزمحل'!D8</f>
        <v>0</v>
      </c>
      <c r="C7" s="143"/>
      <c r="D7" s="143"/>
      <c r="E7" s="143"/>
      <c r="F7" s="78">
        <f>B7</f>
        <v>0</v>
      </c>
      <c r="G7" s="144"/>
    </row>
    <row r="8" spans="1:10" ht="21" customHeight="1">
      <c r="A8" s="51" t="s">
        <v>291</v>
      </c>
      <c r="B8" s="78">
        <f>'تراز يوروئي و ارزمحل'!D9</f>
        <v>0</v>
      </c>
      <c r="C8" s="143"/>
      <c r="D8" s="143"/>
      <c r="E8" s="143"/>
      <c r="F8" s="78">
        <f>B8</f>
        <v>0</v>
      </c>
      <c r="G8" s="144"/>
    </row>
    <row r="9" spans="1:10" ht="21" customHeight="1">
      <c r="A9" s="51" t="s">
        <v>289</v>
      </c>
      <c r="B9" s="143"/>
      <c r="C9" s="143"/>
      <c r="D9" s="78" t="e">
        <f>'تراز يوروئي و ارزمحل'!D50/تسعير!E34</f>
        <v>#DIV/0!</v>
      </c>
      <c r="E9" s="143"/>
      <c r="F9" s="78" t="e">
        <f>D9</f>
        <v>#DIV/0!</v>
      </c>
      <c r="G9" s="144"/>
    </row>
    <row r="10" spans="1:10" ht="21" customHeight="1">
      <c r="A10" s="51" t="s">
        <v>290</v>
      </c>
      <c r="B10" s="143"/>
      <c r="C10" s="143"/>
      <c r="D10" s="78" t="e">
        <f>'تراز يوروئي و ارزمحل'!D51/تسعير!E34</f>
        <v>#DIV/0!</v>
      </c>
      <c r="E10" s="143"/>
      <c r="F10" s="78" t="e">
        <f>D10</f>
        <v>#DIV/0!</v>
      </c>
      <c r="G10" s="144"/>
    </row>
    <row r="11" spans="1:10" ht="21" customHeight="1">
      <c r="A11" s="50" t="s">
        <v>76</v>
      </c>
      <c r="B11" s="145"/>
      <c r="C11" s="145"/>
      <c r="D11" s="145"/>
      <c r="E11" s="145"/>
      <c r="F11" s="145"/>
      <c r="G11" s="146"/>
    </row>
    <row r="12" spans="1:10" ht="21" customHeight="1">
      <c r="A12" s="51" t="s">
        <v>292</v>
      </c>
      <c r="B12" s="80">
        <f>'تراز يوروئي و ارزمحل'!D11</f>
        <v>0</v>
      </c>
      <c r="C12" s="78">
        <f>'تراز يوروئي و ارزمحل'!E11</f>
        <v>0</v>
      </c>
      <c r="D12" s="80" t="e">
        <f>'تراز يوروئي و ارزمحل'!D53/تسعير!E34</f>
        <v>#DIV/0!</v>
      </c>
      <c r="E12" s="78" t="e">
        <f>'تراز يوروئي و ارزمحل'!E53/'تراز يوروئي و ارزمحل'!E45</f>
        <v>#DIV/0!</v>
      </c>
      <c r="F12" s="80" t="e">
        <f>D12+B12-E12-C12</f>
        <v>#DIV/0!</v>
      </c>
      <c r="G12" s="144"/>
      <c r="H12" s="139"/>
      <c r="J12" s="140"/>
    </row>
    <row r="13" spans="1:10" ht="21" customHeight="1">
      <c r="A13" s="50" t="s">
        <v>77</v>
      </c>
      <c r="B13" s="145"/>
      <c r="C13" s="145"/>
      <c r="D13" s="145"/>
      <c r="E13" s="145"/>
      <c r="F13" s="145"/>
      <c r="G13" s="147"/>
    </row>
    <row r="14" spans="1:10" ht="21" customHeight="1">
      <c r="A14" s="33" t="s">
        <v>78</v>
      </c>
      <c r="B14" s="143"/>
      <c r="C14" s="78">
        <f>'تراز يوروئي و ارزمحل'!E13</f>
        <v>0</v>
      </c>
      <c r="D14" s="143"/>
      <c r="E14" s="78" t="e">
        <f>'تراز يوروئي و ارزمحل'!E55/تسعير!E34</f>
        <v>#DIV/0!</v>
      </c>
      <c r="F14" s="143"/>
      <c r="G14" s="142" t="e">
        <f>E14+C14</f>
        <v>#DIV/0!</v>
      </c>
    </row>
    <row r="15" spans="1:10" ht="21" customHeight="1">
      <c r="A15" s="51" t="s">
        <v>79</v>
      </c>
      <c r="B15" s="78">
        <f>'تراز يوروئي و ارزمحل'!D14</f>
        <v>0</v>
      </c>
      <c r="C15" s="143"/>
      <c r="D15" s="78" t="e">
        <f>'تراز يوروئي و ارزمحل'!D56/تسعير!E34</f>
        <v>#DIV/0!</v>
      </c>
      <c r="E15" s="143"/>
      <c r="F15" s="78" t="e">
        <f>D15+B15</f>
        <v>#DIV/0!</v>
      </c>
      <c r="G15" s="144"/>
    </row>
    <row r="16" spans="1:10" ht="21" customHeight="1">
      <c r="A16" s="51" t="s">
        <v>80</v>
      </c>
      <c r="B16" s="78">
        <f>'تراز يوروئي و ارزمحل'!D15</f>
        <v>0</v>
      </c>
      <c r="C16" s="143"/>
      <c r="D16" s="78" t="e">
        <f>'تراز يوروئي و ارزمحل'!D57/تسعير!E34</f>
        <v>#DIV/0!</v>
      </c>
      <c r="E16" s="143"/>
      <c r="F16" s="78" t="e">
        <f>D16+B16</f>
        <v>#DIV/0!</v>
      </c>
      <c r="G16" s="144"/>
    </row>
    <row r="17" spans="1:7" ht="21" customHeight="1">
      <c r="A17" s="51" t="s">
        <v>81</v>
      </c>
      <c r="B17" s="78">
        <f>'تراز يوروئي و ارزمحل'!D16</f>
        <v>0</v>
      </c>
      <c r="C17" s="143"/>
      <c r="D17" s="78" t="e">
        <f>'تراز يوروئي و ارزمحل'!D58/تسعير!E34</f>
        <v>#DIV/0!</v>
      </c>
      <c r="E17" s="143"/>
      <c r="F17" s="78" t="e">
        <f>D17+B17</f>
        <v>#DIV/0!</v>
      </c>
      <c r="G17" s="144"/>
    </row>
    <row r="18" spans="1:7" ht="21" customHeight="1">
      <c r="A18" s="51" t="s">
        <v>82</v>
      </c>
      <c r="B18" s="78">
        <f>'تراز يوروئي و ارزمحل'!D17</f>
        <v>0</v>
      </c>
      <c r="C18" s="143"/>
      <c r="D18" s="78" t="e">
        <f>'تراز يوروئي و ارزمحل'!D59/تسعير!E34</f>
        <v>#DIV/0!</v>
      </c>
      <c r="E18" s="143"/>
      <c r="F18" s="78" t="e">
        <f>D18+B18</f>
        <v>#DIV/0!</v>
      </c>
      <c r="G18" s="144"/>
    </row>
    <row r="19" spans="1:7" ht="21" customHeight="1">
      <c r="A19" s="51" t="s">
        <v>83</v>
      </c>
      <c r="B19" s="78">
        <f>'تراز يوروئي و ارزمحل'!D18</f>
        <v>0</v>
      </c>
      <c r="C19" s="143"/>
      <c r="D19" s="143"/>
      <c r="E19" s="143"/>
      <c r="F19" s="78">
        <f>B19</f>
        <v>0</v>
      </c>
      <c r="G19" s="144"/>
    </row>
    <row r="20" spans="1:7" ht="21" customHeight="1">
      <c r="A20" s="33" t="s">
        <v>84</v>
      </c>
      <c r="B20" s="143"/>
      <c r="C20" s="143"/>
      <c r="D20" s="143"/>
      <c r="E20" s="78" t="e">
        <f>'تراز يوروئي و ارزمحل'!E67/تسعير!E34</f>
        <v>#DIV/0!</v>
      </c>
      <c r="F20" s="148"/>
      <c r="G20" s="142" t="e">
        <f>E20</f>
        <v>#DIV/0!</v>
      </c>
    </row>
    <row r="21" spans="1:7" ht="21" customHeight="1">
      <c r="A21" s="50" t="s">
        <v>85</v>
      </c>
      <c r="B21" s="145"/>
      <c r="C21" s="145"/>
      <c r="D21" s="145"/>
      <c r="E21" s="145"/>
      <c r="F21" s="145"/>
      <c r="G21" s="147"/>
    </row>
    <row r="22" spans="1:7" ht="21" customHeight="1">
      <c r="A22" s="51" t="s">
        <v>86</v>
      </c>
      <c r="B22" s="78" t="e">
        <f>'تراز يوروئي و ارزمحل'!D20</f>
        <v>#DIV/0!</v>
      </c>
      <c r="C22" s="143"/>
      <c r="D22" s="78" t="e">
        <f>'تراز يوروئي و ارزمحل'!D61/تسعير!E34</f>
        <v>#DIV/0!</v>
      </c>
      <c r="E22" s="143"/>
      <c r="F22" s="78" t="e">
        <f>D22+B22</f>
        <v>#DIV/0!</v>
      </c>
      <c r="G22" s="144"/>
    </row>
    <row r="23" spans="1:7" ht="21" customHeight="1">
      <c r="A23" s="51" t="s">
        <v>87</v>
      </c>
      <c r="B23" s="78">
        <f>'تراز يوروئي و ارزمحل'!D21</f>
        <v>0</v>
      </c>
      <c r="C23" s="143"/>
      <c r="D23" s="78" t="e">
        <f>'تراز يوروئي و ارزمحل'!D62/تسعير!E34</f>
        <v>#DIV/0!</v>
      </c>
      <c r="E23" s="143"/>
      <c r="F23" s="78" t="e">
        <f>D23+B23</f>
        <v>#DIV/0!</v>
      </c>
      <c r="G23" s="144"/>
    </row>
    <row r="24" spans="1:7" ht="21" customHeight="1">
      <c r="A24" s="51" t="s">
        <v>88</v>
      </c>
      <c r="B24" s="78" t="e">
        <f>'تراز يوروئي و ارزمحل'!D22</f>
        <v>#DIV/0!</v>
      </c>
      <c r="C24" s="143"/>
      <c r="D24" s="143"/>
      <c r="E24" s="143"/>
      <c r="F24" s="78" t="e">
        <f>B24</f>
        <v>#DIV/0!</v>
      </c>
      <c r="G24" s="144"/>
    </row>
    <row r="25" spans="1:7" ht="21" customHeight="1">
      <c r="A25" s="51" t="s">
        <v>89</v>
      </c>
      <c r="B25" s="78">
        <f>'تراز يوروئي و ارزمحل'!D23</f>
        <v>0</v>
      </c>
      <c r="C25" s="143"/>
      <c r="D25" s="78" t="e">
        <f>'تراز يوروئي و ارزمحل'!D63/تسعير!E34</f>
        <v>#DIV/0!</v>
      </c>
      <c r="E25" s="143"/>
      <c r="F25" s="78" t="e">
        <f>D25+B25</f>
        <v>#DIV/0!</v>
      </c>
      <c r="G25" s="144"/>
    </row>
    <row r="26" spans="1:7" ht="21" customHeight="1">
      <c r="A26" s="51" t="s">
        <v>90</v>
      </c>
      <c r="B26" s="78">
        <f>'تراز يوروئي و ارزمحل'!D24</f>
        <v>0</v>
      </c>
      <c r="C26" s="143"/>
      <c r="D26" s="78" t="e">
        <f>'تراز يوروئي و ارزمحل'!D64/تسعير!E34</f>
        <v>#DIV/0!</v>
      </c>
      <c r="E26" s="143"/>
      <c r="F26" s="78" t="e">
        <f>D26+B26</f>
        <v>#DIV/0!</v>
      </c>
      <c r="G26" s="144"/>
    </row>
    <row r="27" spans="1:7" ht="21" customHeight="1">
      <c r="A27" s="51" t="s">
        <v>91</v>
      </c>
      <c r="B27" s="149"/>
      <c r="C27" s="143"/>
      <c r="D27" s="150"/>
      <c r="E27" s="143"/>
      <c r="F27" s="78">
        <f>D27+B27</f>
        <v>0</v>
      </c>
      <c r="G27" s="144"/>
    </row>
    <row r="28" spans="1:7" ht="21" customHeight="1">
      <c r="A28" s="51" t="s">
        <v>92</v>
      </c>
      <c r="B28" s="149"/>
      <c r="C28" s="143"/>
      <c r="D28" s="150"/>
      <c r="E28" s="143"/>
      <c r="F28" s="78">
        <f>D28+B28</f>
        <v>0</v>
      </c>
      <c r="G28" s="144"/>
    </row>
    <row r="29" spans="1:7" ht="21" customHeight="1">
      <c r="A29" s="34" t="s">
        <v>93</v>
      </c>
      <c r="B29" s="145"/>
      <c r="C29" s="145"/>
      <c r="D29" s="145"/>
      <c r="E29" s="145"/>
      <c r="F29" s="145"/>
      <c r="G29" s="147"/>
    </row>
    <row r="30" spans="1:7" ht="21" customHeight="1">
      <c r="A30" s="51" t="s">
        <v>94</v>
      </c>
      <c r="B30" s="143"/>
      <c r="C30" s="78">
        <f>'تراز يوروئي و ارزمحل'!E26</f>
        <v>0</v>
      </c>
      <c r="D30" s="143"/>
      <c r="E30" s="143"/>
      <c r="F30" s="143"/>
      <c r="G30" s="142">
        <f>C30</f>
        <v>0</v>
      </c>
    </row>
    <row r="31" spans="1:7" ht="21" customHeight="1">
      <c r="A31" s="51" t="s">
        <v>95</v>
      </c>
      <c r="B31" s="143"/>
      <c r="C31" s="78">
        <f>'تراز يوروئي و ارزمحل'!E27</f>
        <v>0</v>
      </c>
      <c r="D31" s="143"/>
      <c r="E31" s="143"/>
      <c r="F31" s="143"/>
      <c r="G31" s="142">
        <f>C31</f>
        <v>0</v>
      </c>
    </row>
    <row r="32" spans="1:7" ht="21" customHeight="1">
      <c r="A32" s="50" t="s">
        <v>96</v>
      </c>
      <c r="B32" s="145"/>
      <c r="C32" s="145"/>
      <c r="D32" s="145"/>
      <c r="E32" s="145"/>
      <c r="F32" s="145"/>
      <c r="G32" s="147"/>
    </row>
    <row r="33" spans="1:7" ht="21" customHeight="1">
      <c r="A33" s="137" t="s">
        <v>293</v>
      </c>
      <c r="B33" s="143"/>
      <c r="C33" s="78">
        <f>'تراز يوروئي و ارزمحل'!E29</f>
        <v>0</v>
      </c>
      <c r="D33" s="143"/>
      <c r="E33" s="78" t="e">
        <f>'تراز يوروئي و ارزمحل'!E66/تسعير!E34</f>
        <v>#DIV/0!</v>
      </c>
      <c r="F33" s="148"/>
      <c r="G33" s="142" t="e">
        <f>E33+C33</f>
        <v>#DIV/0!</v>
      </c>
    </row>
    <row r="34" spans="1:7" ht="21" customHeight="1">
      <c r="A34" s="51" t="s">
        <v>97</v>
      </c>
      <c r="B34" s="143"/>
      <c r="C34" s="78">
        <f>'تراز يوروئي و ارزمحل'!E30</f>
        <v>0</v>
      </c>
      <c r="D34" s="143"/>
      <c r="E34" s="78" t="e">
        <f>'تراز يوروئي و ارزمحل'!E68/تسعير!E34</f>
        <v>#DIV/0!</v>
      </c>
      <c r="F34" s="143"/>
      <c r="G34" s="142" t="e">
        <f>E34+C34</f>
        <v>#DIV/0!</v>
      </c>
    </row>
    <row r="35" spans="1:7" ht="21" customHeight="1" thickBot="1">
      <c r="A35" s="53" t="s">
        <v>4</v>
      </c>
      <c r="B35" s="79" t="e">
        <f t="shared" ref="B35:G35" si="0">SUM(B6:B34)</f>
        <v>#DIV/0!</v>
      </c>
      <c r="C35" s="79">
        <f t="shared" si="0"/>
        <v>0</v>
      </c>
      <c r="D35" s="79" t="e">
        <f t="shared" si="0"/>
        <v>#DIV/0!</v>
      </c>
      <c r="E35" s="79" t="e">
        <f t="shared" si="0"/>
        <v>#DIV/0!</v>
      </c>
      <c r="F35" s="79" t="e">
        <f t="shared" si="0"/>
        <v>#DIV/0!</v>
      </c>
      <c r="G35" s="141" t="e">
        <f t="shared" si="0"/>
        <v>#DIV/0!</v>
      </c>
    </row>
    <row r="36" spans="1:7" ht="21" customHeight="1">
      <c r="A36" s="270" t="s">
        <v>70</v>
      </c>
      <c r="B36" s="271"/>
      <c r="C36" s="271"/>
      <c r="D36" s="271"/>
      <c r="E36" s="271"/>
      <c r="F36" s="271"/>
      <c r="G36" s="271"/>
    </row>
    <row r="37" spans="1:7" ht="21" customHeight="1">
      <c r="A37" s="38" t="s">
        <v>67</v>
      </c>
    </row>
    <row r="38" spans="1:7" ht="21" customHeight="1">
      <c r="A38" s="56" t="s">
        <v>69</v>
      </c>
      <c r="D38" s="272" t="s">
        <v>68</v>
      </c>
      <c r="E38" s="272"/>
      <c r="F38" s="272"/>
    </row>
  </sheetData>
  <mergeCells count="9">
    <mergeCell ref="A1:D1"/>
    <mergeCell ref="A2:D2"/>
    <mergeCell ref="A3:B3"/>
    <mergeCell ref="A36:G36"/>
    <mergeCell ref="D38:F38"/>
    <mergeCell ref="B4:C4"/>
    <mergeCell ref="D4:E4"/>
    <mergeCell ref="F4:G4"/>
    <mergeCell ref="A4:A5"/>
  </mergeCells>
  <pageMargins left="0.19685039370078741" right="0.47244094488188981" top="0.39370078740157483" bottom="0.39370078740157483" header="0.31496062992125984" footer="0.31496062992125984"/>
  <pageSetup paperSize="9" orientation="portrait" verticalDpi="1200" r:id="rId1"/>
</worksheet>
</file>

<file path=xl/worksheets/sheet7.xml><?xml version="1.0" encoding="utf-8"?>
<worksheet xmlns="http://schemas.openxmlformats.org/spreadsheetml/2006/main" xmlns:r="http://schemas.openxmlformats.org/officeDocument/2006/relationships">
  <sheetPr>
    <tabColor rgb="FF00B0F0"/>
  </sheetPr>
  <dimension ref="A1:J343"/>
  <sheetViews>
    <sheetView rightToLeft="1" zoomScale="90" zoomScaleNormal="90" workbookViewId="0">
      <selection sqref="A1:F1"/>
    </sheetView>
  </sheetViews>
  <sheetFormatPr defaultRowHeight="15"/>
  <cols>
    <col min="1" max="1" width="5.5703125" style="5" customWidth="1"/>
    <col min="2" max="3" width="15.5703125" style="5" customWidth="1"/>
    <col min="4" max="5" width="12.5703125" style="5" customWidth="1"/>
    <col min="6" max="6" width="8.5703125" style="5" customWidth="1"/>
    <col min="7" max="8" width="12.5703125" style="5" customWidth="1"/>
    <col min="9" max="9" width="20.5703125" style="5" customWidth="1"/>
  </cols>
  <sheetData>
    <row r="1" spans="1:6" ht="21" customHeight="1">
      <c r="A1" s="280" t="s">
        <v>161</v>
      </c>
      <c r="B1" s="280"/>
      <c r="C1" s="280"/>
      <c r="D1" s="280"/>
      <c r="E1" s="280"/>
      <c r="F1" s="280"/>
    </row>
    <row r="2" spans="1:6" ht="21" customHeight="1">
      <c r="A2" s="280" t="s">
        <v>162</v>
      </c>
      <c r="B2" s="280"/>
      <c r="C2" s="280"/>
      <c r="D2" s="280"/>
      <c r="E2" s="280"/>
      <c r="F2" s="280"/>
    </row>
    <row r="3" spans="1:6" ht="21" customHeight="1">
      <c r="A3" s="280" t="s">
        <v>163</v>
      </c>
      <c r="B3" s="280"/>
      <c r="C3" s="280"/>
      <c r="D3" s="280"/>
      <c r="E3" s="280"/>
      <c r="F3" s="280"/>
    </row>
    <row r="4" spans="1:6" ht="21" customHeight="1">
      <c r="A4" s="280" t="s">
        <v>164</v>
      </c>
      <c r="B4" s="280"/>
      <c r="C4" s="280"/>
      <c r="D4" s="280"/>
      <c r="E4" s="280"/>
      <c r="F4" s="280"/>
    </row>
    <row r="5" spans="1:6" ht="21" customHeight="1">
      <c r="A5" s="280" t="s">
        <v>165</v>
      </c>
      <c r="B5" s="280"/>
      <c r="C5" s="280"/>
      <c r="D5" s="280"/>
      <c r="E5" s="280"/>
      <c r="F5" s="280"/>
    </row>
    <row r="6" spans="1:6" ht="21" customHeight="1">
      <c r="A6" s="280" t="s">
        <v>166</v>
      </c>
      <c r="B6" s="280"/>
      <c r="C6" s="280"/>
      <c r="D6" s="280"/>
      <c r="E6" s="280"/>
      <c r="F6" s="280"/>
    </row>
    <row r="7" spans="1:6" ht="21" customHeight="1">
      <c r="A7" s="280" t="s">
        <v>167</v>
      </c>
      <c r="B7" s="280"/>
      <c r="C7" s="280"/>
      <c r="D7" s="280"/>
      <c r="E7" s="280"/>
      <c r="F7" s="280"/>
    </row>
    <row r="8" spans="1:6" ht="21" customHeight="1">
      <c r="A8" s="280" t="s">
        <v>168</v>
      </c>
      <c r="B8" s="280"/>
      <c r="C8" s="280"/>
      <c r="D8" s="280"/>
      <c r="E8" s="280"/>
      <c r="F8" s="280"/>
    </row>
    <row r="9" spans="1:6" ht="21" customHeight="1">
      <c r="A9" s="280" t="s">
        <v>170</v>
      </c>
      <c r="B9" s="280"/>
      <c r="C9" s="280"/>
      <c r="D9" s="280"/>
      <c r="E9" s="280"/>
      <c r="F9" s="280"/>
    </row>
    <row r="10" spans="1:6" ht="21" customHeight="1">
      <c r="A10" s="280" t="s">
        <v>171</v>
      </c>
      <c r="B10" s="280"/>
      <c r="C10" s="280"/>
      <c r="D10" s="280"/>
      <c r="E10" s="280"/>
      <c r="F10" s="280"/>
    </row>
    <row r="11" spans="1:6" ht="21" customHeight="1">
      <c r="A11" s="280" t="s">
        <v>172</v>
      </c>
      <c r="B11" s="280"/>
      <c r="C11" s="280"/>
      <c r="D11" s="280"/>
      <c r="E11" s="280"/>
      <c r="F11" s="280"/>
    </row>
    <row r="12" spans="1:6" ht="21" customHeight="1">
      <c r="A12" s="280" t="s">
        <v>169</v>
      </c>
      <c r="B12" s="280"/>
      <c r="C12" s="280"/>
      <c r="D12" s="280"/>
      <c r="E12" s="280"/>
      <c r="F12" s="280"/>
    </row>
    <row r="32" spans="1:6" ht="17.25" customHeight="1">
      <c r="A32" s="284" t="s">
        <v>160</v>
      </c>
      <c r="B32" s="284"/>
      <c r="C32" s="284"/>
      <c r="D32" s="284"/>
      <c r="E32" s="284"/>
      <c r="F32" s="284"/>
    </row>
    <row r="33" spans="1:10" ht="17.25" customHeight="1" thickBot="1">
      <c r="A33" s="280" t="s">
        <v>159</v>
      </c>
      <c r="B33" s="280"/>
      <c r="C33" s="280"/>
      <c r="D33" s="280"/>
      <c r="E33" s="280"/>
      <c r="F33" s="280"/>
      <c r="G33" s="90" t="s">
        <v>185</v>
      </c>
      <c r="H33" s="107" t="e">
        <f>تسعير!E34</f>
        <v>#DIV/0!</v>
      </c>
    </row>
    <row r="34" spans="1:10" ht="30" customHeight="1">
      <c r="A34" s="99" t="s">
        <v>173</v>
      </c>
      <c r="B34" s="100" t="s">
        <v>174</v>
      </c>
      <c r="C34" s="100" t="s">
        <v>175</v>
      </c>
      <c r="D34" s="101" t="s">
        <v>178</v>
      </c>
      <c r="E34" s="101" t="s">
        <v>179</v>
      </c>
      <c r="F34" s="101" t="s">
        <v>176</v>
      </c>
      <c r="G34" s="101" t="s">
        <v>186</v>
      </c>
      <c r="H34" s="102" t="s">
        <v>180</v>
      </c>
      <c r="I34" s="103" t="s">
        <v>177</v>
      </c>
      <c r="J34" s="91"/>
    </row>
    <row r="35" spans="1:10" ht="21" customHeight="1">
      <c r="A35" s="195">
        <v>1</v>
      </c>
      <c r="B35" s="96"/>
      <c r="C35" s="96"/>
      <c r="D35" s="96"/>
      <c r="E35" s="96"/>
      <c r="F35" s="96"/>
      <c r="G35" s="96"/>
      <c r="H35" s="105" t="e">
        <f>D35+(E35/H33)+G35</f>
        <v>#DIV/0!</v>
      </c>
      <c r="I35" s="97"/>
      <c r="J35" s="91"/>
    </row>
    <row r="36" spans="1:10" ht="21" customHeight="1">
      <c r="A36" s="195">
        <v>2</v>
      </c>
      <c r="B36" s="96"/>
      <c r="C36" s="96"/>
      <c r="D36" s="96"/>
      <c r="E36" s="96"/>
      <c r="F36" s="96"/>
      <c r="G36" s="96"/>
      <c r="H36" s="105" t="e">
        <f>D36+E36/H33+G36</f>
        <v>#DIV/0!</v>
      </c>
      <c r="I36" s="97"/>
      <c r="J36" s="91"/>
    </row>
    <row r="37" spans="1:10" ht="21" customHeight="1">
      <c r="A37" s="195">
        <v>3</v>
      </c>
      <c r="B37" s="96"/>
      <c r="C37" s="96"/>
      <c r="D37" s="96"/>
      <c r="E37" s="96"/>
      <c r="F37" s="96"/>
      <c r="G37" s="96"/>
      <c r="H37" s="105" t="e">
        <f>D37+E37/H33+G37</f>
        <v>#DIV/0!</v>
      </c>
      <c r="I37" s="97"/>
      <c r="J37" s="91"/>
    </row>
    <row r="38" spans="1:10" ht="21" customHeight="1">
      <c r="A38" s="195">
        <v>4</v>
      </c>
      <c r="B38" s="96"/>
      <c r="C38" s="96"/>
      <c r="D38" s="96"/>
      <c r="E38" s="96"/>
      <c r="F38" s="96"/>
      <c r="G38" s="96"/>
      <c r="H38" s="105" t="e">
        <f>D38+E38/H33+G38</f>
        <v>#DIV/0!</v>
      </c>
      <c r="I38" s="97"/>
      <c r="J38" s="91"/>
    </row>
    <row r="39" spans="1:10" ht="21" customHeight="1">
      <c r="A39" s="195">
        <v>5</v>
      </c>
      <c r="B39" s="96"/>
      <c r="C39" s="96"/>
      <c r="D39" s="96"/>
      <c r="E39" s="96"/>
      <c r="F39" s="96"/>
      <c r="G39" s="96"/>
      <c r="H39" s="105" t="e">
        <f>D39+E39/H33+G39</f>
        <v>#DIV/0!</v>
      </c>
      <c r="I39" s="97"/>
      <c r="J39" s="91"/>
    </row>
    <row r="40" spans="1:10" ht="21" customHeight="1">
      <c r="A40" s="195">
        <v>6</v>
      </c>
      <c r="B40" s="96"/>
      <c r="C40" s="96"/>
      <c r="D40" s="96"/>
      <c r="E40" s="96"/>
      <c r="F40" s="96"/>
      <c r="G40" s="96"/>
      <c r="H40" s="105" t="e">
        <f>D40+E40/H33+G40</f>
        <v>#DIV/0!</v>
      </c>
      <c r="I40" s="97"/>
      <c r="J40" s="91"/>
    </row>
    <row r="41" spans="1:10" ht="21" customHeight="1">
      <c r="A41" s="195">
        <v>7</v>
      </c>
      <c r="B41" s="96"/>
      <c r="C41" s="96"/>
      <c r="D41" s="96"/>
      <c r="E41" s="96"/>
      <c r="F41" s="96"/>
      <c r="G41" s="96"/>
      <c r="H41" s="105" t="e">
        <f>D41+E41/H33+G41</f>
        <v>#DIV/0!</v>
      </c>
      <c r="I41" s="97"/>
      <c r="J41" s="91"/>
    </row>
    <row r="42" spans="1:10" ht="21" customHeight="1">
      <c r="A42" s="195">
        <v>8</v>
      </c>
      <c r="B42" s="96"/>
      <c r="C42" s="96"/>
      <c r="D42" s="96"/>
      <c r="E42" s="96"/>
      <c r="F42" s="96"/>
      <c r="G42" s="96"/>
      <c r="H42" s="105" t="e">
        <f>D42+E42/H33+G42</f>
        <v>#DIV/0!</v>
      </c>
      <c r="I42" s="97"/>
      <c r="J42" s="91"/>
    </row>
    <row r="43" spans="1:10" ht="21" customHeight="1">
      <c r="A43" s="195">
        <v>9</v>
      </c>
      <c r="B43" s="96"/>
      <c r="C43" s="96"/>
      <c r="D43" s="96"/>
      <c r="E43" s="96"/>
      <c r="F43" s="96"/>
      <c r="G43" s="96"/>
      <c r="H43" s="105" t="e">
        <f>D43+E43/H33+G43</f>
        <v>#DIV/0!</v>
      </c>
      <c r="I43" s="97"/>
      <c r="J43" s="91"/>
    </row>
    <row r="44" spans="1:10" ht="21" customHeight="1">
      <c r="A44" s="195">
        <v>10</v>
      </c>
      <c r="B44" s="96"/>
      <c r="C44" s="96"/>
      <c r="D44" s="96"/>
      <c r="E44" s="96"/>
      <c r="F44" s="96"/>
      <c r="G44" s="96"/>
      <c r="H44" s="105" t="e">
        <f>D44+E44/H33+G44</f>
        <v>#DIV/0!</v>
      </c>
      <c r="I44" s="97"/>
      <c r="J44" s="91"/>
    </row>
    <row r="45" spans="1:10" ht="21" customHeight="1">
      <c r="A45" s="195">
        <v>11</v>
      </c>
      <c r="B45" s="96"/>
      <c r="C45" s="96"/>
      <c r="D45" s="96"/>
      <c r="E45" s="96"/>
      <c r="F45" s="96"/>
      <c r="G45" s="96"/>
      <c r="H45" s="105" t="e">
        <f>D45+E45/H33+G45</f>
        <v>#DIV/0!</v>
      </c>
      <c r="I45" s="97"/>
      <c r="J45" s="91"/>
    </row>
    <row r="46" spans="1:10" ht="21" customHeight="1">
      <c r="A46" s="195">
        <v>12</v>
      </c>
      <c r="B46" s="96"/>
      <c r="C46" s="96"/>
      <c r="D46" s="96"/>
      <c r="E46" s="96"/>
      <c r="F46" s="96"/>
      <c r="G46" s="96"/>
      <c r="H46" s="105" t="e">
        <f>D46+E46/H33+G46</f>
        <v>#DIV/0!</v>
      </c>
      <c r="I46" s="97"/>
      <c r="J46" s="91"/>
    </row>
    <row r="47" spans="1:10" s="93" customFormat="1" ht="21" customHeight="1" thickBot="1">
      <c r="A47" s="285" t="s">
        <v>182</v>
      </c>
      <c r="B47" s="286"/>
      <c r="C47" s="287"/>
      <c r="D47" s="98">
        <f>SUM(D35:D46)</f>
        <v>0</v>
      </c>
      <c r="E47" s="98">
        <f>SUM(E35:E46)</f>
        <v>0</v>
      </c>
      <c r="F47" s="98">
        <f>SUM(F35:F46)</f>
        <v>0</v>
      </c>
      <c r="G47" s="98">
        <f>SUM(G35:G46)</f>
        <v>0</v>
      </c>
      <c r="H47" s="106" t="e">
        <f>SUM(H35:H46)</f>
        <v>#DIV/0!</v>
      </c>
      <c r="I47" s="95"/>
      <c r="J47" s="92"/>
    </row>
    <row r="48" spans="1:10" s="93" customFormat="1" ht="21" customHeight="1">
      <c r="A48" s="281" t="s">
        <v>181</v>
      </c>
      <c r="B48" s="281"/>
      <c r="C48" s="281"/>
      <c r="D48" s="281"/>
      <c r="E48" s="281"/>
      <c r="F48" s="281"/>
      <c r="G48" s="281"/>
      <c r="H48" s="281"/>
      <c r="I48" s="281"/>
      <c r="J48" s="92"/>
    </row>
    <row r="49" spans="1:10" s="93" customFormat="1" ht="21" customHeight="1">
      <c r="A49" s="282"/>
      <c r="B49" s="282"/>
      <c r="C49" s="282"/>
      <c r="D49" s="282"/>
      <c r="E49" s="282"/>
      <c r="F49" s="282"/>
      <c r="G49" s="282"/>
      <c r="H49" s="282"/>
      <c r="I49" s="282"/>
      <c r="J49" s="92"/>
    </row>
    <row r="50" spans="1:10" ht="21" customHeight="1">
      <c r="A50" s="283"/>
      <c r="B50" s="283"/>
      <c r="C50" s="283"/>
      <c r="D50" s="283"/>
      <c r="E50" s="283"/>
      <c r="F50" s="283"/>
      <c r="G50" s="283"/>
      <c r="H50" s="283"/>
      <c r="I50" s="283"/>
      <c r="J50" s="91"/>
    </row>
    <row r="51" spans="1:10" ht="21" customHeight="1">
      <c r="A51" s="288" t="s">
        <v>183</v>
      </c>
      <c r="B51" s="288"/>
      <c r="C51" s="288"/>
      <c r="D51" s="94"/>
      <c r="E51" s="94"/>
      <c r="F51" s="94"/>
      <c r="G51" s="288" t="s">
        <v>184</v>
      </c>
      <c r="H51" s="288"/>
      <c r="I51" s="94"/>
      <c r="J51" s="91"/>
    </row>
    <row r="52" spans="1:10">
      <c r="A52" s="94"/>
      <c r="B52" s="94"/>
      <c r="C52" s="94"/>
      <c r="D52" s="94"/>
      <c r="E52" s="94"/>
      <c r="F52" s="94"/>
      <c r="I52" s="94"/>
      <c r="J52" s="91"/>
    </row>
    <row r="53" spans="1:10">
      <c r="A53" s="94"/>
      <c r="B53" s="94"/>
      <c r="C53" s="94"/>
      <c r="D53" s="94"/>
      <c r="E53" s="94"/>
      <c r="F53" s="94"/>
      <c r="G53" s="94"/>
      <c r="H53" s="94"/>
      <c r="I53" s="94"/>
      <c r="J53" s="91"/>
    </row>
    <row r="54" spans="1:10">
      <c r="A54" s="94"/>
      <c r="B54" s="94"/>
      <c r="C54" s="94"/>
      <c r="D54" s="94"/>
      <c r="E54" s="94"/>
      <c r="F54" s="94"/>
      <c r="G54" s="94"/>
      <c r="H54" s="94"/>
      <c r="I54" s="94"/>
      <c r="J54" s="91"/>
    </row>
    <row r="55" spans="1:10">
      <c r="A55" s="94"/>
      <c r="B55" s="94"/>
      <c r="C55" s="94"/>
      <c r="D55" s="94"/>
      <c r="E55" s="94"/>
      <c r="F55" s="94"/>
      <c r="G55" s="94"/>
      <c r="H55" s="94"/>
      <c r="I55" s="94"/>
      <c r="J55" s="91"/>
    </row>
    <row r="56" spans="1:10">
      <c r="A56" s="94"/>
      <c r="B56" s="94"/>
      <c r="C56" s="94"/>
      <c r="D56" s="94"/>
      <c r="E56" s="94"/>
      <c r="F56" s="94"/>
      <c r="G56" s="94"/>
      <c r="H56" s="94"/>
      <c r="I56" s="94"/>
      <c r="J56" s="91"/>
    </row>
    <row r="57" spans="1:10">
      <c r="A57" s="94"/>
      <c r="B57" s="94"/>
      <c r="C57" s="94"/>
      <c r="D57" s="94"/>
      <c r="E57" s="94"/>
      <c r="F57" s="94"/>
      <c r="G57" s="94"/>
      <c r="H57" s="94"/>
      <c r="I57" s="94"/>
      <c r="J57" s="91"/>
    </row>
    <row r="58" spans="1:10" ht="21" customHeight="1">
      <c r="A58" s="284" t="s">
        <v>160</v>
      </c>
      <c r="B58" s="284"/>
      <c r="C58" s="284"/>
      <c r="D58" s="284"/>
      <c r="E58" s="284"/>
      <c r="F58" s="284"/>
    </row>
    <row r="59" spans="1:10" ht="21" customHeight="1" thickBot="1">
      <c r="A59" s="280" t="s">
        <v>187</v>
      </c>
      <c r="B59" s="280"/>
      <c r="C59" s="280"/>
      <c r="D59" s="280"/>
      <c r="E59" s="280"/>
      <c r="F59" s="280"/>
      <c r="G59" s="90" t="s">
        <v>185</v>
      </c>
      <c r="H59" s="107" t="e">
        <f>تسعير!E34</f>
        <v>#DIV/0!</v>
      </c>
    </row>
    <row r="60" spans="1:10" ht="30">
      <c r="A60" s="99" t="s">
        <v>173</v>
      </c>
      <c r="B60" s="100" t="s">
        <v>174</v>
      </c>
      <c r="C60" s="100" t="s">
        <v>175</v>
      </c>
      <c r="D60" s="101" t="s">
        <v>178</v>
      </c>
      <c r="E60" s="101" t="s">
        <v>179</v>
      </c>
      <c r="F60" s="101" t="s">
        <v>176</v>
      </c>
      <c r="G60" s="101" t="s">
        <v>186</v>
      </c>
      <c r="H60" s="102" t="s">
        <v>180</v>
      </c>
      <c r="I60" s="103" t="s">
        <v>177</v>
      </c>
      <c r="J60" s="91"/>
    </row>
    <row r="61" spans="1:10" ht="21" customHeight="1">
      <c r="A61" s="195">
        <v>1</v>
      </c>
      <c r="B61" s="96"/>
      <c r="C61" s="96"/>
      <c r="D61" s="96"/>
      <c r="E61" s="96"/>
      <c r="F61" s="96"/>
      <c r="G61" s="96"/>
      <c r="H61" s="105" t="e">
        <f>D61+E61/H59+G61</f>
        <v>#DIV/0!</v>
      </c>
      <c r="I61" s="97"/>
      <c r="J61" s="91"/>
    </row>
    <row r="62" spans="1:10" ht="21" customHeight="1">
      <c r="A62" s="195">
        <v>2</v>
      </c>
      <c r="B62" s="96"/>
      <c r="C62" s="96"/>
      <c r="D62" s="96"/>
      <c r="E62" s="96"/>
      <c r="F62" s="96"/>
      <c r="G62" s="96"/>
      <c r="H62" s="105" t="e">
        <f>D62+E62/H59+G62</f>
        <v>#DIV/0!</v>
      </c>
      <c r="I62" s="97"/>
      <c r="J62" s="91"/>
    </row>
    <row r="63" spans="1:10" ht="21" customHeight="1">
      <c r="A63" s="195">
        <v>3</v>
      </c>
      <c r="B63" s="96"/>
      <c r="C63" s="96"/>
      <c r="D63" s="96"/>
      <c r="E63" s="96"/>
      <c r="F63" s="96"/>
      <c r="G63" s="96"/>
      <c r="H63" s="105" t="e">
        <f>D63+E63/H59+G63</f>
        <v>#DIV/0!</v>
      </c>
      <c r="I63" s="97"/>
      <c r="J63" s="91"/>
    </row>
    <row r="64" spans="1:10" ht="21" customHeight="1">
      <c r="A64" s="195">
        <v>4</v>
      </c>
      <c r="B64" s="96"/>
      <c r="C64" s="96"/>
      <c r="D64" s="96"/>
      <c r="E64" s="96"/>
      <c r="F64" s="96"/>
      <c r="G64" s="96"/>
      <c r="H64" s="105" t="e">
        <f>D64+E64/H59+G64</f>
        <v>#DIV/0!</v>
      </c>
      <c r="I64" s="97"/>
      <c r="J64" s="91"/>
    </row>
    <row r="65" spans="1:10" ht="21" customHeight="1">
      <c r="A65" s="195">
        <v>5</v>
      </c>
      <c r="B65" s="96"/>
      <c r="C65" s="96"/>
      <c r="D65" s="96"/>
      <c r="E65" s="96"/>
      <c r="F65" s="96"/>
      <c r="G65" s="96"/>
      <c r="H65" s="105" t="e">
        <f>D65+E65/H59+G65</f>
        <v>#DIV/0!</v>
      </c>
      <c r="I65" s="97"/>
      <c r="J65" s="91"/>
    </row>
    <row r="66" spans="1:10" ht="21" customHeight="1">
      <c r="A66" s="195">
        <v>6</v>
      </c>
      <c r="B66" s="96"/>
      <c r="C66" s="96"/>
      <c r="D66" s="96"/>
      <c r="E66" s="96"/>
      <c r="F66" s="96"/>
      <c r="G66" s="96"/>
      <c r="H66" s="105" t="e">
        <f>D66+E66/H59+G66</f>
        <v>#DIV/0!</v>
      </c>
      <c r="I66" s="97"/>
      <c r="J66" s="91"/>
    </row>
    <row r="67" spans="1:10" ht="21" customHeight="1">
      <c r="A67" s="195">
        <v>7</v>
      </c>
      <c r="B67" s="96"/>
      <c r="C67" s="96"/>
      <c r="D67" s="96"/>
      <c r="E67" s="96"/>
      <c r="F67" s="96"/>
      <c r="G67" s="96"/>
      <c r="H67" s="105" t="e">
        <f>D67+E67/H59+G67</f>
        <v>#DIV/0!</v>
      </c>
      <c r="I67" s="97"/>
      <c r="J67" s="91"/>
    </row>
    <row r="68" spans="1:10" ht="21" customHeight="1">
      <c r="A68" s="195">
        <v>8</v>
      </c>
      <c r="B68" s="96"/>
      <c r="C68" s="96"/>
      <c r="D68" s="96"/>
      <c r="E68" s="96"/>
      <c r="F68" s="96"/>
      <c r="G68" s="96"/>
      <c r="H68" s="105" t="e">
        <f>D68+E68/H59+G68</f>
        <v>#DIV/0!</v>
      </c>
      <c r="I68" s="97"/>
      <c r="J68" s="91"/>
    </row>
    <row r="69" spans="1:10" ht="21" customHeight="1">
      <c r="A69" s="195">
        <v>9</v>
      </c>
      <c r="B69" s="96"/>
      <c r="C69" s="96"/>
      <c r="D69" s="96"/>
      <c r="E69" s="96"/>
      <c r="F69" s="96"/>
      <c r="G69" s="96"/>
      <c r="H69" s="105" t="e">
        <f>D69+E69/H59+G69</f>
        <v>#DIV/0!</v>
      </c>
      <c r="I69" s="97"/>
      <c r="J69" s="91"/>
    </row>
    <row r="70" spans="1:10" ht="21" customHeight="1">
      <c r="A70" s="195">
        <v>10</v>
      </c>
      <c r="B70" s="96"/>
      <c r="C70" s="96"/>
      <c r="D70" s="96"/>
      <c r="E70" s="96"/>
      <c r="F70" s="96"/>
      <c r="G70" s="96"/>
      <c r="H70" s="105" t="e">
        <f>D70+E70/H59+G70</f>
        <v>#DIV/0!</v>
      </c>
      <c r="I70" s="97"/>
      <c r="J70" s="91"/>
    </row>
    <row r="71" spans="1:10" ht="21" customHeight="1">
      <c r="A71" s="195">
        <v>11</v>
      </c>
      <c r="B71" s="96"/>
      <c r="C71" s="96"/>
      <c r="D71" s="96"/>
      <c r="E71" s="96"/>
      <c r="F71" s="96"/>
      <c r="G71" s="96"/>
      <c r="H71" s="105" t="e">
        <f>D71+E71/H59+G71</f>
        <v>#DIV/0!</v>
      </c>
      <c r="I71" s="97"/>
      <c r="J71" s="91"/>
    </row>
    <row r="72" spans="1:10" ht="21" customHeight="1">
      <c r="A72" s="195">
        <v>12</v>
      </c>
      <c r="B72" s="96"/>
      <c r="C72" s="96"/>
      <c r="D72" s="96"/>
      <c r="E72" s="96"/>
      <c r="F72" s="96"/>
      <c r="G72" s="96"/>
      <c r="H72" s="105" t="e">
        <f>D72+E72/H59+G72</f>
        <v>#DIV/0!</v>
      </c>
      <c r="I72" s="97"/>
      <c r="J72" s="91"/>
    </row>
    <row r="73" spans="1:10" ht="21" customHeight="1" thickBot="1">
      <c r="A73" s="285" t="s">
        <v>182</v>
      </c>
      <c r="B73" s="286"/>
      <c r="C73" s="287"/>
      <c r="D73" s="98">
        <f>SUM(D61:D72)</f>
        <v>0</v>
      </c>
      <c r="E73" s="98">
        <f>SUM(E61:E72)</f>
        <v>0</v>
      </c>
      <c r="F73" s="98">
        <f>SUM(F61:F72)</f>
        <v>0</v>
      </c>
      <c r="G73" s="98">
        <f>SUM(G61:G72)</f>
        <v>0</v>
      </c>
      <c r="H73" s="106" t="e">
        <f>SUM(H61:H72)</f>
        <v>#DIV/0!</v>
      </c>
      <c r="I73" s="95"/>
      <c r="J73" s="92"/>
    </row>
    <row r="74" spans="1:10" ht="21" customHeight="1">
      <c r="A74" s="281" t="s">
        <v>188</v>
      </c>
      <c r="B74" s="281"/>
      <c r="C74" s="281"/>
      <c r="D74" s="281"/>
      <c r="E74" s="281"/>
      <c r="F74" s="281"/>
      <c r="G74" s="281"/>
      <c r="H74" s="281"/>
      <c r="I74" s="281"/>
      <c r="J74" s="92"/>
    </row>
    <row r="75" spans="1:10" ht="21" customHeight="1">
      <c r="A75" s="282"/>
      <c r="B75" s="282"/>
      <c r="C75" s="282"/>
      <c r="D75" s="282"/>
      <c r="E75" s="282"/>
      <c r="F75" s="282"/>
      <c r="G75" s="282"/>
      <c r="H75" s="282"/>
      <c r="I75" s="282"/>
      <c r="J75" s="92"/>
    </row>
    <row r="76" spans="1:10" ht="21" customHeight="1">
      <c r="A76" s="283"/>
      <c r="B76" s="283"/>
      <c r="C76" s="283"/>
      <c r="D76" s="283"/>
      <c r="E76" s="283"/>
      <c r="F76" s="283"/>
      <c r="G76" s="283"/>
      <c r="H76" s="283"/>
      <c r="I76" s="283"/>
      <c r="J76" s="91"/>
    </row>
    <row r="77" spans="1:10" ht="21" customHeight="1">
      <c r="A77" s="288" t="s">
        <v>183</v>
      </c>
      <c r="B77" s="288"/>
      <c r="C77" s="288"/>
      <c r="D77" s="94"/>
      <c r="E77" s="94"/>
      <c r="F77" s="94"/>
      <c r="G77" s="288" t="s">
        <v>184</v>
      </c>
      <c r="H77" s="288"/>
      <c r="I77" s="94"/>
      <c r="J77" s="91"/>
    </row>
    <row r="78" spans="1:10">
      <c r="A78" s="94"/>
      <c r="B78" s="94"/>
      <c r="C78" s="94"/>
      <c r="D78" s="94"/>
      <c r="E78" s="94"/>
      <c r="F78" s="94"/>
      <c r="I78" s="94"/>
      <c r="J78" s="91"/>
    </row>
    <row r="79" spans="1:10">
      <c r="A79" s="94"/>
      <c r="B79" s="94"/>
      <c r="C79" s="94"/>
      <c r="D79" s="94"/>
      <c r="E79" s="94"/>
      <c r="F79" s="94"/>
      <c r="G79" s="94"/>
      <c r="H79" s="94"/>
      <c r="I79" s="94"/>
      <c r="J79" s="91"/>
    </row>
    <row r="80" spans="1:10">
      <c r="A80" s="94"/>
      <c r="B80" s="94"/>
      <c r="C80" s="94"/>
      <c r="D80" s="94"/>
      <c r="E80" s="94"/>
      <c r="F80" s="94"/>
      <c r="G80" s="94"/>
      <c r="H80" s="94"/>
      <c r="I80" s="94"/>
      <c r="J80" s="91"/>
    </row>
    <row r="81" spans="1:10">
      <c r="A81" s="94"/>
      <c r="B81" s="94"/>
      <c r="C81" s="94"/>
      <c r="D81" s="94"/>
      <c r="E81" s="94"/>
      <c r="F81" s="94"/>
      <c r="G81" s="94"/>
      <c r="H81" s="94"/>
      <c r="I81" s="94"/>
      <c r="J81" s="91"/>
    </row>
    <row r="82" spans="1:10">
      <c r="A82" s="94"/>
      <c r="B82" s="94"/>
      <c r="C82" s="94"/>
      <c r="D82" s="94"/>
      <c r="E82" s="94"/>
      <c r="F82" s="94"/>
      <c r="G82" s="94"/>
      <c r="H82" s="94"/>
      <c r="I82" s="94"/>
      <c r="J82" s="91"/>
    </row>
    <row r="83" spans="1:10">
      <c r="A83" s="94"/>
      <c r="B83" s="94"/>
      <c r="C83" s="94"/>
      <c r="D83" s="94"/>
      <c r="E83" s="94"/>
      <c r="F83" s="94"/>
      <c r="G83" s="94"/>
      <c r="H83" s="94"/>
      <c r="I83" s="94"/>
      <c r="J83" s="91"/>
    </row>
    <row r="84" spans="1:10" ht="21" customHeight="1">
      <c r="A84" s="284" t="s">
        <v>160</v>
      </c>
      <c r="B84" s="284"/>
      <c r="C84" s="284"/>
      <c r="D84" s="284"/>
      <c r="E84" s="284"/>
      <c r="F84" s="284"/>
      <c r="J84" s="91"/>
    </row>
    <row r="85" spans="1:10" ht="21" customHeight="1" thickBot="1">
      <c r="A85" s="280" t="s">
        <v>208</v>
      </c>
      <c r="B85" s="280"/>
      <c r="C85" s="280"/>
      <c r="D85" s="280"/>
      <c r="E85" s="280"/>
      <c r="F85" s="280"/>
      <c r="G85" s="90" t="s">
        <v>185</v>
      </c>
      <c r="H85" s="107" t="e">
        <f>تسعير!E34</f>
        <v>#DIV/0!</v>
      </c>
    </row>
    <row r="86" spans="1:10" ht="30">
      <c r="A86" s="99" t="s">
        <v>173</v>
      </c>
      <c r="B86" s="100" t="s">
        <v>174</v>
      </c>
      <c r="C86" s="100" t="s">
        <v>175</v>
      </c>
      <c r="D86" s="101" t="s">
        <v>178</v>
      </c>
      <c r="E86" s="101" t="s">
        <v>179</v>
      </c>
      <c r="F86" s="101" t="s">
        <v>176</v>
      </c>
      <c r="G86" s="101" t="s">
        <v>186</v>
      </c>
      <c r="H86" s="102" t="s">
        <v>180</v>
      </c>
      <c r="I86" s="103" t="s">
        <v>177</v>
      </c>
    </row>
    <row r="87" spans="1:10" ht="21" customHeight="1">
      <c r="A87" s="195">
        <v>1</v>
      </c>
      <c r="B87" s="96"/>
      <c r="C87" s="96"/>
      <c r="D87" s="96"/>
      <c r="E87" s="96"/>
      <c r="F87" s="96"/>
      <c r="G87" s="96"/>
      <c r="H87" s="105" t="e">
        <f>D87+E87/H85+G87</f>
        <v>#DIV/0!</v>
      </c>
      <c r="I87" s="97"/>
    </row>
    <row r="88" spans="1:10" ht="21" customHeight="1">
      <c r="A88" s="195">
        <v>2</v>
      </c>
      <c r="B88" s="96"/>
      <c r="C88" s="96"/>
      <c r="D88" s="96"/>
      <c r="E88" s="96"/>
      <c r="F88" s="96"/>
      <c r="G88" s="96"/>
      <c r="H88" s="105" t="e">
        <f>D88+E88/H85+G88</f>
        <v>#DIV/0!</v>
      </c>
      <c r="I88" s="97"/>
    </row>
    <row r="89" spans="1:10" ht="21" customHeight="1">
      <c r="A89" s="195">
        <v>3</v>
      </c>
      <c r="B89" s="96"/>
      <c r="C89" s="96"/>
      <c r="D89" s="96"/>
      <c r="E89" s="96"/>
      <c r="F89" s="96"/>
      <c r="G89" s="96"/>
      <c r="H89" s="105" t="e">
        <f>D89+E89/H85+G89</f>
        <v>#DIV/0!</v>
      </c>
      <c r="I89" s="97"/>
    </row>
    <row r="90" spans="1:10" ht="21" customHeight="1">
      <c r="A90" s="195">
        <v>4</v>
      </c>
      <c r="B90" s="96"/>
      <c r="C90" s="96"/>
      <c r="D90" s="96"/>
      <c r="E90" s="96"/>
      <c r="F90" s="96"/>
      <c r="G90" s="96"/>
      <c r="H90" s="105" t="e">
        <f>D90+E90/H85+G90</f>
        <v>#DIV/0!</v>
      </c>
      <c r="I90" s="97"/>
    </row>
    <row r="91" spans="1:10" ht="21" customHeight="1">
      <c r="A91" s="195">
        <v>5</v>
      </c>
      <c r="B91" s="96"/>
      <c r="C91" s="96"/>
      <c r="D91" s="96"/>
      <c r="E91" s="96"/>
      <c r="F91" s="96"/>
      <c r="G91" s="96"/>
      <c r="H91" s="105" t="e">
        <f>D91+E91/H85+G91</f>
        <v>#DIV/0!</v>
      </c>
      <c r="I91" s="97"/>
    </row>
    <row r="92" spans="1:10" ht="21" customHeight="1">
      <c r="A92" s="195">
        <v>6</v>
      </c>
      <c r="B92" s="96"/>
      <c r="C92" s="96"/>
      <c r="D92" s="96"/>
      <c r="E92" s="96"/>
      <c r="F92" s="96"/>
      <c r="G92" s="96"/>
      <c r="H92" s="105" t="e">
        <f>D92+E92/H85+G92</f>
        <v>#DIV/0!</v>
      </c>
      <c r="I92" s="97"/>
    </row>
    <row r="93" spans="1:10" ht="21" customHeight="1">
      <c r="A93" s="195">
        <v>7</v>
      </c>
      <c r="B93" s="96"/>
      <c r="C93" s="96"/>
      <c r="D93" s="96"/>
      <c r="E93" s="96"/>
      <c r="F93" s="96"/>
      <c r="G93" s="96"/>
      <c r="H93" s="105" t="e">
        <f>D93+E93/H85+G93</f>
        <v>#DIV/0!</v>
      </c>
      <c r="I93" s="97"/>
    </row>
    <row r="94" spans="1:10" ht="21" customHeight="1">
      <c r="A94" s="195">
        <v>8</v>
      </c>
      <c r="B94" s="96"/>
      <c r="C94" s="96"/>
      <c r="D94" s="96"/>
      <c r="E94" s="96"/>
      <c r="F94" s="96"/>
      <c r="G94" s="96"/>
      <c r="H94" s="105" t="e">
        <f>D94+E94/H85+G94</f>
        <v>#DIV/0!</v>
      </c>
      <c r="I94" s="97"/>
    </row>
    <row r="95" spans="1:10" ht="21" customHeight="1">
      <c r="A95" s="195">
        <v>9</v>
      </c>
      <c r="B95" s="96"/>
      <c r="C95" s="96"/>
      <c r="D95" s="96"/>
      <c r="E95" s="96"/>
      <c r="F95" s="96"/>
      <c r="G95" s="96"/>
      <c r="H95" s="105" t="e">
        <f>D95+E95/H85+G95</f>
        <v>#DIV/0!</v>
      </c>
      <c r="I95" s="97"/>
    </row>
    <row r="96" spans="1:10" ht="21" customHeight="1">
      <c r="A96" s="195">
        <v>10</v>
      </c>
      <c r="B96" s="96"/>
      <c r="C96" s="96"/>
      <c r="D96" s="96"/>
      <c r="E96" s="96"/>
      <c r="F96" s="96"/>
      <c r="G96" s="96"/>
      <c r="H96" s="105" t="e">
        <f>D96+E96/H85+G96</f>
        <v>#DIV/0!</v>
      </c>
      <c r="I96" s="97"/>
    </row>
    <row r="97" spans="1:9" ht="21" customHeight="1">
      <c r="A97" s="195">
        <v>11</v>
      </c>
      <c r="B97" s="96"/>
      <c r="C97" s="96"/>
      <c r="D97" s="96"/>
      <c r="E97" s="96"/>
      <c r="F97" s="96"/>
      <c r="G97" s="96"/>
      <c r="H97" s="105" t="e">
        <f>D97+E97/H85+G97</f>
        <v>#DIV/0!</v>
      </c>
      <c r="I97" s="97"/>
    </row>
    <row r="98" spans="1:9" ht="21" customHeight="1">
      <c r="A98" s="195">
        <v>12</v>
      </c>
      <c r="B98" s="96"/>
      <c r="C98" s="96"/>
      <c r="D98" s="96"/>
      <c r="E98" s="96"/>
      <c r="F98" s="96"/>
      <c r="G98" s="96"/>
      <c r="H98" s="105" t="e">
        <f>D98+E98/H85+G98</f>
        <v>#DIV/0!</v>
      </c>
      <c r="I98" s="97"/>
    </row>
    <row r="99" spans="1:9" ht="21" customHeight="1" thickBot="1">
      <c r="A99" s="285" t="s">
        <v>182</v>
      </c>
      <c r="B99" s="286"/>
      <c r="C99" s="287"/>
      <c r="D99" s="98">
        <f>SUM(D87:D98)</f>
        <v>0</v>
      </c>
      <c r="E99" s="98">
        <f>SUM(E87:E98)</f>
        <v>0</v>
      </c>
      <c r="F99" s="98">
        <f>SUM(F87:F98)</f>
        <v>0</v>
      </c>
      <c r="G99" s="98">
        <f>SUM(G87:G98)</f>
        <v>0</v>
      </c>
      <c r="H99" s="106" t="e">
        <f>SUM(H87:H98)</f>
        <v>#DIV/0!</v>
      </c>
      <c r="I99" s="95"/>
    </row>
    <row r="100" spans="1:9" ht="21" customHeight="1">
      <c r="A100" s="281" t="s">
        <v>207</v>
      </c>
      <c r="B100" s="281"/>
      <c r="C100" s="281"/>
      <c r="D100" s="281"/>
      <c r="E100" s="281"/>
      <c r="F100" s="281"/>
      <c r="G100" s="281"/>
      <c r="H100" s="281"/>
      <c r="I100" s="281"/>
    </row>
    <row r="101" spans="1:9" ht="21" customHeight="1">
      <c r="A101" s="282"/>
      <c r="B101" s="282"/>
      <c r="C101" s="282"/>
      <c r="D101" s="282"/>
      <c r="E101" s="282"/>
      <c r="F101" s="282"/>
      <c r="G101" s="282"/>
      <c r="H101" s="282"/>
      <c r="I101" s="282"/>
    </row>
    <row r="102" spans="1:9" ht="21" customHeight="1">
      <c r="A102" s="283"/>
      <c r="B102" s="283"/>
      <c r="C102" s="283"/>
      <c r="D102" s="283"/>
      <c r="E102" s="283"/>
      <c r="F102" s="283"/>
      <c r="G102" s="283"/>
      <c r="H102" s="283"/>
      <c r="I102" s="283"/>
    </row>
    <row r="103" spans="1:9" ht="21" customHeight="1">
      <c r="A103" s="288" t="s">
        <v>183</v>
      </c>
      <c r="B103" s="288"/>
      <c r="C103" s="288"/>
      <c r="D103" s="94"/>
      <c r="E103" s="94"/>
      <c r="F103" s="94"/>
      <c r="G103" s="288" t="s">
        <v>184</v>
      </c>
      <c r="H103" s="288"/>
      <c r="I103" s="94"/>
    </row>
    <row r="104" spans="1:9">
      <c r="A104" s="94"/>
      <c r="B104" s="94"/>
      <c r="C104" s="94"/>
      <c r="D104" s="94"/>
      <c r="E104" s="94"/>
      <c r="F104" s="94"/>
      <c r="I104" s="94"/>
    </row>
    <row r="105" spans="1:9">
      <c r="A105" s="94"/>
      <c r="B105" s="94"/>
      <c r="C105" s="94"/>
      <c r="D105" s="94"/>
      <c r="E105" s="94"/>
      <c r="F105" s="94"/>
      <c r="G105" s="94"/>
      <c r="H105" s="94"/>
      <c r="I105" s="94"/>
    </row>
    <row r="106" spans="1:9">
      <c r="A106" s="94"/>
      <c r="B106" s="94"/>
      <c r="C106" s="94"/>
      <c r="D106" s="94"/>
      <c r="E106" s="94"/>
      <c r="F106" s="94"/>
      <c r="G106" s="94"/>
      <c r="H106" s="94"/>
      <c r="I106" s="94"/>
    </row>
    <row r="107" spans="1:9">
      <c r="A107" s="94"/>
      <c r="B107" s="94"/>
      <c r="C107" s="94"/>
      <c r="D107" s="94"/>
      <c r="E107" s="94"/>
      <c r="F107" s="94"/>
      <c r="G107" s="94"/>
      <c r="H107" s="94"/>
      <c r="I107" s="94"/>
    </row>
    <row r="108" spans="1:9">
      <c r="A108" s="94"/>
      <c r="B108" s="94"/>
      <c r="C108" s="94"/>
      <c r="D108" s="94"/>
      <c r="E108" s="94"/>
      <c r="F108" s="94"/>
      <c r="G108" s="94"/>
      <c r="H108" s="94"/>
      <c r="I108" s="94"/>
    </row>
    <row r="109" spans="1:9">
      <c r="A109" s="94"/>
      <c r="B109" s="94"/>
      <c r="C109" s="94"/>
      <c r="D109" s="94"/>
      <c r="E109" s="94"/>
      <c r="F109" s="94"/>
      <c r="G109" s="94"/>
      <c r="H109" s="94"/>
      <c r="I109" s="94"/>
    </row>
    <row r="110" spans="1:9" ht="21" customHeight="1">
      <c r="A110" s="284" t="s">
        <v>160</v>
      </c>
      <c r="B110" s="284"/>
      <c r="C110" s="284"/>
      <c r="D110" s="284"/>
      <c r="E110" s="284"/>
      <c r="F110" s="284"/>
    </row>
    <row r="111" spans="1:9" ht="21" customHeight="1" thickBot="1">
      <c r="A111" s="280" t="s">
        <v>206</v>
      </c>
      <c r="B111" s="280"/>
      <c r="C111" s="280"/>
      <c r="D111" s="280"/>
      <c r="E111" s="280"/>
      <c r="F111" s="280"/>
      <c r="G111" s="90" t="s">
        <v>185</v>
      </c>
      <c r="H111" s="107" t="e">
        <f>تسعير!E34</f>
        <v>#DIV/0!</v>
      </c>
    </row>
    <row r="112" spans="1:9" ht="30">
      <c r="A112" s="99" t="s">
        <v>173</v>
      </c>
      <c r="B112" s="100" t="s">
        <v>174</v>
      </c>
      <c r="C112" s="100" t="s">
        <v>175</v>
      </c>
      <c r="D112" s="101" t="s">
        <v>178</v>
      </c>
      <c r="E112" s="101" t="s">
        <v>179</v>
      </c>
      <c r="F112" s="101" t="s">
        <v>176</v>
      </c>
      <c r="G112" s="101" t="s">
        <v>186</v>
      </c>
      <c r="H112" s="102" t="s">
        <v>180</v>
      </c>
      <c r="I112" s="103" t="s">
        <v>177</v>
      </c>
    </row>
    <row r="113" spans="1:9" ht="21" customHeight="1">
      <c r="A113" s="195">
        <v>1</v>
      </c>
      <c r="B113" s="96"/>
      <c r="C113" s="96"/>
      <c r="D113" s="96"/>
      <c r="E113" s="96"/>
      <c r="F113" s="96"/>
      <c r="G113" s="96"/>
      <c r="H113" s="105" t="e">
        <f>D113+E113/H111+G113</f>
        <v>#DIV/0!</v>
      </c>
      <c r="I113" s="97"/>
    </row>
    <row r="114" spans="1:9" ht="21" customHeight="1">
      <c r="A114" s="195">
        <v>2</v>
      </c>
      <c r="B114" s="96"/>
      <c r="C114" s="96"/>
      <c r="D114" s="96"/>
      <c r="E114" s="96"/>
      <c r="F114" s="96"/>
      <c r="G114" s="96"/>
      <c r="H114" s="105" t="e">
        <f>D114+E114/H111+G114</f>
        <v>#DIV/0!</v>
      </c>
      <c r="I114" s="97"/>
    </row>
    <row r="115" spans="1:9" ht="21" customHeight="1">
      <c r="A115" s="195">
        <v>3</v>
      </c>
      <c r="B115" s="96"/>
      <c r="C115" s="96"/>
      <c r="D115" s="96"/>
      <c r="E115" s="96"/>
      <c r="F115" s="96"/>
      <c r="G115" s="96"/>
      <c r="H115" s="105" t="e">
        <f>D115+E115/H111+G115</f>
        <v>#DIV/0!</v>
      </c>
      <c r="I115" s="97"/>
    </row>
    <row r="116" spans="1:9" ht="21" customHeight="1">
      <c r="A116" s="195">
        <v>4</v>
      </c>
      <c r="B116" s="96"/>
      <c r="C116" s="96"/>
      <c r="D116" s="96"/>
      <c r="E116" s="96"/>
      <c r="F116" s="96"/>
      <c r="G116" s="96"/>
      <c r="H116" s="105" t="e">
        <f>D116+E116/H111+G116</f>
        <v>#DIV/0!</v>
      </c>
      <c r="I116" s="97"/>
    </row>
    <row r="117" spans="1:9" ht="21" customHeight="1">
      <c r="A117" s="195">
        <v>5</v>
      </c>
      <c r="B117" s="96"/>
      <c r="C117" s="96"/>
      <c r="D117" s="96"/>
      <c r="E117" s="96"/>
      <c r="F117" s="96"/>
      <c r="G117" s="96"/>
      <c r="H117" s="105" t="e">
        <f>D117+E117/H111+G117</f>
        <v>#DIV/0!</v>
      </c>
      <c r="I117" s="97"/>
    </row>
    <row r="118" spans="1:9" ht="21" customHeight="1">
      <c r="A118" s="195">
        <v>6</v>
      </c>
      <c r="B118" s="96"/>
      <c r="C118" s="96"/>
      <c r="D118" s="96"/>
      <c r="E118" s="96"/>
      <c r="F118" s="96"/>
      <c r="G118" s="96"/>
      <c r="H118" s="105" t="e">
        <f>D118+E118/H111+G118</f>
        <v>#DIV/0!</v>
      </c>
      <c r="I118" s="97"/>
    </row>
    <row r="119" spans="1:9" ht="21" customHeight="1">
      <c r="A119" s="195">
        <v>7</v>
      </c>
      <c r="B119" s="96"/>
      <c r="C119" s="96"/>
      <c r="D119" s="96"/>
      <c r="E119" s="96"/>
      <c r="F119" s="96"/>
      <c r="G119" s="96"/>
      <c r="H119" s="105" t="e">
        <f>D119+E119/H111+G119</f>
        <v>#DIV/0!</v>
      </c>
      <c r="I119" s="97"/>
    </row>
    <row r="120" spans="1:9" ht="21" customHeight="1">
      <c r="A120" s="195">
        <v>8</v>
      </c>
      <c r="B120" s="96"/>
      <c r="C120" s="96"/>
      <c r="D120" s="96"/>
      <c r="E120" s="96"/>
      <c r="F120" s="96"/>
      <c r="G120" s="96"/>
      <c r="H120" s="105" t="e">
        <f>D120+E120/H111+G120</f>
        <v>#DIV/0!</v>
      </c>
      <c r="I120" s="97"/>
    </row>
    <row r="121" spans="1:9" ht="21" customHeight="1">
      <c r="A121" s="195">
        <v>9</v>
      </c>
      <c r="B121" s="96"/>
      <c r="C121" s="96"/>
      <c r="D121" s="96"/>
      <c r="E121" s="96"/>
      <c r="F121" s="96"/>
      <c r="G121" s="96"/>
      <c r="H121" s="105" t="e">
        <f>D121+E121/H111+G121</f>
        <v>#DIV/0!</v>
      </c>
      <c r="I121" s="97"/>
    </row>
    <row r="122" spans="1:9" ht="21" customHeight="1">
      <c r="A122" s="195">
        <v>10</v>
      </c>
      <c r="B122" s="96"/>
      <c r="C122" s="96"/>
      <c r="D122" s="96"/>
      <c r="E122" s="96"/>
      <c r="F122" s="96"/>
      <c r="G122" s="96"/>
      <c r="H122" s="105" t="e">
        <f>D122+E122/H111+G122</f>
        <v>#DIV/0!</v>
      </c>
      <c r="I122" s="97"/>
    </row>
    <row r="123" spans="1:9" ht="21" customHeight="1">
      <c r="A123" s="195">
        <v>11</v>
      </c>
      <c r="B123" s="96"/>
      <c r="C123" s="96"/>
      <c r="D123" s="96"/>
      <c r="E123" s="96"/>
      <c r="F123" s="96"/>
      <c r="G123" s="96"/>
      <c r="H123" s="105" t="e">
        <f>D123+E123/H111+G123</f>
        <v>#DIV/0!</v>
      </c>
      <c r="I123" s="97"/>
    </row>
    <row r="124" spans="1:9" ht="21" customHeight="1">
      <c r="A124" s="195">
        <v>12</v>
      </c>
      <c r="B124" s="96"/>
      <c r="C124" s="96"/>
      <c r="D124" s="96"/>
      <c r="E124" s="96"/>
      <c r="F124" s="96"/>
      <c r="G124" s="96"/>
      <c r="H124" s="105" t="e">
        <f>D124+E124/H111+G124</f>
        <v>#DIV/0!</v>
      </c>
      <c r="I124" s="97"/>
    </row>
    <row r="125" spans="1:9" ht="21" customHeight="1" thickBot="1">
      <c r="A125" s="285" t="s">
        <v>182</v>
      </c>
      <c r="B125" s="286"/>
      <c r="C125" s="287"/>
      <c r="D125" s="98">
        <f>SUM(D113:D124)</f>
        <v>0</v>
      </c>
      <c r="E125" s="98">
        <f>SUM(E113:E124)</f>
        <v>0</v>
      </c>
      <c r="F125" s="98">
        <f>SUM(F113:F124)</f>
        <v>0</v>
      </c>
      <c r="G125" s="98">
        <f>SUM(G113:G124)</f>
        <v>0</v>
      </c>
      <c r="H125" s="106" t="e">
        <f>SUM(H113:H124)</f>
        <v>#DIV/0!</v>
      </c>
      <c r="I125" s="95"/>
    </row>
    <row r="126" spans="1:9" ht="21" customHeight="1">
      <c r="A126" s="281" t="s">
        <v>205</v>
      </c>
      <c r="B126" s="281"/>
      <c r="C126" s="281"/>
      <c r="D126" s="281"/>
      <c r="E126" s="281"/>
      <c r="F126" s="281"/>
      <c r="G126" s="281"/>
      <c r="H126" s="281"/>
      <c r="I126" s="281"/>
    </row>
    <row r="127" spans="1:9" ht="21" customHeight="1">
      <c r="A127" s="282"/>
      <c r="B127" s="282"/>
      <c r="C127" s="282"/>
      <c r="D127" s="282"/>
      <c r="E127" s="282"/>
      <c r="F127" s="282"/>
      <c r="G127" s="282"/>
      <c r="H127" s="282"/>
      <c r="I127" s="282"/>
    </row>
    <row r="128" spans="1:9" ht="21" customHeight="1">
      <c r="A128" s="283"/>
      <c r="B128" s="283"/>
      <c r="C128" s="283"/>
      <c r="D128" s="283"/>
      <c r="E128" s="283"/>
      <c r="F128" s="283"/>
      <c r="G128" s="283"/>
      <c r="H128" s="283"/>
      <c r="I128" s="283"/>
    </row>
    <row r="129" spans="1:9" ht="21" customHeight="1">
      <c r="A129" s="288" t="s">
        <v>183</v>
      </c>
      <c r="B129" s="288"/>
      <c r="C129" s="288"/>
      <c r="D129" s="94"/>
      <c r="E129" s="94"/>
      <c r="F129" s="94"/>
      <c r="G129" s="288" t="s">
        <v>184</v>
      </c>
      <c r="H129" s="288"/>
      <c r="I129" s="94"/>
    </row>
    <row r="130" spans="1:9">
      <c r="A130" s="94"/>
      <c r="B130" s="94"/>
      <c r="C130" s="94"/>
      <c r="D130" s="94"/>
      <c r="E130" s="94"/>
      <c r="F130" s="94"/>
      <c r="I130" s="94"/>
    </row>
    <row r="131" spans="1:9">
      <c r="A131" s="94"/>
      <c r="B131" s="94"/>
      <c r="C131" s="94"/>
      <c r="D131" s="94"/>
      <c r="E131" s="94"/>
      <c r="F131" s="94"/>
      <c r="G131" s="94"/>
      <c r="H131" s="94"/>
      <c r="I131" s="94"/>
    </row>
    <row r="132" spans="1:9">
      <c r="A132" s="94"/>
      <c r="B132" s="94"/>
      <c r="C132" s="94"/>
      <c r="D132" s="94"/>
      <c r="E132" s="94"/>
      <c r="F132" s="94"/>
      <c r="G132" s="94"/>
      <c r="H132" s="94"/>
      <c r="I132" s="94"/>
    </row>
    <row r="133" spans="1:9">
      <c r="A133" s="94"/>
      <c r="B133" s="94"/>
      <c r="C133" s="94"/>
      <c r="D133" s="94"/>
      <c r="E133" s="94"/>
      <c r="F133" s="94"/>
      <c r="G133" s="94"/>
      <c r="H133" s="94"/>
      <c r="I133" s="94"/>
    </row>
    <row r="134" spans="1:9">
      <c r="A134" s="94"/>
      <c r="B134" s="94"/>
      <c r="C134" s="94"/>
      <c r="D134" s="94"/>
      <c r="E134" s="94"/>
      <c r="F134" s="94"/>
      <c r="G134" s="94"/>
      <c r="H134" s="94"/>
      <c r="I134" s="94"/>
    </row>
    <row r="135" spans="1:9">
      <c r="A135" s="94"/>
      <c r="B135" s="94"/>
      <c r="C135" s="94"/>
      <c r="D135" s="94"/>
      <c r="E135" s="94"/>
      <c r="F135" s="94"/>
      <c r="G135" s="94"/>
      <c r="H135" s="94"/>
      <c r="I135" s="94"/>
    </row>
    <row r="136" spans="1:9" ht="21" customHeight="1">
      <c r="A136" s="284" t="s">
        <v>160</v>
      </c>
      <c r="B136" s="284"/>
      <c r="C136" s="284"/>
      <c r="D136" s="284"/>
      <c r="E136" s="284"/>
      <c r="F136" s="284"/>
    </row>
    <row r="137" spans="1:9" ht="21" customHeight="1" thickBot="1">
      <c r="A137" s="280" t="s">
        <v>204</v>
      </c>
      <c r="B137" s="280"/>
      <c r="C137" s="280"/>
      <c r="D137" s="280"/>
      <c r="E137" s="280"/>
      <c r="F137" s="280"/>
      <c r="G137" s="90" t="s">
        <v>185</v>
      </c>
      <c r="H137" s="107" t="e">
        <f>تسعير!E34</f>
        <v>#DIV/0!</v>
      </c>
    </row>
    <row r="138" spans="1:9" ht="30">
      <c r="A138" s="99" t="s">
        <v>173</v>
      </c>
      <c r="B138" s="100" t="s">
        <v>174</v>
      </c>
      <c r="C138" s="100" t="s">
        <v>175</v>
      </c>
      <c r="D138" s="101" t="s">
        <v>178</v>
      </c>
      <c r="E138" s="101" t="s">
        <v>179</v>
      </c>
      <c r="F138" s="101" t="s">
        <v>176</v>
      </c>
      <c r="G138" s="101" t="s">
        <v>186</v>
      </c>
      <c r="H138" s="102" t="s">
        <v>180</v>
      </c>
      <c r="I138" s="103" t="s">
        <v>177</v>
      </c>
    </row>
    <row r="139" spans="1:9" ht="21" customHeight="1">
      <c r="A139" s="195">
        <v>1</v>
      </c>
      <c r="B139" s="96"/>
      <c r="C139" s="96"/>
      <c r="D139" s="96"/>
      <c r="E139" s="96"/>
      <c r="F139" s="96"/>
      <c r="G139" s="96"/>
      <c r="H139" s="105" t="e">
        <f>D139+E139/H137+G139</f>
        <v>#DIV/0!</v>
      </c>
      <c r="I139" s="97"/>
    </row>
    <row r="140" spans="1:9" ht="21" customHeight="1">
      <c r="A140" s="195">
        <v>2</v>
      </c>
      <c r="B140" s="96"/>
      <c r="C140" s="96"/>
      <c r="D140" s="96"/>
      <c r="E140" s="96"/>
      <c r="F140" s="96"/>
      <c r="G140" s="96"/>
      <c r="H140" s="105" t="e">
        <f>D140+E140/H137+G140</f>
        <v>#DIV/0!</v>
      </c>
      <c r="I140" s="97"/>
    </row>
    <row r="141" spans="1:9" ht="21" customHeight="1">
      <c r="A141" s="195">
        <v>3</v>
      </c>
      <c r="B141" s="96"/>
      <c r="C141" s="96"/>
      <c r="D141" s="96"/>
      <c r="E141" s="96"/>
      <c r="F141" s="96"/>
      <c r="G141" s="96"/>
      <c r="H141" s="105" t="e">
        <f>D141+E141/H137+G141</f>
        <v>#DIV/0!</v>
      </c>
      <c r="I141" s="97"/>
    </row>
    <row r="142" spans="1:9" ht="21" customHeight="1">
      <c r="A142" s="195">
        <v>4</v>
      </c>
      <c r="B142" s="96"/>
      <c r="C142" s="96"/>
      <c r="D142" s="96"/>
      <c r="E142" s="96"/>
      <c r="F142" s="96"/>
      <c r="G142" s="96"/>
      <c r="H142" s="105" t="e">
        <f>D142+E142/H137+G142</f>
        <v>#DIV/0!</v>
      </c>
      <c r="I142" s="97"/>
    </row>
    <row r="143" spans="1:9" ht="21" customHeight="1">
      <c r="A143" s="195">
        <v>5</v>
      </c>
      <c r="B143" s="96"/>
      <c r="C143" s="96"/>
      <c r="D143" s="96"/>
      <c r="E143" s="96"/>
      <c r="F143" s="96"/>
      <c r="G143" s="96"/>
      <c r="H143" s="105" t="e">
        <f>D143+E143/H137+G143</f>
        <v>#DIV/0!</v>
      </c>
      <c r="I143" s="97"/>
    </row>
    <row r="144" spans="1:9" ht="21" customHeight="1">
      <c r="A144" s="195">
        <v>6</v>
      </c>
      <c r="B144" s="96"/>
      <c r="C144" s="96"/>
      <c r="D144" s="96"/>
      <c r="E144" s="96"/>
      <c r="F144" s="96"/>
      <c r="G144" s="96"/>
      <c r="H144" s="105" t="e">
        <f>D144+E144/H137+G144</f>
        <v>#DIV/0!</v>
      </c>
      <c r="I144" s="97"/>
    </row>
    <row r="145" spans="1:9" ht="21" customHeight="1">
      <c r="A145" s="195">
        <v>7</v>
      </c>
      <c r="B145" s="96"/>
      <c r="C145" s="96"/>
      <c r="D145" s="96"/>
      <c r="E145" s="96"/>
      <c r="F145" s="96"/>
      <c r="G145" s="96"/>
      <c r="H145" s="105" t="e">
        <f>D145+E145/H137+G145</f>
        <v>#DIV/0!</v>
      </c>
      <c r="I145" s="97"/>
    </row>
    <row r="146" spans="1:9" ht="21" customHeight="1">
      <c r="A146" s="195">
        <v>8</v>
      </c>
      <c r="B146" s="96"/>
      <c r="C146" s="96"/>
      <c r="D146" s="96"/>
      <c r="E146" s="96"/>
      <c r="F146" s="96"/>
      <c r="G146" s="96"/>
      <c r="H146" s="105" t="e">
        <f>D146+E146/H137+G146</f>
        <v>#DIV/0!</v>
      </c>
      <c r="I146" s="97"/>
    </row>
    <row r="147" spans="1:9" ht="21" customHeight="1">
      <c r="A147" s="195">
        <v>9</v>
      </c>
      <c r="B147" s="96"/>
      <c r="C147" s="96"/>
      <c r="D147" s="96"/>
      <c r="E147" s="96"/>
      <c r="F147" s="96"/>
      <c r="G147" s="96"/>
      <c r="H147" s="105" t="e">
        <f>D147+E147/H137+G147</f>
        <v>#DIV/0!</v>
      </c>
      <c r="I147" s="97"/>
    </row>
    <row r="148" spans="1:9" ht="21" customHeight="1">
      <c r="A148" s="195">
        <v>10</v>
      </c>
      <c r="B148" s="96"/>
      <c r="C148" s="96"/>
      <c r="D148" s="96"/>
      <c r="E148" s="96"/>
      <c r="F148" s="96"/>
      <c r="G148" s="96"/>
      <c r="H148" s="105" t="e">
        <f>D148+E148/H137+G148</f>
        <v>#DIV/0!</v>
      </c>
      <c r="I148" s="97"/>
    </row>
    <row r="149" spans="1:9" ht="21" customHeight="1">
      <c r="A149" s="195">
        <v>11</v>
      </c>
      <c r="B149" s="96"/>
      <c r="C149" s="96"/>
      <c r="D149" s="96"/>
      <c r="E149" s="96"/>
      <c r="F149" s="96"/>
      <c r="G149" s="96"/>
      <c r="H149" s="105" t="e">
        <f>D149+E149/H137+G149</f>
        <v>#DIV/0!</v>
      </c>
      <c r="I149" s="97"/>
    </row>
    <row r="150" spans="1:9" ht="21" customHeight="1">
      <c r="A150" s="195">
        <v>12</v>
      </c>
      <c r="B150" s="96"/>
      <c r="C150" s="96"/>
      <c r="D150" s="96"/>
      <c r="E150" s="96"/>
      <c r="F150" s="96"/>
      <c r="G150" s="96"/>
      <c r="H150" s="105" t="e">
        <f>D150+E150/H137+G150</f>
        <v>#DIV/0!</v>
      </c>
      <c r="I150" s="97"/>
    </row>
    <row r="151" spans="1:9" ht="21" customHeight="1" thickBot="1">
      <c r="A151" s="285" t="s">
        <v>182</v>
      </c>
      <c r="B151" s="286"/>
      <c r="C151" s="287"/>
      <c r="D151" s="98">
        <f>SUM(D139:D150)</f>
        <v>0</v>
      </c>
      <c r="E151" s="98">
        <f>SUM(E139:E150)</f>
        <v>0</v>
      </c>
      <c r="F151" s="98">
        <f>SUM(F139:F150)</f>
        <v>0</v>
      </c>
      <c r="G151" s="98">
        <f>SUM(G139:G150)</f>
        <v>0</v>
      </c>
      <c r="H151" s="106" t="e">
        <f>SUM(H139:H150)</f>
        <v>#DIV/0!</v>
      </c>
      <c r="I151" s="95"/>
    </row>
    <row r="152" spans="1:9" ht="21" customHeight="1">
      <c r="A152" s="281" t="s">
        <v>203</v>
      </c>
      <c r="B152" s="281"/>
      <c r="C152" s="281"/>
      <c r="D152" s="281"/>
      <c r="E152" s="281"/>
      <c r="F152" s="281"/>
      <c r="G152" s="281"/>
      <c r="H152" s="281"/>
      <c r="I152" s="281"/>
    </row>
    <row r="153" spans="1:9" ht="21" customHeight="1">
      <c r="A153" s="282"/>
      <c r="B153" s="282"/>
      <c r="C153" s="282"/>
      <c r="D153" s="282"/>
      <c r="E153" s="282"/>
      <c r="F153" s="282"/>
      <c r="G153" s="282"/>
      <c r="H153" s="282"/>
      <c r="I153" s="282"/>
    </row>
    <row r="154" spans="1:9" ht="21" customHeight="1">
      <c r="A154" s="283"/>
      <c r="B154" s="283"/>
      <c r="C154" s="283"/>
      <c r="D154" s="283"/>
      <c r="E154" s="283"/>
      <c r="F154" s="283"/>
      <c r="G154" s="283"/>
      <c r="H154" s="283"/>
      <c r="I154" s="283"/>
    </row>
    <row r="155" spans="1:9" ht="21" customHeight="1">
      <c r="A155" s="288" t="s">
        <v>183</v>
      </c>
      <c r="B155" s="288"/>
      <c r="C155" s="288"/>
      <c r="D155" s="94"/>
      <c r="E155" s="94"/>
      <c r="F155" s="94"/>
      <c r="G155" s="288" t="s">
        <v>184</v>
      </c>
      <c r="H155" s="288"/>
      <c r="I155" s="94"/>
    </row>
    <row r="156" spans="1:9">
      <c r="A156" s="94"/>
      <c r="B156" s="94"/>
      <c r="C156" s="94"/>
      <c r="D156" s="94"/>
      <c r="E156" s="94"/>
      <c r="F156" s="94"/>
      <c r="I156" s="94"/>
    </row>
    <row r="157" spans="1:9">
      <c r="A157" s="94"/>
      <c r="B157" s="94"/>
      <c r="C157" s="94"/>
      <c r="D157" s="94"/>
      <c r="E157" s="94"/>
      <c r="F157" s="94"/>
      <c r="G157" s="94"/>
      <c r="H157" s="94"/>
      <c r="I157" s="94"/>
    </row>
    <row r="158" spans="1:9">
      <c r="A158" s="94"/>
      <c r="B158" s="94"/>
      <c r="C158" s="94"/>
      <c r="D158" s="94"/>
      <c r="E158" s="94"/>
      <c r="F158" s="94"/>
      <c r="G158" s="94"/>
      <c r="H158" s="94"/>
      <c r="I158" s="94"/>
    </row>
    <row r="159" spans="1:9">
      <c r="A159" s="94"/>
      <c r="B159" s="94"/>
      <c r="C159" s="94"/>
      <c r="D159" s="94"/>
      <c r="E159" s="94"/>
      <c r="F159" s="94"/>
      <c r="G159" s="94"/>
      <c r="H159" s="94"/>
      <c r="I159" s="94"/>
    </row>
    <row r="160" spans="1:9">
      <c r="A160" s="94"/>
      <c r="B160" s="94"/>
      <c r="C160" s="94"/>
      <c r="D160" s="94"/>
      <c r="E160" s="94"/>
      <c r="F160" s="94"/>
      <c r="G160" s="94"/>
      <c r="H160" s="94"/>
      <c r="I160" s="94"/>
    </row>
    <row r="161" spans="1:9">
      <c r="A161" s="94"/>
      <c r="B161" s="94"/>
      <c r="C161" s="94"/>
      <c r="D161" s="94"/>
      <c r="E161" s="94"/>
      <c r="F161" s="94"/>
      <c r="G161" s="94"/>
      <c r="H161" s="94"/>
      <c r="I161" s="94"/>
    </row>
    <row r="162" spans="1:9" ht="21" customHeight="1">
      <c r="A162" s="284" t="s">
        <v>160</v>
      </c>
      <c r="B162" s="284"/>
      <c r="C162" s="284"/>
      <c r="D162" s="284"/>
      <c r="E162" s="284"/>
      <c r="F162" s="284"/>
    </row>
    <row r="163" spans="1:9" ht="21" customHeight="1" thickBot="1">
      <c r="A163" s="280" t="s">
        <v>202</v>
      </c>
      <c r="B163" s="280"/>
      <c r="C163" s="280"/>
      <c r="D163" s="280"/>
      <c r="E163" s="280"/>
      <c r="F163" s="280"/>
      <c r="G163" s="90" t="s">
        <v>185</v>
      </c>
      <c r="H163" s="107" t="e">
        <f>تسعير!E34</f>
        <v>#DIV/0!</v>
      </c>
    </row>
    <row r="164" spans="1:9" ht="30">
      <c r="A164" s="99" t="s">
        <v>173</v>
      </c>
      <c r="B164" s="100" t="s">
        <v>174</v>
      </c>
      <c r="C164" s="100" t="s">
        <v>175</v>
      </c>
      <c r="D164" s="101" t="s">
        <v>178</v>
      </c>
      <c r="E164" s="101" t="s">
        <v>179</v>
      </c>
      <c r="F164" s="101" t="s">
        <v>176</v>
      </c>
      <c r="G164" s="101" t="s">
        <v>186</v>
      </c>
      <c r="H164" s="102" t="s">
        <v>180</v>
      </c>
      <c r="I164" s="103" t="s">
        <v>177</v>
      </c>
    </row>
    <row r="165" spans="1:9" ht="21" customHeight="1">
      <c r="A165" s="195">
        <v>1</v>
      </c>
      <c r="B165" s="96"/>
      <c r="C165" s="96"/>
      <c r="D165" s="96"/>
      <c r="E165" s="96"/>
      <c r="F165" s="96"/>
      <c r="G165" s="96"/>
      <c r="H165" s="105" t="e">
        <f>D165+E165/H163+G165</f>
        <v>#DIV/0!</v>
      </c>
      <c r="I165" s="97"/>
    </row>
    <row r="166" spans="1:9" ht="21" customHeight="1">
      <c r="A166" s="195">
        <v>2</v>
      </c>
      <c r="B166" s="96"/>
      <c r="C166" s="96"/>
      <c r="D166" s="96"/>
      <c r="E166" s="96"/>
      <c r="F166" s="96"/>
      <c r="G166" s="96"/>
      <c r="H166" s="105" t="e">
        <f>D166+E166/H163+G166</f>
        <v>#DIV/0!</v>
      </c>
      <c r="I166" s="97"/>
    </row>
    <row r="167" spans="1:9" ht="21" customHeight="1">
      <c r="A167" s="195">
        <v>3</v>
      </c>
      <c r="B167" s="96"/>
      <c r="C167" s="96"/>
      <c r="D167" s="96"/>
      <c r="E167" s="96"/>
      <c r="F167" s="96"/>
      <c r="G167" s="96"/>
      <c r="H167" s="105" t="e">
        <f>D167+E167/H163+G167</f>
        <v>#DIV/0!</v>
      </c>
      <c r="I167" s="97"/>
    </row>
    <row r="168" spans="1:9" ht="21" customHeight="1">
      <c r="A168" s="195">
        <v>4</v>
      </c>
      <c r="B168" s="96"/>
      <c r="C168" s="96"/>
      <c r="D168" s="96"/>
      <c r="E168" s="96"/>
      <c r="F168" s="96"/>
      <c r="G168" s="96"/>
      <c r="H168" s="105" t="e">
        <f>D168+E168/H163+G168</f>
        <v>#DIV/0!</v>
      </c>
      <c r="I168" s="97"/>
    </row>
    <row r="169" spans="1:9" ht="21" customHeight="1">
      <c r="A169" s="195">
        <v>5</v>
      </c>
      <c r="B169" s="96"/>
      <c r="C169" s="96"/>
      <c r="D169" s="96"/>
      <c r="E169" s="96"/>
      <c r="F169" s="96"/>
      <c r="G169" s="96"/>
      <c r="H169" s="105" t="e">
        <f>D169+E169/H163+G169</f>
        <v>#DIV/0!</v>
      </c>
      <c r="I169" s="97"/>
    </row>
    <row r="170" spans="1:9" ht="21" customHeight="1">
      <c r="A170" s="195">
        <v>6</v>
      </c>
      <c r="B170" s="96"/>
      <c r="C170" s="96"/>
      <c r="D170" s="96"/>
      <c r="E170" s="96"/>
      <c r="F170" s="96"/>
      <c r="G170" s="96"/>
      <c r="H170" s="105" t="e">
        <f>D170+E170/H163+G170</f>
        <v>#DIV/0!</v>
      </c>
      <c r="I170" s="97"/>
    </row>
    <row r="171" spans="1:9" ht="21" customHeight="1">
      <c r="A171" s="195">
        <v>7</v>
      </c>
      <c r="B171" s="96"/>
      <c r="C171" s="96"/>
      <c r="D171" s="96"/>
      <c r="E171" s="96"/>
      <c r="F171" s="96"/>
      <c r="G171" s="96"/>
      <c r="H171" s="105" t="e">
        <f>D171+E171/H163+G171</f>
        <v>#DIV/0!</v>
      </c>
      <c r="I171" s="97"/>
    </row>
    <row r="172" spans="1:9" ht="21" customHeight="1">
      <c r="A172" s="195">
        <v>8</v>
      </c>
      <c r="B172" s="96"/>
      <c r="C172" s="96"/>
      <c r="D172" s="96"/>
      <c r="E172" s="96"/>
      <c r="F172" s="96"/>
      <c r="G172" s="96"/>
      <c r="H172" s="105" t="e">
        <f>D172+E172/H163+G172</f>
        <v>#DIV/0!</v>
      </c>
      <c r="I172" s="97"/>
    </row>
    <row r="173" spans="1:9" ht="21" customHeight="1">
      <c r="A173" s="195">
        <v>9</v>
      </c>
      <c r="B173" s="96"/>
      <c r="C173" s="96"/>
      <c r="D173" s="96"/>
      <c r="E173" s="96"/>
      <c r="F173" s="96"/>
      <c r="G173" s="96"/>
      <c r="H173" s="105" t="e">
        <f>D173+E173/H163+G173</f>
        <v>#DIV/0!</v>
      </c>
      <c r="I173" s="97"/>
    </row>
    <row r="174" spans="1:9" ht="21" customHeight="1">
      <c r="A174" s="195">
        <v>10</v>
      </c>
      <c r="B174" s="96"/>
      <c r="C174" s="96"/>
      <c r="D174" s="96"/>
      <c r="E174" s="96"/>
      <c r="F174" s="96"/>
      <c r="G174" s="96"/>
      <c r="H174" s="105" t="e">
        <f>D174+E174/H163+G174</f>
        <v>#DIV/0!</v>
      </c>
      <c r="I174" s="97"/>
    </row>
    <row r="175" spans="1:9" ht="21" customHeight="1">
      <c r="A175" s="195">
        <v>11</v>
      </c>
      <c r="B175" s="96"/>
      <c r="C175" s="96"/>
      <c r="D175" s="96"/>
      <c r="E175" s="96"/>
      <c r="F175" s="96"/>
      <c r="G175" s="96"/>
      <c r="H175" s="105" t="e">
        <f>D175+E175/H163+G175</f>
        <v>#DIV/0!</v>
      </c>
      <c r="I175" s="97"/>
    </row>
    <row r="176" spans="1:9" ht="21" customHeight="1">
      <c r="A176" s="195">
        <v>12</v>
      </c>
      <c r="B176" s="96"/>
      <c r="C176" s="96"/>
      <c r="D176" s="96"/>
      <c r="E176" s="96"/>
      <c r="F176" s="96"/>
      <c r="G176" s="96"/>
      <c r="H176" s="105" t="e">
        <f>D176+E176/H163+G176</f>
        <v>#DIV/0!</v>
      </c>
      <c r="I176" s="97"/>
    </row>
    <row r="177" spans="1:9" ht="21" customHeight="1" thickBot="1">
      <c r="A177" s="285" t="s">
        <v>182</v>
      </c>
      <c r="B177" s="286"/>
      <c r="C177" s="287"/>
      <c r="D177" s="98">
        <f>SUM(D165:D176)</f>
        <v>0</v>
      </c>
      <c r="E177" s="98">
        <f>SUM(E165:E176)</f>
        <v>0</v>
      </c>
      <c r="F177" s="98">
        <f>SUM(F165:F176)</f>
        <v>0</v>
      </c>
      <c r="G177" s="98">
        <f>SUM(G165:G176)</f>
        <v>0</v>
      </c>
      <c r="H177" s="106" t="e">
        <f>SUM(H165:H176)</f>
        <v>#DIV/0!</v>
      </c>
      <c r="I177" s="95"/>
    </row>
    <row r="178" spans="1:9" ht="21" customHeight="1">
      <c r="A178" s="281" t="s">
        <v>201</v>
      </c>
      <c r="B178" s="281"/>
      <c r="C178" s="281"/>
      <c r="D178" s="281"/>
      <c r="E178" s="281"/>
      <c r="F178" s="281"/>
      <c r="G178" s="281"/>
      <c r="H178" s="281"/>
      <c r="I178" s="281"/>
    </row>
    <row r="179" spans="1:9" ht="21" customHeight="1">
      <c r="A179" s="282"/>
      <c r="B179" s="282"/>
      <c r="C179" s="282"/>
      <c r="D179" s="282"/>
      <c r="E179" s="282"/>
      <c r="F179" s="282"/>
      <c r="G179" s="282"/>
      <c r="H179" s="282"/>
      <c r="I179" s="282"/>
    </row>
    <row r="180" spans="1:9" ht="21" customHeight="1">
      <c r="A180" s="283"/>
      <c r="B180" s="283"/>
      <c r="C180" s="283"/>
      <c r="D180" s="283"/>
      <c r="E180" s="283"/>
      <c r="F180" s="283"/>
      <c r="G180" s="283"/>
      <c r="H180" s="283"/>
      <c r="I180" s="283"/>
    </row>
    <row r="181" spans="1:9" ht="21" customHeight="1">
      <c r="A181" s="288" t="s">
        <v>183</v>
      </c>
      <c r="B181" s="288"/>
      <c r="C181" s="288"/>
      <c r="D181" s="94"/>
      <c r="E181" s="94"/>
      <c r="F181" s="94"/>
      <c r="G181" s="288" t="s">
        <v>184</v>
      </c>
      <c r="H181" s="288"/>
      <c r="I181" s="94"/>
    </row>
    <row r="182" spans="1:9">
      <c r="A182" s="94"/>
      <c r="B182" s="94"/>
      <c r="C182" s="94"/>
      <c r="D182" s="94"/>
      <c r="E182" s="94"/>
      <c r="F182" s="94"/>
      <c r="I182" s="94"/>
    </row>
    <row r="183" spans="1:9">
      <c r="A183" s="94"/>
      <c r="B183" s="94"/>
      <c r="C183" s="94"/>
      <c r="D183" s="94"/>
      <c r="E183" s="94"/>
      <c r="F183" s="94"/>
      <c r="G183" s="94"/>
      <c r="H183" s="94"/>
      <c r="I183" s="94"/>
    </row>
    <row r="184" spans="1:9">
      <c r="A184" s="94"/>
      <c r="B184" s="94"/>
      <c r="C184" s="94"/>
      <c r="D184" s="94"/>
      <c r="E184" s="94"/>
      <c r="F184" s="94"/>
      <c r="G184" s="94"/>
      <c r="H184" s="94"/>
      <c r="I184" s="94"/>
    </row>
    <row r="185" spans="1:9">
      <c r="A185" s="94"/>
      <c r="B185" s="94"/>
      <c r="C185" s="94"/>
      <c r="D185" s="94"/>
      <c r="E185" s="94"/>
      <c r="F185" s="94"/>
      <c r="G185" s="94"/>
      <c r="H185" s="94"/>
      <c r="I185" s="94"/>
    </row>
    <row r="186" spans="1:9">
      <c r="A186" s="94"/>
      <c r="B186" s="94"/>
      <c r="C186" s="94"/>
      <c r="D186" s="94"/>
      <c r="E186" s="94"/>
      <c r="F186" s="94"/>
      <c r="G186" s="94"/>
      <c r="H186" s="94"/>
      <c r="I186" s="94"/>
    </row>
    <row r="187" spans="1:9">
      <c r="A187" s="94"/>
      <c r="B187" s="94"/>
      <c r="C187" s="94"/>
      <c r="D187" s="94"/>
      <c r="E187" s="94"/>
      <c r="F187" s="94"/>
      <c r="G187" s="94"/>
      <c r="H187" s="94"/>
      <c r="I187" s="94"/>
    </row>
    <row r="188" spans="1:9" ht="21" customHeight="1">
      <c r="A188" s="284" t="s">
        <v>160</v>
      </c>
      <c r="B188" s="284"/>
      <c r="C188" s="284"/>
      <c r="D188" s="284"/>
      <c r="E188" s="284"/>
      <c r="F188" s="284"/>
    </row>
    <row r="189" spans="1:9" ht="21" customHeight="1" thickBot="1">
      <c r="A189" s="280" t="s">
        <v>200</v>
      </c>
      <c r="B189" s="280"/>
      <c r="C189" s="280"/>
      <c r="D189" s="280"/>
      <c r="E189" s="280"/>
      <c r="F189" s="280"/>
      <c r="G189" s="90" t="s">
        <v>185</v>
      </c>
      <c r="H189" s="107" t="e">
        <f>تسعير!E34</f>
        <v>#DIV/0!</v>
      </c>
    </row>
    <row r="190" spans="1:9" ht="30">
      <c r="A190" s="99" t="s">
        <v>173</v>
      </c>
      <c r="B190" s="100" t="s">
        <v>174</v>
      </c>
      <c r="C190" s="100" t="s">
        <v>175</v>
      </c>
      <c r="D190" s="101" t="s">
        <v>178</v>
      </c>
      <c r="E190" s="101" t="s">
        <v>179</v>
      </c>
      <c r="F190" s="101" t="s">
        <v>176</v>
      </c>
      <c r="G190" s="101" t="s">
        <v>186</v>
      </c>
      <c r="H190" s="102" t="s">
        <v>180</v>
      </c>
      <c r="I190" s="103" t="s">
        <v>177</v>
      </c>
    </row>
    <row r="191" spans="1:9" ht="21" customHeight="1">
      <c r="A191" s="195">
        <v>1</v>
      </c>
      <c r="B191" s="96"/>
      <c r="C191" s="96"/>
      <c r="D191" s="96"/>
      <c r="E191" s="96"/>
      <c r="F191" s="96"/>
      <c r="G191" s="96"/>
      <c r="H191" s="105" t="e">
        <f>D191+E191/H189+G191</f>
        <v>#DIV/0!</v>
      </c>
      <c r="I191" s="97"/>
    </row>
    <row r="192" spans="1:9" ht="21" customHeight="1">
      <c r="A192" s="195">
        <v>2</v>
      </c>
      <c r="B192" s="96"/>
      <c r="C192" s="96"/>
      <c r="D192" s="96"/>
      <c r="E192" s="96"/>
      <c r="F192" s="96"/>
      <c r="G192" s="96"/>
      <c r="H192" s="105" t="e">
        <f>D192+E192/H189+G192</f>
        <v>#DIV/0!</v>
      </c>
      <c r="I192" s="97"/>
    </row>
    <row r="193" spans="1:9" ht="21" customHeight="1">
      <c r="A193" s="195">
        <v>3</v>
      </c>
      <c r="B193" s="96"/>
      <c r="C193" s="96"/>
      <c r="D193" s="96"/>
      <c r="E193" s="96"/>
      <c r="F193" s="96"/>
      <c r="G193" s="96"/>
      <c r="H193" s="105" t="e">
        <f>D193+E193/H189+G193</f>
        <v>#DIV/0!</v>
      </c>
      <c r="I193" s="97"/>
    </row>
    <row r="194" spans="1:9" ht="21" customHeight="1">
      <c r="A194" s="195">
        <v>4</v>
      </c>
      <c r="B194" s="96"/>
      <c r="C194" s="96"/>
      <c r="D194" s="96"/>
      <c r="E194" s="96"/>
      <c r="F194" s="96"/>
      <c r="G194" s="96"/>
      <c r="H194" s="105" t="e">
        <f>D194+E194/H189+G194</f>
        <v>#DIV/0!</v>
      </c>
      <c r="I194" s="97"/>
    </row>
    <row r="195" spans="1:9" ht="21" customHeight="1">
      <c r="A195" s="195">
        <v>5</v>
      </c>
      <c r="B195" s="96"/>
      <c r="C195" s="96"/>
      <c r="D195" s="96"/>
      <c r="E195" s="96"/>
      <c r="F195" s="96"/>
      <c r="G195" s="96"/>
      <c r="H195" s="105" t="e">
        <f>D195+E195/H189+G195</f>
        <v>#DIV/0!</v>
      </c>
      <c r="I195" s="97"/>
    </row>
    <row r="196" spans="1:9" ht="21" customHeight="1">
      <c r="A196" s="195">
        <v>6</v>
      </c>
      <c r="B196" s="96"/>
      <c r="C196" s="96"/>
      <c r="D196" s="96"/>
      <c r="E196" s="96"/>
      <c r="F196" s="96"/>
      <c r="G196" s="96"/>
      <c r="H196" s="105" t="e">
        <f>D196+E196/H189+G196</f>
        <v>#DIV/0!</v>
      </c>
      <c r="I196" s="97"/>
    </row>
    <row r="197" spans="1:9" ht="21" customHeight="1">
      <c r="A197" s="195">
        <v>7</v>
      </c>
      <c r="B197" s="96"/>
      <c r="C197" s="96"/>
      <c r="D197" s="96"/>
      <c r="E197" s="96"/>
      <c r="F197" s="96"/>
      <c r="G197" s="96"/>
      <c r="H197" s="105" t="e">
        <f>D197+E197/H189+G197</f>
        <v>#DIV/0!</v>
      </c>
      <c r="I197" s="97"/>
    </row>
    <row r="198" spans="1:9" ht="21" customHeight="1">
      <c r="A198" s="195">
        <v>8</v>
      </c>
      <c r="B198" s="96"/>
      <c r="C198" s="96"/>
      <c r="D198" s="96"/>
      <c r="E198" s="96"/>
      <c r="F198" s="96"/>
      <c r="G198" s="96"/>
      <c r="H198" s="105" t="e">
        <f>D198+E198/H189+G198</f>
        <v>#DIV/0!</v>
      </c>
      <c r="I198" s="97"/>
    </row>
    <row r="199" spans="1:9" ht="21" customHeight="1">
      <c r="A199" s="195">
        <v>9</v>
      </c>
      <c r="B199" s="96"/>
      <c r="C199" s="96"/>
      <c r="D199" s="96"/>
      <c r="E199" s="96"/>
      <c r="F199" s="96"/>
      <c r="G199" s="96"/>
      <c r="H199" s="105" t="e">
        <f>D199+E199/H189+G199</f>
        <v>#DIV/0!</v>
      </c>
      <c r="I199" s="97"/>
    </row>
    <row r="200" spans="1:9" ht="21" customHeight="1">
      <c r="A200" s="195">
        <v>10</v>
      </c>
      <c r="B200" s="96"/>
      <c r="C200" s="96"/>
      <c r="D200" s="96"/>
      <c r="E200" s="96"/>
      <c r="F200" s="96"/>
      <c r="G200" s="96"/>
      <c r="H200" s="105" t="e">
        <f>D200+E200/H189+G200</f>
        <v>#DIV/0!</v>
      </c>
      <c r="I200" s="97"/>
    </row>
    <row r="201" spans="1:9" ht="21" customHeight="1">
      <c r="A201" s="195">
        <v>11</v>
      </c>
      <c r="B201" s="96"/>
      <c r="C201" s="96"/>
      <c r="D201" s="96"/>
      <c r="E201" s="96"/>
      <c r="F201" s="96"/>
      <c r="G201" s="96"/>
      <c r="H201" s="105" t="e">
        <f>D201+E201/H189+G201</f>
        <v>#DIV/0!</v>
      </c>
      <c r="I201" s="97"/>
    </row>
    <row r="202" spans="1:9" ht="21" customHeight="1">
      <c r="A202" s="195">
        <v>12</v>
      </c>
      <c r="B202" s="96"/>
      <c r="C202" s="96"/>
      <c r="D202" s="96"/>
      <c r="E202" s="96"/>
      <c r="F202" s="96"/>
      <c r="G202" s="96"/>
      <c r="H202" s="105" t="e">
        <f>D202+E202/H189+G202</f>
        <v>#DIV/0!</v>
      </c>
      <c r="I202" s="97"/>
    </row>
    <row r="203" spans="1:9" ht="21" customHeight="1" thickBot="1">
      <c r="A203" s="285" t="s">
        <v>182</v>
      </c>
      <c r="B203" s="286"/>
      <c r="C203" s="287"/>
      <c r="D203" s="98">
        <f>SUM(D191:D202)</f>
        <v>0</v>
      </c>
      <c r="E203" s="98">
        <f>SUM(E191:E202)</f>
        <v>0</v>
      </c>
      <c r="F203" s="98">
        <f>SUM(F191:F202)</f>
        <v>0</v>
      </c>
      <c r="G203" s="98">
        <f>SUM(G191:G202)</f>
        <v>0</v>
      </c>
      <c r="H203" s="106" t="e">
        <f>SUM(H191:H202)</f>
        <v>#DIV/0!</v>
      </c>
      <c r="I203" s="95"/>
    </row>
    <row r="204" spans="1:9" ht="21" customHeight="1">
      <c r="A204" s="281" t="s">
        <v>199</v>
      </c>
      <c r="B204" s="281"/>
      <c r="C204" s="281"/>
      <c r="D204" s="281"/>
      <c r="E204" s="281"/>
      <c r="F204" s="281"/>
      <c r="G204" s="281"/>
      <c r="H204" s="281"/>
      <c r="I204" s="281"/>
    </row>
    <row r="205" spans="1:9" ht="21" customHeight="1">
      <c r="A205" s="282"/>
      <c r="B205" s="282"/>
      <c r="C205" s="282"/>
      <c r="D205" s="282"/>
      <c r="E205" s="282"/>
      <c r="F205" s="282"/>
      <c r="G205" s="282"/>
      <c r="H205" s="282"/>
      <c r="I205" s="282"/>
    </row>
    <row r="206" spans="1:9" ht="21" customHeight="1">
      <c r="A206" s="283"/>
      <c r="B206" s="283"/>
      <c r="C206" s="283"/>
      <c r="D206" s="283"/>
      <c r="E206" s="283"/>
      <c r="F206" s="283"/>
      <c r="G206" s="283"/>
      <c r="H206" s="283"/>
      <c r="I206" s="283"/>
    </row>
    <row r="207" spans="1:9" ht="21" customHeight="1">
      <c r="A207" s="288" t="s">
        <v>183</v>
      </c>
      <c r="B207" s="288"/>
      <c r="C207" s="288"/>
      <c r="D207" s="94"/>
      <c r="E207" s="94"/>
      <c r="F207" s="94"/>
      <c r="G207" s="288" t="s">
        <v>184</v>
      </c>
      <c r="H207" s="288"/>
      <c r="I207" s="94"/>
    </row>
    <row r="208" spans="1:9">
      <c r="A208" s="94"/>
      <c r="B208" s="94"/>
      <c r="C208" s="94"/>
      <c r="D208" s="94"/>
      <c r="E208" s="94"/>
      <c r="F208" s="94"/>
      <c r="I208" s="94"/>
    </row>
    <row r="209" spans="1:9">
      <c r="A209" s="94"/>
      <c r="B209" s="94"/>
      <c r="C209" s="94"/>
      <c r="D209" s="94"/>
      <c r="E209" s="94"/>
      <c r="F209" s="94"/>
      <c r="G209" s="94"/>
      <c r="H209" s="94"/>
      <c r="I209" s="94"/>
    </row>
    <row r="210" spans="1:9">
      <c r="A210" s="94"/>
      <c r="B210" s="94"/>
      <c r="C210" s="94"/>
      <c r="D210" s="94"/>
      <c r="E210" s="94"/>
      <c r="F210" s="94"/>
      <c r="G210" s="94"/>
      <c r="H210" s="94"/>
      <c r="I210" s="94"/>
    </row>
    <row r="211" spans="1:9">
      <c r="A211" s="94"/>
      <c r="B211" s="94"/>
      <c r="C211" s="94"/>
      <c r="D211" s="94"/>
      <c r="E211" s="94"/>
      <c r="F211" s="94"/>
      <c r="G211" s="94"/>
      <c r="H211" s="94"/>
      <c r="I211" s="94"/>
    </row>
    <row r="212" spans="1:9">
      <c r="A212" s="94"/>
      <c r="B212" s="94"/>
      <c r="C212" s="94"/>
      <c r="D212" s="94"/>
      <c r="E212" s="94"/>
      <c r="F212" s="94"/>
      <c r="G212" s="94"/>
      <c r="H212" s="94"/>
      <c r="I212" s="94"/>
    </row>
    <row r="213" spans="1:9">
      <c r="A213" s="94"/>
      <c r="B213" s="94"/>
      <c r="C213" s="94"/>
      <c r="D213" s="94"/>
      <c r="E213" s="94"/>
      <c r="F213" s="94"/>
      <c r="G213" s="94"/>
      <c r="H213" s="94"/>
      <c r="I213" s="94"/>
    </row>
    <row r="214" spans="1:9" ht="21" customHeight="1">
      <c r="A214" s="284" t="s">
        <v>160</v>
      </c>
      <c r="B214" s="284"/>
      <c r="C214" s="284"/>
      <c r="D214" s="284"/>
      <c r="E214" s="284"/>
      <c r="F214" s="284"/>
    </row>
    <row r="215" spans="1:9" ht="21" customHeight="1" thickBot="1">
      <c r="A215" s="280" t="s">
        <v>198</v>
      </c>
      <c r="B215" s="280"/>
      <c r="C215" s="280"/>
      <c r="D215" s="280"/>
      <c r="E215" s="280"/>
      <c r="F215" s="280"/>
      <c r="G215" s="90" t="s">
        <v>185</v>
      </c>
      <c r="H215" s="107" t="e">
        <f>تسعير!E34</f>
        <v>#DIV/0!</v>
      </c>
    </row>
    <row r="216" spans="1:9" ht="30">
      <c r="A216" s="99" t="s">
        <v>173</v>
      </c>
      <c r="B216" s="100" t="s">
        <v>174</v>
      </c>
      <c r="C216" s="100" t="s">
        <v>175</v>
      </c>
      <c r="D216" s="101" t="s">
        <v>178</v>
      </c>
      <c r="E216" s="101" t="s">
        <v>179</v>
      </c>
      <c r="F216" s="101" t="s">
        <v>176</v>
      </c>
      <c r="G216" s="101" t="s">
        <v>186</v>
      </c>
      <c r="H216" s="102" t="s">
        <v>180</v>
      </c>
      <c r="I216" s="103" t="s">
        <v>177</v>
      </c>
    </row>
    <row r="217" spans="1:9" ht="21" customHeight="1">
      <c r="A217" s="195">
        <v>1</v>
      </c>
      <c r="B217" s="96"/>
      <c r="C217" s="96"/>
      <c r="D217" s="96"/>
      <c r="E217" s="96"/>
      <c r="F217" s="96"/>
      <c r="G217" s="96"/>
      <c r="H217" s="105" t="e">
        <f>D217+E217/H215+G217</f>
        <v>#DIV/0!</v>
      </c>
      <c r="I217" s="97"/>
    </row>
    <row r="218" spans="1:9" ht="21" customHeight="1">
      <c r="A218" s="195">
        <v>2</v>
      </c>
      <c r="B218" s="96"/>
      <c r="C218" s="96"/>
      <c r="D218" s="96"/>
      <c r="E218" s="96"/>
      <c r="F218" s="96"/>
      <c r="G218" s="96"/>
      <c r="H218" s="105" t="e">
        <f>D218+E218/H215+G218</f>
        <v>#DIV/0!</v>
      </c>
      <c r="I218" s="97"/>
    </row>
    <row r="219" spans="1:9" ht="21" customHeight="1">
      <c r="A219" s="195">
        <v>3</v>
      </c>
      <c r="B219" s="96"/>
      <c r="C219" s="96"/>
      <c r="D219" s="96"/>
      <c r="E219" s="96"/>
      <c r="F219" s="96"/>
      <c r="G219" s="96"/>
      <c r="H219" s="105" t="e">
        <f>D219+E219/H215+G219</f>
        <v>#DIV/0!</v>
      </c>
      <c r="I219" s="97"/>
    </row>
    <row r="220" spans="1:9" ht="21" customHeight="1">
      <c r="A220" s="195">
        <v>4</v>
      </c>
      <c r="B220" s="96"/>
      <c r="C220" s="96"/>
      <c r="D220" s="96"/>
      <c r="E220" s="96"/>
      <c r="F220" s="96"/>
      <c r="G220" s="96"/>
      <c r="H220" s="105" t="e">
        <f>D220+E220/H215+G220</f>
        <v>#DIV/0!</v>
      </c>
      <c r="I220" s="97"/>
    </row>
    <row r="221" spans="1:9" ht="21" customHeight="1">
      <c r="A221" s="195">
        <v>5</v>
      </c>
      <c r="B221" s="96"/>
      <c r="C221" s="96"/>
      <c r="D221" s="96"/>
      <c r="E221" s="96"/>
      <c r="F221" s="96"/>
      <c r="G221" s="96"/>
      <c r="H221" s="105" t="e">
        <f>D221+E221/H215+G221</f>
        <v>#DIV/0!</v>
      </c>
      <c r="I221" s="97"/>
    </row>
    <row r="222" spans="1:9" ht="21" customHeight="1">
      <c r="A222" s="195">
        <v>6</v>
      </c>
      <c r="B222" s="96"/>
      <c r="C222" s="96"/>
      <c r="D222" s="96"/>
      <c r="E222" s="96"/>
      <c r="F222" s="96"/>
      <c r="G222" s="96"/>
      <c r="H222" s="105" t="e">
        <f>D222+E222/H215+G222</f>
        <v>#DIV/0!</v>
      </c>
      <c r="I222" s="97"/>
    </row>
    <row r="223" spans="1:9" ht="21" customHeight="1">
      <c r="A223" s="195">
        <v>7</v>
      </c>
      <c r="B223" s="96"/>
      <c r="C223" s="96"/>
      <c r="D223" s="96"/>
      <c r="E223" s="96"/>
      <c r="F223" s="96"/>
      <c r="G223" s="96"/>
      <c r="H223" s="105" t="e">
        <f>D223+E223/H215+G223</f>
        <v>#DIV/0!</v>
      </c>
      <c r="I223" s="97"/>
    </row>
    <row r="224" spans="1:9" ht="21" customHeight="1">
      <c r="A224" s="195">
        <v>8</v>
      </c>
      <c r="B224" s="96"/>
      <c r="C224" s="96"/>
      <c r="D224" s="96"/>
      <c r="E224" s="96"/>
      <c r="F224" s="96"/>
      <c r="G224" s="96"/>
      <c r="H224" s="105" t="e">
        <f>D224+E224/H215+G224</f>
        <v>#DIV/0!</v>
      </c>
      <c r="I224" s="97"/>
    </row>
    <row r="225" spans="1:9" ht="21" customHeight="1">
      <c r="A225" s="195">
        <v>9</v>
      </c>
      <c r="B225" s="96"/>
      <c r="C225" s="96"/>
      <c r="D225" s="96"/>
      <c r="E225" s="96"/>
      <c r="F225" s="96"/>
      <c r="G225" s="96"/>
      <c r="H225" s="105" t="e">
        <f>D225+E225/H215+G225</f>
        <v>#DIV/0!</v>
      </c>
      <c r="I225" s="97"/>
    </row>
    <row r="226" spans="1:9" ht="21" customHeight="1">
      <c r="A226" s="195">
        <v>10</v>
      </c>
      <c r="B226" s="96"/>
      <c r="C226" s="96"/>
      <c r="D226" s="96"/>
      <c r="E226" s="96"/>
      <c r="F226" s="96"/>
      <c r="G226" s="96"/>
      <c r="H226" s="105" t="e">
        <f>D226+E226/H215+G226</f>
        <v>#DIV/0!</v>
      </c>
      <c r="I226" s="97"/>
    </row>
    <row r="227" spans="1:9" ht="21" customHeight="1">
      <c r="A227" s="195">
        <v>11</v>
      </c>
      <c r="B227" s="96"/>
      <c r="C227" s="96"/>
      <c r="D227" s="96"/>
      <c r="E227" s="96"/>
      <c r="F227" s="96"/>
      <c r="G227" s="96"/>
      <c r="H227" s="105" t="e">
        <f>D227+E227/H215+G227</f>
        <v>#DIV/0!</v>
      </c>
      <c r="I227" s="97"/>
    </row>
    <row r="228" spans="1:9" ht="21" customHeight="1">
      <c r="A228" s="195">
        <v>12</v>
      </c>
      <c r="B228" s="96"/>
      <c r="C228" s="96"/>
      <c r="D228" s="96"/>
      <c r="E228" s="96"/>
      <c r="F228" s="96"/>
      <c r="G228" s="96"/>
      <c r="H228" s="105" t="e">
        <f>D228+E228/H215+G228</f>
        <v>#DIV/0!</v>
      </c>
      <c r="I228" s="97"/>
    </row>
    <row r="229" spans="1:9" ht="21" customHeight="1" thickBot="1">
      <c r="A229" s="285" t="s">
        <v>182</v>
      </c>
      <c r="B229" s="286"/>
      <c r="C229" s="287"/>
      <c r="D229" s="98">
        <f>SUM(D217:D228)</f>
        <v>0</v>
      </c>
      <c r="E229" s="98">
        <f>SUM(E217:E228)</f>
        <v>0</v>
      </c>
      <c r="F229" s="98">
        <f>SUM(F217:F228)</f>
        <v>0</v>
      </c>
      <c r="G229" s="98">
        <f>SUM(G217:G228)</f>
        <v>0</v>
      </c>
      <c r="H229" s="106" t="e">
        <f>SUM(H217:H228)</f>
        <v>#DIV/0!</v>
      </c>
      <c r="I229" s="95"/>
    </row>
    <row r="230" spans="1:9" ht="21" customHeight="1">
      <c r="A230" s="281" t="s">
        <v>197</v>
      </c>
      <c r="B230" s="281"/>
      <c r="C230" s="281"/>
      <c r="D230" s="281"/>
      <c r="E230" s="281"/>
      <c r="F230" s="281"/>
      <c r="G230" s="281"/>
      <c r="H230" s="281"/>
      <c r="I230" s="281"/>
    </row>
    <row r="231" spans="1:9" ht="21" customHeight="1">
      <c r="A231" s="282"/>
      <c r="B231" s="282"/>
      <c r="C231" s="282"/>
      <c r="D231" s="282"/>
      <c r="E231" s="282"/>
      <c r="F231" s="282"/>
      <c r="G231" s="282"/>
      <c r="H231" s="282"/>
      <c r="I231" s="282"/>
    </row>
    <row r="232" spans="1:9" ht="21" customHeight="1">
      <c r="A232" s="283"/>
      <c r="B232" s="283"/>
      <c r="C232" s="283"/>
      <c r="D232" s="283"/>
      <c r="E232" s="283"/>
      <c r="F232" s="283"/>
      <c r="G232" s="283"/>
      <c r="H232" s="283"/>
      <c r="I232" s="283"/>
    </row>
    <row r="233" spans="1:9" ht="21" customHeight="1">
      <c r="A233" s="288" t="s">
        <v>183</v>
      </c>
      <c r="B233" s="288"/>
      <c r="C233" s="288"/>
      <c r="D233" s="94"/>
      <c r="E233" s="94"/>
      <c r="F233" s="94"/>
      <c r="G233" s="288" t="s">
        <v>184</v>
      </c>
      <c r="H233" s="288"/>
      <c r="I233" s="94"/>
    </row>
    <row r="234" spans="1:9">
      <c r="A234" s="94"/>
      <c r="B234" s="94"/>
      <c r="C234" s="94"/>
      <c r="D234" s="94"/>
      <c r="E234" s="94"/>
      <c r="F234" s="94"/>
      <c r="I234" s="94"/>
    </row>
    <row r="235" spans="1:9">
      <c r="A235" s="94"/>
      <c r="B235" s="94"/>
      <c r="C235" s="94"/>
      <c r="D235" s="94"/>
      <c r="E235" s="94"/>
      <c r="F235" s="94"/>
      <c r="G235" s="94"/>
      <c r="H235" s="94"/>
      <c r="I235" s="94"/>
    </row>
    <row r="236" spans="1:9">
      <c r="A236" s="94"/>
      <c r="B236" s="94"/>
      <c r="C236" s="94"/>
      <c r="D236" s="94"/>
      <c r="E236" s="94"/>
      <c r="F236" s="94"/>
      <c r="G236" s="94"/>
      <c r="H236" s="94"/>
      <c r="I236" s="94"/>
    </row>
    <row r="237" spans="1:9">
      <c r="A237" s="94"/>
      <c r="B237" s="94"/>
      <c r="C237" s="94"/>
      <c r="D237" s="94"/>
      <c r="E237" s="94"/>
      <c r="F237" s="94"/>
      <c r="G237" s="94"/>
      <c r="H237" s="94"/>
      <c r="I237" s="94"/>
    </row>
    <row r="238" spans="1:9">
      <c r="A238" s="94"/>
      <c r="B238" s="94"/>
      <c r="C238" s="94"/>
      <c r="D238" s="94"/>
      <c r="E238" s="94"/>
      <c r="F238" s="94"/>
      <c r="G238" s="94"/>
      <c r="H238" s="94"/>
      <c r="I238" s="94"/>
    </row>
    <row r="239" spans="1:9">
      <c r="A239" s="94"/>
      <c r="B239" s="94"/>
      <c r="C239" s="94"/>
      <c r="D239" s="94"/>
      <c r="E239" s="94"/>
      <c r="F239" s="94"/>
      <c r="G239" s="94"/>
      <c r="H239" s="94"/>
      <c r="I239" s="94"/>
    </row>
    <row r="240" spans="1:9" ht="21" customHeight="1">
      <c r="A240" s="284" t="s">
        <v>160</v>
      </c>
      <c r="B240" s="284"/>
      <c r="C240" s="284"/>
      <c r="D240" s="284"/>
      <c r="E240" s="284"/>
      <c r="F240" s="284"/>
    </row>
    <row r="241" spans="1:9" ht="21" customHeight="1" thickBot="1">
      <c r="A241" s="280" t="s">
        <v>196</v>
      </c>
      <c r="B241" s="280"/>
      <c r="C241" s="280"/>
      <c r="D241" s="280"/>
      <c r="E241" s="280"/>
      <c r="F241" s="280"/>
      <c r="G241" s="90" t="s">
        <v>185</v>
      </c>
      <c r="H241" s="107" t="e">
        <f>تسعير!E34</f>
        <v>#DIV/0!</v>
      </c>
    </row>
    <row r="242" spans="1:9" ht="30">
      <c r="A242" s="99" t="s">
        <v>173</v>
      </c>
      <c r="B242" s="100" t="s">
        <v>174</v>
      </c>
      <c r="C242" s="100" t="s">
        <v>175</v>
      </c>
      <c r="D242" s="101" t="s">
        <v>178</v>
      </c>
      <c r="E242" s="101" t="s">
        <v>179</v>
      </c>
      <c r="F242" s="101" t="s">
        <v>176</v>
      </c>
      <c r="G242" s="101" t="s">
        <v>186</v>
      </c>
      <c r="H242" s="102" t="s">
        <v>180</v>
      </c>
      <c r="I242" s="103" t="s">
        <v>177</v>
      </c>
    </row>
    <row r="243" spans="1:9" ht="21" customHeight="1">
      <c r="A243" s="195">
        <v>1</v>
      </c>
      <c r="B243" s="96"/>
      <c r="C243" s="96"/>
      <c r="D243" s="96"/>
      <c r="E243" s="96"/>
      <c r="F243" s="96"/>
      <c r="G243" s="96"/>
      <c r="H243" s="105" t="e">
        <f>D243+E243/H241+G243</f>
        <v>#DIV/0!</v>
      </c>
      <c r="I243" s="97"/>
    </row>
    <row r="244" spans="1:9" ht="21" customHeight="1">
      <c r="A244" s="195">
        <v>2</v>
      </c>
      <c r="B244" s="96"/>
      <c r="C244" s="96"/>
      <c r="D244" s="96"/>
      <c r="E244" s="96"/>
      <c r="F244" s="96"/>
      <c r="G244" s="96"/>
      <c r="H244" s="105" t="e">
        <f>D244+E244/H241+G244</f>
        <v>#DIV/0!</v>
      </c>
      <c r="I244" s="97"/>
    </row>
    <row r="245" spans="1:9" ht="21" customHeight="1">
      <c r="A245" s="195">
        <v>3</v>
      </c>
      <c r="B245" s="96"/>
      <c r="C245" s="96"/>
      <c r="D245" s="96"/>
      <c r="E245" s="96"/>
      <c r="F245" s="96"/>
      <c r="G245" s="96"/>
      <c r="H245" s="105" t="e">
        <f>D245+E245/H241+G245</f>
        <v>#DIV/0!</v>
      </c>
      <c r="I245" s="97"/>
    </row>
    <row r="246" spans="1:9" ht="21" customHeight="1">
      <c r="A246" s="195">
        <v>4</v>
      </c>
      <c r="B246" s="96"/>
      <c r="C246" s="96"/>
      <c r="D246" s="96"/>
      <c r="E246" s="96"/>
      <c r="F246" s="96"/>
      <c r="G246" s="96"/>
      <c r="H246" s="105" t="e">
        <f>D246+E246/H241+G246</f>
        <v>#DIV/0!</v>
      </c>
      <c r="I246" s="97"/>
    </row>
    <row r="247" spans="1:9" ht="21" customHeight="1">
      <c r="A247" s="195">
        <v>5</v>
      </c>
      <c r="B247" s="96"/>
      <c r="C247" s="96"/>
      <c r="D247" s="96"/>
      <c r="E247" s="96"/>
      <c r="F247" s="96"/>
      <c r="G247" s="96"/>
      <c r="H247" s="105" t="e">
        <f>D247+E247/H241+G247</f>
        <v>#DIV/0!</v>
      </c>
      <c r="I247" s="97"/>
    </row>
    <row r="248" spans="1:9" ht="21" customHeight="1">
      <c r="A248" s="195">
        <v>6</v>
      </c>
      <c r="B248" s="96"/>
      <c r="C248" s="96"/>
      <c r="D248" s="96"/>
      <c r="E248" s="96"/>
      <c r="F248" s="96"/>
      <c r="G248" s="96"/>
      <c r="H248" s="105" t="e">
        <f>D248+E248/H241+G248</f>
        <v>#DIV/0!</v>
      </c>
      <c r="I248" s="97"/>
    </row>
    <row r="249" spans="1:9" ht="21" customHeight="1">
      <c r="A249" s="195">
        <v>7</v>
      </c>
      <c r="B249" s="96"/>
      <c r="C249" s="96"/>
      <c r="D249" s="96"/>
      <c r="E249" s="96"/>
      <c r="F249" s="96"/>
      <c r="G249" s="96"/>
      <c r="H249" s="105" t="e">
        <f>D249+E249/H241+G249</f>
        <v>#DIV/0!</v>
      </c>
      <c r="I249" s="97"/>
    </row>
    <row r="250" spans="1:9" ht="21" customHeight="1">
      <c r="A250" s="195">
        <v>8</v>
      </c>
      <c r="B250" s="96"/>
      <c r="C250" s="96"/>
      <c r="D250" s="96"/>
      <c r="E250" s="96"/>
      <c r="F250" s="96"/>
      <c r="G250" s="96"/>
      <c r="H250" s="105" t="e">
        <f>D250+E250/H241+G250</f>
        <v>#DIV/0!</v>
      </c>
      <c r="I250" s="97"/>
    </row>
    <row r="251" spans="1:9" ht="21" customHeight="1">
      <c r="A251" s="195">
        <v>9</v>
      </c>
      <c r="B251" s="96"/>
      <c r="C251" s="96"/>
      <c r="D251" s="96"/>
      <c r="E251" s="96"/>
      <c r="F251" s="96"/>
      <c r="G251" s="96"/>
      <c r="H251" s="105" t="e">
        <f>D251+E251/H241+G251</f>
        <v>#DIV/0!</v>
      </c>
      <c r="I251" s="97"/>
    </row>
    <row r="252" spans="1:9" ht="21" customHeight="1">
      <c r="A252" s="195">
        <v>10</v>
      </c>
      <c r="B252" s="96"/>
      <c r="C252" s="96"/>
      <c r="D252" s="96"/>
      <c r="E252" s="96"/>
      <c r="F252" s="96"/>
      <c r="G252" s="96"/>
      <c r="H252" s="105" t="e">
        <f>D252+E252/H241+G252</f>
        <v>#DIV/0!</v>
      </c>
      <c r="I252" s="97"/>
    </row>
    <row r="253" spans="1:9" ht="21" customHeight="1">
      <c r="A253" s="195">
        <v>11</v>
      </c>
      <c r="B253" s="96"/>
      <c r="C253" s="96"/>
      <c r="D253" s="96"/>
      <c r="E253" s="96"/>
      <c r="F253" s="96"/>
      <c r="G253" s="96"/>
      <c r="H253" s="105" t="e">
        <f>D253+E253/H241+G253</f>
        <v>#DIV/0!</v>
      </c>
      <c r="I253" s="97"/>
    </row>
    <row r="254" spans="1:9" ht="21" customHeight="1">
      <c r="A254" s="195">
        <v>12</v>
      </c>
      <c r="B254" s="96"/>
      <c r="C254" s="96"/>
      <c r="D254" s="96"/>
      <c r="E254" s="96"/>
      <c r="F254" s="96"/>
      <c r="G254" s="96"/>
      <c r="H254" s="105" t="e">
        <f>D254+E254/H241+G254</f>
        <v>#DIV/0!</v>
      </c>
      <c r="I254" s="97"/>
    </row>
    <row r="255" spans="1:9" ht="21" customHeight="1" thickBot="1">
      <c r="A255" s="285" t="s">
        <v>182</v>
      </c>
      <c r="B255" s="286"/>
      <c r="C255" s="287"/>
      <c r="D255" s="98">
        <f>SUM(D243:D254)</f>
        <v>0</v>
      </c>
      <c r="E255" s="98">
        <f>SUM(E243:E254)</f>
        <v>0</v>
      </c>
      <c r="F255" s="98">
        <f>SUM(F243:F254)</f>
        <v>0</v>
      </c>
      <c r="G255" s="98">
        <f>SUM(G243:G254)</f>
        <v>0</v>
      </c>
      <c r="H255" s="106" t="e">
        <f>SUM(H243:H254)</f>
        <v>#DIV/0!</v>
      </c>
      <c r="I255" s="95"/>
    </row>
    <row r="256" spans="1:9" ht="21" customHeight="1">
      <c r="A256" s="281" t="s">
        <v>195</v>
      </c>
      <c r="B256" s="281"/>
      <c r="C256" s="281"/>
      <c r="D256" s="281"/>
      <c r="E256" s="281"/>
      <c r="F256" s="281"/>
      <c r="G256" s="281"/>
      <c r="H256" s="281"/>
      <c r="I256" s="281"/>
    </row>
    <row r="257" spans="1:9" ht="21" customHeight="1">
      <c r="A257" s="282"/>
      <c r="B257" s="282"/>
      <c r="C257" s="282"/>
      <c r="D257" s="282"/>
      <c r="E257" s="282"/>
      <c r="F257" s="282"/>
      <c r="G257" s="282"/>
      <c r="H257" s="282"/>
      <c r="I257" s="282"/>
    </row>
    <row r="258" spans="1:9" ht="21" customHeight="1">
      <c r="A258" s="283"/>
      <c r="B258" s="283"/>
      <c r="C258" s="283"/>
      <c r="D258" s="283"/>
      <c r="E258" s="283"/>
      <c r="F258" s="283"/>
      <c r="G258" s="283"/>
      <c r="H258" s="283"/>
      <c r="I258" s="283"/>
    </row>
    <row r="259" spans="1:9" ht="21" customHeight="1">
      <c r="A259" s="288" t="s">
        <v>183</v>
      </c>
      <c r="B259" s="288"/>
      <c r="C259" s="288"/>
      <c r="D259" s="94"/>
      <c r="E259" s="94"/>
      <c r="F259" s="94"/>
      <c r="G259" s="288" t="s">
        <v>184</v>
      </c>
      <c r="H259" s="288"/>
      <c r="I259" s="94"/>
    </row>
    <row r="260" spans="1:9">
      <c r="A260" s="94"/>
      <c r="B260" s="94"/>
      <c r="C260" s="94"/>
      <c r="D260" s="94"/>
      <c r="E260" s="94"/>
      <c r="F260" s="94"/>
      <c r="I260" s="94"/>
    </row>
    <row r="261" spans="1:9">
      <c r="A261" s="94"/>
      <c r="B261" s="94"/>
      <c r="C261" s="94"/>
      <c r="D261" s="94"/>
      <c r="E261" s="94"/>
      <c r="F261" s="94"/>
      <c r="G261" s="94"/>
      <c r="H261" s="94"/>
      <c r="I261" s="94"/>
    </row>
    <row r="262" spans="1:9">
      <c r="A262" s="94"/>
      <c r="B262" s="94"/>
      <c r="C262" s="94"/>
      <c r="D262" s="94"/>
      <c r="E262" s="94"/>
      <c r="F262" s="94"/>
      <c r="G262" s="94"/>
      <c r="H262" s="94"/>
      <c r="I262" s="94"/>
    </row>
    <row r="263" spans="1:9">
      <c r="A263" s="94"/>
      <c r="B263" s="94"/>
      <c r="C263" s="94"/>
      <c r="D263" s="94"/>
      <c r="E263" s="94"/>
      <c r="F263" s="94"/>
      <c r="G263" s="94"/>
      <c r="H263" s="94"/>
      <c r="I263" s="94"/>
    </row>
    <row r="264" spans="1:9">
      <c r="A264" s="94"/>
      <c r="B264" s="94"/>
      <c r="C264" s="94"/>
      <c r="D264" s="94"/>
      <c r="E264" s="94"/>
      <c r="F264" s="94"/>
      <c r="G264" s="94"/>
      <c r="H264" s="94"/>
      <c r="I264" s="94"/>
    </row>
    <row r="265" spans="1:9">
      <c r="A265" s="94"/>
      <c r="B265" s="94"/>
      <c r="C265" s="94"/>
      <c r="D265" s="94"/>
      <c r="E265" s="94"/>
      <c r="F265" s="94"/>
      <c r="G265" s="94"/>
      <c r="H265" s="94"/>
      <c r="I265" s="94"/>
    </row>
    <row r="266" spans="1:9" ht="21" customHeight="1">
      <c r="A266" s="284" t="s">
        <v>160</v>
      </c>
      <c r="B266" s="284"/>
      <c r="C266" s="284"/>
      <c r="D266" s="284"/>
      <c r="E266" s="284"/>
      <c r="F266" s="284"/>
    </row>
    <row r="267" spans="1:9" ht="21" customHeight="1" thickBot="1">
      <c r="A267" s="280" t="s">
        <v>192</v>
      </c>
      <c r="B267" s="280"/>
      <c r="C267" s="280"/>
      <c r="D267" s="280"/>
      <c r="E267" s="280"/>
      <c r="F267" s="280"/>
      <c r="G267" s="90" t="s">
        <v>185</v>
      </c>
      <c r="H267" s="107" t="e">
        <f>تسعير!E34</f>
        <v>#DIV/0!</v>
      </c>
    </row>
    <row r="268" spans="1:9" ht="30">
      <c r="A268" s="99" t="s">
        <v>173</v>
      </c>
      <c r="B268" s="100" t="s">
        <v>174</v>
      </c>
      <c r="C268" s="100" t="s">
        <v>175</v>
      </c>
      <c r="D268" s="101" t="s">
        <v>178</v>
      </c>
      <c r="E268" s="101" t="s">
        <v>179</v>
      </c>
      <c r="F268" s="101" t="s">
        <v>176</v>
      </c>
      <c r="G268" s="101" t="s">
        <v>186</v>
      </c>
      <c r="H268" s="102" t="s">
        <v>180</v>
      </c>
      <c r="I268" s="103" t="s">
        <v>177</v>
      </c>
    </row>
    <row r="269" spans="1:9" ht="21" customHeight="1">
      <c r="A269" s="195">
        <v>1</v>
      </c>
      <c r="B269" s="96"/>
      <c r="C269" s="96"/>
      <c r="D269" s="96"/>
      <c r="E269" s="96"/>
      <c r="F269" s="96"/>
      <c r="G269" s="96"/>
      <c r="H269" s="105" t="e">
        <f>D269+E269/H267+G269</f>
        <v>#DIV/0!</v>
      </c>
      <c r="I269" s="97"/>
    </row>
    <row r="270" spans="1:9" ht="21" customHeight="1">
      <c r="A270" s="195">
        <v>2</v>
      </c>
      <c r="B270" s="96"/>
      <c r="C270" s="96"/>
      <c r="D270" s="96"/>
      <c r="E270" s="96"/>
      <c r="F270" s="96"/>
      <c r="G270" s="96"/>
      <c r="H270" s="105" t="e">
        <f>D270+E270/H267+G270</f>
        <v>#DIV/0!</v>
      </c>
      <c r="I270" s="97"/>
    </row>
    <row r="271" spans="1:9" ht="21" customHeight="1">
      <c r="A271" s="195">
        <v>3</v>
      </c>
      <c r="B271" s="96"/>
      <c r="C271" s="96"/>
      <c r="D271" s="96"/>
      <c r="E271" s="96"/>
      <c r="F271" s="96"/>
      <c r="G271" s="96"/>
      <c r="H271" s="105" t="e">
        <f>D271+E271/H267+G271</f>
        <v>#DIV/0!</v>
      </c>
      <c r="I271" s="97"/>
    </row>
    <row r="272" spans="1:9" ht="21" customHeight="1">
      <c r="A272" s="195">
        <v>4</v>
      </c>
      <c r="B272" s="96"/>
      <c r="C272" s="96"/>
      <c r="D272" s="96"/>
      <c r="E272" s="96"/>
      <c r="F272" s="96"/>
      <c r="G272" s="96"/>
      <c r="H272" s="105" t="e">
        <f>D272+E272/H267+G272</f>
        <v>#DIV/0!</v>
      </c>
      <c r="I272" s="97"/>
    </row>
    <row r="273" spans="1:9" ht="21" customHeight="1">
      <c r="A273" s="195">
        <v>5</v>
      </c>
      <c r="B273" s="96"/>
      <c r="C273" s="96"/>
      <c r="D273" s="96"/>
      <c r="E273" s="96"/>
      <c r="F273" s="96"/>
      <c r="G273" s="96"/>
      <c r="H273" s="105" t="e">
        <f>D273+E273/H267+G273</f>
        <v>#DIV/0!</v>
      </c>
      <c r="I273" s="97"/>
    </row>
    <row r="274" spans="1:9" ht="21" customHeight="1">
      <c r="A274" s="195">
        <v>6</v>
      </c>
      <c r="B274" s="96"/>
      <c r="C274" s="96"/>
      <c r="D274" s="96"/>
      <c r="E274" s="96"/>
      <c r="F274" s="96"/>
      <c r="G274" s="96"/>
      <c r="H274" s="105" t="e">
        <f>D274+E274/H267+G274</f>
        <v>#DIV/0!</v>
      </c>
      <c r="I274" s="97"/>
    </row>
    <row r="275" spans="1:9" ht="21" customHeight="1">
      <c r="A275" s="195">
        <v>7</v>
      </c>
      <c r="B275" s="96"/>
      <c r="C275" s="96"/>
      <c r="D275" s="96"/>
      <c r="E275" s="96"/>
      <c r="F275" s="96"/>
      <c r="G275" s="96"/>
      <c r="H275" s="105" t="e">
        <f>D275+E275/H267+G275</f>
        <v>#DIV/0!</v>
      </c>
      <c r="I275" s="97"/>
    </row>
    <row r="276" spans="1:9" ht="21" customHeight="1">
      <c r="A276" s="195">
        <v>8</v>
      </c>
      <c r="B276" s="96"/>
      <c r="C276" s="96"/>
      <c r="D276" s="96"/>
      <c r="E276" s="96"/>
      <c r="F276" s="96"/>
      <c r="G276" s="96"/>
      <c r="H276" s="105" t="e">
        <f>D276+E276/H267+G276</f>
        <v>#DIV/0!</v>
      </c>
      <c r="I276" s="97"/>
    </row>
    <row r="277" spans="1:9" ht="21" customHeight="1">
      <c r="A277" s="195">
        <v>9</v>
      </c>
      <c r="B277" s="96"/>
      <c r="C277" s="96"/>
      <c r="D277" s="96"/>
      <c r="E277" s="96"/>
      <c r="F277" s="96"/>
      <c r="G277" s="96"/>
      <c r="H277" s="105" t="e">
        <f>D277+E277/H267+G277</f>
        <v>#DIV/0!</v>
      </c>
      <c r="I277" s="97"/>
    </row>
    <row r="278" spans="1:9" ht="21" customHeight="1">
      <c r="A278" s="195">
        <v>10</v>
      </c>
      <c r="B278" s="96"/>
      <c r="C278" s="96"/>
      <c r="D278" s="96"/>
      <c r="E278" s="96"/>
      <c r="F278" s="96"/>
      <c r="G278" s="96"/>
      <c r="H278" s="105" t="e">
        <f>D278+E278/H267+G278</f>
        <v>#DIV/0!</v>
      </c>
      <c r="I278" s="97"/>
    </row>
    <row r="279" spans="1:9" ht="21" customHeight="1">
      <c r="A279" s="195">
        <v>11</v>
      </c>
      <c r="B279" s="96"/>
      <c r="C279" s="96"/>
      <c r="D279" s="96"/>
      <c r="E279" s="96"/>
      <c r="F279" s="96"/>
      <c r="G279" s="96"/>
      <c r="H279" s="105" t="e">
        <f>D279+E279/H267+G279</f>
        <v>#DIV/0!</v>
      </c>
      <c r="I279" s="97"/>
    </row>
    <row r="280" spans="1:9" ht="21" customHeight="1">
      <c r="A280" s="195">
        <v>12</v>
      </c>
      <c r="B280" s="96"/>
      <c r="C280" s="96"/>
      <c r="D280" s="96"/>
      <c r="E280" s="96"/>
      <c r="F280" s="96"/>
      <c r="G280" s="96"/>
      <c r="H280" s="105" t="e">
        <f>D280+E280/H267+G280</f>
        <v>#DIV/0!</v>
      </c>
      <c r="I280" s="97"/>
    </row>
    <row r="281" spans="1:9" ht="21" customHeight="1" thickBot="1">
      <c r="A281" s="285" t="s">
        <v>182</v>
      </c>
      <c r="B281" s="286"/>
      <c r="C281" s="287"/>
      <c r="D281" s="98">
        <f>SUM(D269:D280)</f>
        <v>0</v>
      </c>
      <c r="E281" s="98">
        <f>SUM(E269:E280)</f>
        <v>0</v>
      </c>
      <c r="F281" s="98">
        <f>SUM(F269:F280)</f>
        <v>0</v>
      </c>
      <c r="G281" s="98">
        <f>SUM(G269:G280)</f>
        <v>0</v>
      </c>
      <c r="H281" s="106" t="e">
        <f>SUM(H269:H280)</f>
        <v>#DIV/0!</v>
      </c>
      <c r="I281" s="95"/>
    </row>
    <row r="282" spans="1:9" ht="21" customHeight="1">
      <c r="A282" s="281" t="s">
        <v>191</v>
      </c>
      <c r="B282" s="281"/>
      <c r="C282" s="281"/>
      <c r="D282" s="281"/>
      <c r="E282" s="281"/>
      <c r="F282" s="281"/>
      <c r="G282" s="281"/>
      <c r="H282" s="281"/>
      <c r="I282" s="281"/>
    </row>
    <row r="283" spans="1:9" ht="21" customHeight="1">
      <c r="A283" s="282"/>
      <c r="B283" s="282"/>
      <c r="C283" s="282"/>
      <c r="D283" s="282"/>
      <c r="E283" s="282"/>
      <c r="F283" s="282"/>
      <c r="G283" s="282"/>
      <c r="H283" s="282"/>
      <c r="I283" s="282"/>
    </row>
    <row r="284" spans="1:9" ht="21" customHeight="1">
      <c r="A284" s="283"/>
      <c r="B284" s="283"/>
      <c r="C284" s="283"/>
      <c r="D284" s="283"/>
      <c r="E284" s="283"/>
      <c r="F284" s="283"/>
      <c r="G284" s="283"/>
      <c r="H284" s="283"/>
      <c r="I284" s="283"/>
    </row>
    <row r="285" spans="1:9" ht="21" customHeight="1">
      <c r="A285" s="288" t="s">
        <v>183</v>
      </c>
      <c r="B285" s="288"/>
      <c r="C285" s="288"/>
      <c r="D285" s="94"/>
      <c r="E285" s="94"/>
      <c r="F285" s="94"/>
      <c r="G285" s="288" t="s">
        <v>184</v>
      </c>
      <c r="H285" s="288"/>
      <c r="I285" s="94"/>
    </row>
    <row r="286" spans="1:9">
      <c r="A286" s="94"/>
      <c r="B286" s="94"/>
      <c r="C286" s="94"/>
      <c r="D286" s="94"/>
      <c r="E286" s="94"/>
      <c r="F286" s="94"/>
      <c r="I286" s="94"/>
    </row>
    <row r="287" spans="1:9">
      <c r="A287" s="94"/>
      <c r="B287" s="94"/>
      <c r="C287" s="94"/>
      <c r="D287" s="94"/>
      <c r="E287" s="94"/>
      <c r="F287" s="94"/>
      <c r="G287" s="94"/>
      <c r="H287" s="94"/>
      <c r="I287" s="94"/>
    </row>
    <row r="288" spans="1:9">
      <c r="A288" s="94"/>
      <c r="B288" s="94"/>
      <c r="C288" s="94"/>
      <c r="D288" s="94"/>
      <c r="E288" s="94"/>
      <c r="F288" s="94"/>
      <c r="G288" s="94"/>
      <c r="H288" s="94"/>
      <c r="I288" s="94"/>
    </row>
    <row r="289" spans="1:9">
      <c r="A289" s="94"/>
      <c r="B289" s="94"/>
      <c r="C289" s="94"/>
      <c r="D289" s="94"/>
      <c r="E289" s="94"/>
      <c r="F289" s="94"/>
      <c r="G289" s="94"/>
      <c r="H289" s="94"/>
      <c r="I289" s="94"/>
    </row>
    <row r="290" spans="1:9">
      <c r="A290" s="94"/>
      <c r="B290" s="94"/>
      <c r="C290" s="94"/>
      <c r="D290" s="94"/>
      <c r="E290" s="94"/>
      <c r="F290" s="94"/>
      <c r="G290" s="94"/>
      <c r="H290" s="94"/>
      <c r="I290" s="94"/>
    </row>
    <row r="291" spans="1:9">
      <c r="A291" s="94"/>
      <c r="B291" s="94"/>
      <c r="C291" s="94"/>
      <c r="D291" s="94"/>
      <c r="E291" s="94"/>
      <c r="F291" s="94"/>
      <c r="G291" s="94"/>
      <c r="H291" s="94"/>
      <c r="I291" s="94"/>
    </row>
    <row r="292" spans="1:9" ht="21.75" customHeight="1">
      <c r="A292" s="284" t="s">
        <v>160</v>
      </c>
      <c r="B292" s="284"/>
      <c r="C292" s="284"/>
      <c r="D292" s="284"/>
      <c r="E292" s="284"/>
      <c r="F292" s="284"/>
    </row>
    <row r="293" spans="1:9" ht="21.75" customHeight="1" thickBot="1">
      <c r="A293" s="289" t="s">
        <v>193</v>
      </c>
      <c r="B293" s="289"/>
      <c r="C293" s="289"/>
      <c r="D293" s="289"/>
      <c r="E293" s="289"/>
      <c r="F293" s="289"/>
      <c r="G293" s="90" t="s">
        <v>185</v>
      </c>
      <c r="H293" s="107" t="e">
        <f>تسعير!E34</f>
        <v>#DIV/0!</v>
      </c>
    </row>
    <row r="294" spans="1:9" ht="30">
      <c r="A294" s="99" t="s">
        <v>173</v>
      </c>
      <c r="B294" s="100" t="s">
        <v>174</v>
      </c>
      <c r="C294" s="100" t="s">
        <v>175</v>
      </c>
      <c r="D294" s="101" t="s">
        <v>178</v>
      </c>
      <c r="E294" s="101" t="s">
        <v>179</v>
      </c>
      <c r="F294" s="101" t="s">
        <v>176</v>
      </c>
      <c r="G294" s="101" t="s">
        <v>186</v>
      </c>
      <c r="H294" s="102" t="s">
        <v>180</v>
      </c>
      <c r="I294" s="103" t="s">
        <v>177</v>
      </c>
    </row>
    <row r="295" spans="1:9" ht="21" customHeight="1">
      <c r="A295" s="195">
        <v>1</v>
      </c>
      <c r="B295" s="96"/>
      <c r="C295" s="96"/>
      <c r="D295" s="96"/>
      <c r="E295" s="96"/>
      <c r="F295" s="96"/>
      <c r="G295" s="96"/>
      <c r="H295" s="105" t="e">
        <f>D295+E295/H293+G295</f>
        <v>#DIV/0!</v>
      </c>
      <c r="I295" s="97"/>
    </row>
    <row r="296" spans="1:9" ht="21" customHeight="1">
      <c r="A296" s="195">
        <v>2</v>
      </c>
      <c r="B296" s="96"/>
      <c r="C296" s="96"/>
      <c r="D296" s="96"/>
      <c r="E296" s="96"/>
      <c r="F296" s="96"/>
      <c r="G296" s="96"/>
      <c r="H296" s="105" t="e">
        <f>D296+E296/H293+G296</f>
        <v>#DIV/0!</v>
      </c>
      <c r="I296" s="97"/>
    </row>
    <row r="297" spans="1:9" ht="21" customHeight="1">
      <c r="A297" s="195">
        <v>3</v>
      </c>
      <c r="B297" s="96"/>
      <c r="C297" s="96"/>
      <c r="D297" s="96"/>
      <c r="E297" s="96"/>
      <c r="F297" s="96"/>
      <c r="G297" s="96"/>
      <c r="H297" s="105" t="e">
        <f>D297+E297/H293+G297</f>
        <v>#DIV/0!</v>
      </c>
      <c r="I297" s="97"/>
    </row>
    <row r="298" spans="1:9" ht="21" customHeight="1">
      <c r="A298" s="195">
        <v>4</v>
      </c>
      <c r="B298" s="96"/>
      <c r="C298" s="96"/>
      <c r="D298" s="96"/>
      <c r="E298" s="96"/>
      <c r="F298" s="96"/>
      <c r="G298" s="96"/>
      <c r="H298" s="105" t="e">
        <f>D298+E298/H293+G298</f>
        <v>#DIV/0!</v>
      </c>
      <c r="I298" s="97"/>
    </row>
    <row r="299" spans="1:9" ht="21" customHeight="1">
      <c r="A299" s="195">
        <v>5</v>
      </c>
      <c r="B299" s="96"/>
      <c r="C299" s="96"/>
      <c r="D299" s="96"/>
      <c r="E299" s="96"/>
      <c r="F299" s="96"/>
      <c r="G299" s="96"/>
      <c r="H299" s="105" t="e">
        <f>D299+E299/H293+G299</f>
        <v>#DIV/0!</v>
      </c>
      <c r="I299" s="97"/>
    </row>
    <row r="300" spans="1:9" ht="21" customHeight="1">
      <c r="A300" s="195">
        <v>6</v>
      </c>
      <c r="B300" s="96"/>
      <c r="C300" s="96"/>
      <c r="D300" s="96"/>
      <c r="E300" s="96"/>
      <c r="F300" s="96"/>
      <c r="G300" s="96"/>
      <c r="H300" s="105" t="e">
        <f>D300+E300/H293+G300</f>
        <v>#DIV/0!</v>
      </c>
      <c r="I300" s="97"/>
    </row>
    <row r="301" spans="1:9" ht="21" customHeight="1">
      <c r="A301" s="195">
        <v>7</v>
      </c>
      <c r="B301" s="96"/>
      <c r="C301" s="96"/>
      <c r="D301" s="96"/>
      <c r="E301" s="96"/>
      <c r="F301" s="96"/>
      <c r="G301" s="96"/>
      <c r="H301" s="105" t="e">
        <f>D301+E301/H293+G301</f>
        <v>#DIV/0!</v>
      </c>
      <c r="I301" s="97"/>
    </row>
    <row r="302" spans="1:9" ht="21" customHeight="1">
      <c r="A302" s="195">
        <v>8</v>
      </c>
      <c r="B302" s="96"/>
      <c r="C302" s="96"/>
      <c r="D302" s="96"/>
      <c r="E302" s="96"/>
      <c r="F302" s="96"/>
      <c r="G302" s="96"/>
      <c r="H302" s="105" t="e">
        <f>D302+E302/H293+G302</f>
        <v>#DIV/0!</v>
      </c>
      <c r="I302" s="97"/>
    </row>
    <row r="303" spans="1:9" ht="21" customHeight="1">
      <c r="A303" s="195">
        <v>9</v>
      </c>
      <c r="B303" s="96"/>
      <c r="C303" s="96"/>
      <c r="D303" s="96"/>
      <c r="E303" s="96"/>
      <c r="F303" s="96"/>
      <c r="G303" s="96"/>
      <c r="H303" s="105" t="e">
        <f>D303+E303/H293+G303</f>
        <v>#DIV/0!</v>
      </c>
      <c r="I303" s="97"/>
    </row>
    <row r="304" spans="1:9" ht="21" customHeight="1">
      <c r="A304" s="195">
        <v>10</v>
      </c>
      <c r="B304" s="96"/>
      <c r="C304" s="96"/>
      <c r="D304" s="96"/>
      <c r="E304" s="96"/>
      <c r="F304" s="96"/>
      <c r="G304" s="96"/>
      <c r="H304" s="105" t="e">
        <f>D304+E304/H293+G304</f>
        <v>#DIV/0!</v>
      </c>
      <c r="I304" s="97"/>
    </row>
    <row r="305" spans="1:9" ht="21" customHeight="1">
      <c r="A305" s="195">
        <v>11</v>
      </c>
      <c r="B305" s="96"/>
      <c r="C305" s="96"/>
      <c r="D305" s="96"/>
      <c r="E305" s="96"/>
      <c r="F305" s="96"/>
      <c r="G305" s="96"/>
      <c r="H305" s="105" t="e">
        <f>D305+E305/H293+G305</f>
        <v>#DIV/0!</v>
      </c>
      <c r="I305" s="97"/>
    </row>
    <row r="306" spans="1:9" ht="21" customHeight="1">
      <c r="A306" s="195">
        <v>12</v>
      </c>
      <c r="B306" s="96"/>
      <c r="C306" s="96"/>
      <c r="D306" s="96"/>
      <c r="E306" s="96"/>
      <c r="F306" s="96"/>
      <c r="G306" s="96"/>
      <c r="H306" s="105" t="e">
        <f>D306+E306/H293+G306</f>
        <v>#DIV/0!</v>
      </c>
      <c r="I306" s="97"/>
    </row>
    <row r="307" spans="1:9" ht="21" customHeight="1" thickBot="1">
      <c r="A307" s="285" t="s">
        <v>182</v>
      </c>
      <c r="B307" s="286"/>
      <c r="C307" s="287"/>
      <c r="D307" s="98">
        <f>SUM(D295:D306)</f>
        <v>0</v>
      </c>
      <c r="E307" s="98">
        <f>SUM(E295:E306)</f>
        <v>0</v>
      </c>
      <c r="F307" s="98">
        <f>SUM(F295:F306)</f>
        <v>0</v>
      </c>
      <c r="G307" s="98">
        <f>SUM(G295:G306)</f>
        <v>0</v>
      </c>
      <c r="H307" s="106" t="e">
        <f>SUM(H295:H306)</f>
        <v>#DIV/0!</v>
      </c>
      <c r="I307" s="95"/>
    </row>
    <row r="308" spans="1:9" ht="21" customHeight="1">
      <c r="A308" s="281" t="s">
        <v>190</v>
      </c>
      <c r="B308" s="281"/>
      <c r="C308" s="281"/>
      <c r="D308" s="281"/>
      <c r="E308" s="281"/>
      <c r="F308" s="281"/>
      <c r="G308" s="281"/>
      <c r="H308" s="281"/>
      <c r="I308" s="281"/>
    </row>
    <row r="309" spans="1:9" ht="21" customHeight="1">
      <c r="A309" s="282"/>
      <c r="B309" s="282"/>
      <c r="C309" s="282"/>
      <c r="D309" s="282"/>
      <c r="E309" s="282"/>
      <c r="F309" s="282"/>
      <c r="G309" s="282"/>
      <c r="H309" s="282"/>
      <c r="I309" s="282"/>
    </row>
    <row r="310" spans="1:9" ht="21" customHeight="1">
      <c r="A310" s="283"/>
      <c r="B310" s="283"/>
      <c r="C310" s="283"/>
      <c r="D310" s="283"/>
      <c r="E310" s="283"/>
      <c r="F310" s="283"/>
      <c r="G310" s="283"/>
      <c r="H310" s="283"/>
      <c r="I310" s="283"/>
    </row>
    <row r="311" spans="1:9" ht="21" customHeight="1">
      <c r="A311" s="288" t="s">
        <v>183</v>
      </c>
      <c r="B311" s="288"/>
      <c r="C311" s="288"/>
      <c r="D311" s="94"/>
      <c r="E311" s="94"/>
      <c r="F311" s="94"/>
      <c r="G311" s="288" t="s">
        <v>184</v>
      </c>
      <c r="H311" s="288"/>
      <c r="I311" s="94"/>
    </row>
    <row r="312" spans="1:9">
      <c r="A312" s="94"/>
      <c r="B312" s="94"/>
      <c r="C312" s="94"/>
      <c r="D312" s="94"/>
      <c r="E312" s="94"/>
      <c r="F312" s="94"/>
      <c r="I312" s="94"/>
    </row>
    <row r="313" spans="1:9">
      <c r="A313" s="94"/>
      <c r="B313" s="94"/>
      <c r="C313" s="94"/>
      <c r="D313" s="94"/>
      <c r="E313" s="94"/>
      <c r="F313" s="94"/>
      <c r="G313" s="94"/>
      <c r="H313" s="94"/>
      <c r="I313" s="94"/>
    </row>
    <row r="314" spans="1:9">
      <c r="A314" s="94"/>
      <c r="B314" s="94"/>
      <c r="C314" s="94"/>
      <c r="D314" s="94"/>
      <c r="E314" s="94"/>
      <c r="F314" s="94"/>
      <c r="G314" s="94"/>
      <c r="H314" s="94"/>
      <c r="I314" s="94"/>
    </row>
    <row r="315" spans="1:9">
      <c r="A315" s="94"/>
      <c r="B315" s="94"/>
      <c r="C315" s="94"/>
      <c r="D315" s="94"/>
      <c r="E315" s="94"/>
      <c r="F315" s="94"/>
      <c r="G315" s="94"/>
      <c r="H315" s="94"/>
      <c r="I315" s="94"/>
    </row>
    <row r="316" spans="1:9">
      <c r="A316" s="94"/>
      <c r="B316" s="94"/>
      <c r="C316" s="94"/>
      <c r="D316" s="94"/>
      <c r="E316" s="94"/>
      <c r="F316" s="94"/>
      <c r="G316" s="94"/>
      <c r="H316" s="94"/>
      <c r="I316" s="94"/>
    </row>
    <row r="317" spans="1:9">
      <c r="A317" s="94"/>
      <c r="B317" s="94"/>
      <c r="C317" s="94"/>
      <c r="D317" s="94"/>
      <c r="E317" s="94"/>
      <c r="F317" s="94"/>
      <c r="G317" s="94"/>
      <c r="H317" s="94"/>
      <c r="I317" s="94"/>
    </row>
    <row r="318" spans="1:9" ht="21" customHeight="1">
      <c r="A318" s="284" t="s">
        <v>160</v>
      </c>
      <c r="B318" s="284"/>
      <c r="C318" s="284"/>
      <c r="D318" s="284"/>
      <c r="E318" s="284"/>
      <c r="F318" s="284"/>
    </row>
    <row r="319" spans="1:9" ht="21" customHeight="1" thickBot="1">
      <c r="A319" s="280" t="s">
        <v>194</v>
      </c>
      <c r="B319" s="280"/>
      <c r="C319" s="280"/>
      <c r="D319" s="280"/>
      <c r="E319" s="280"/>
      <c r="F319" s="280"/>
      <c r="G319" s="90" t="s">
        <v>185</v>
      </c>
      <c r="H319" s="107" t="e">
        <f>تسعير!E34</f>
        <v>#DIV/0!</v>
      </c>
    </row>
    <row r="320" spans="1:9" ht="30">
      <c r="A320" s="99" t="s">
        <v>173</v>
      </c>
      <c r="B320" s="100" t="s">
        <v>174</v>
      </c>
      <c r="C320" s="100" t="s">
        <v>175</v>
      </c>
      <c r="D320" s="101" t="s">
        <v>178</v>
      </c>
      <c r="E320" s="101" t="s">
        <v>179</v>
      </c>
      <c r="F320" s="101" t="s">
        <v>176</v>
      </c>
      <c r="G320" s="101" t="s">
        <v>186</v>
      </c>
      <c r="H320" s="102" t="s">
        <v>180</v>
      </c>
      <c r="I320" s="103" t="s">
        <v>177</v>
      </c>
    </row>
    <row r="321" spans="1:9" ht="21" customHeight="1">
      <c r="A321" s="195">
        <v>1</v>
      </c>
      <c r="B321" s="96"/>
      <c r="C321" s="96"/>
      <c r="D321" s="96"/>
      <c r="E321" s="96"/>
      <c r="F321" s="96"/>
      <c r="G321" s="96"/>
      <c r="H321" s="105" t="e">
        <f>D321+(E321/H319)+G321</f>
        <v>#DIV/0!</v>
      </c>
      <c r="I321" s="97"/>
    </row>
    <row r="322" spans="1:9" ht="21" customHeight="1">
      <c r="A322" s="195">
        <v>2</v>
      </c>
      <c r="B322" s="96"/>
      <c r="C322" s="96"/>
      <c r="D322" s="96"/>
      <c r="E322" s="96"/>
      <c r="F322" s="96"/>
      <c r="G322" s="96"/>
      <c r="H322" s="105" t="e">
        <f>D322+E322/H319+G322</f>
        <v>#DIV/0!</v>
      </c>
      <c r="I322" s="97"/>
    </row>
    <row r="323" spans="1:9" ht="21" customHeight="1">
      <c r="A323" s="195">
        <v>3</v>
      </c>
      <c r="B323" s="96"/>
      <c r="C323" s="96"/>
      <c r="D323" s="96"/>
      <c r="E323" s="96"/>
      <c r="F323" s="96"/>
      <c r="G323" s="96"/>
      <c r="H323" s="105" t="e">
        <f>D323+E323/H319+G323</f>
        <v>#DIV/0!</v>
      </c>
      <c r="I323" s="97"/>
    </row>
    <row r="324" spans="1:9" ht="21" customHeight="1">
      <c r="A324" s="195">
        <v>4</v>
      </c>
      <c r="B324" s="96"/>
      <c r="C324" s="96"/>
      <c r="D324" s="96"/>
      <c r="E324" s="96"/>
      <c r="F324" s="96"/>
      <c r="G324" s="96"/>
      <c r="H324" s="105" t="e">
        <f>D324+E324/H319+G324</f>
        <v>#DIV/0!</v>
      </c>
      <c r="I324" s="97"/>
    </row>
    <row r="325" spans="1:9" ht="21" customHeight="1">
      <c r="A325" s="195">
        <v>5</v>
      </c>
      <c r="B325" s="96"/>
      <c r="C325" s="96"/>
      <c r="D325" s="96"/>
      <c r="E325" s="96"/>
      <c r="F325" s="96"/>
      <c r="G325" s="96"/>
      <c r="H325" s="105" t="e">
        <f>D325+E325/H319+G325</f>
        <v>#DIV/0!</v>
      </c>
      <c r="I325" s="97"/>
    </row>
    <row r="326" spans="1:9" ht="21" customHeight="1">
      <c r="A326" s="195">
        <v>6</v>
      </c>
      <c r="B326" s="96"/>
      <c r="C326" s="96"/>
      <c r="D326" s="96"/>
      <c r="E326" s="96"/>
      <c r="F326" s="96"/>
      <c r="G326" s="96"/>
      <c r="H326" s="105" t="e">
        <f>D326+E326/H319+G326</f>
        <v>#DIV/0!</v>
      </c>
      <c r="I326" s="97"/>
    </row>
    <row r="327" spans="1:9" ht="21" customHeight="1">
      <c r="A327" s="195">
        <v>7</v>
      </c>
      <c r="B327" s="96"/>
      <c r="C327" s="96"/>
      <c r="D327" s="96"/>
      <c r="E327" s="96"/>
      <c r="F327" s="96"/>
      <c r="G327" s="96"/>
      <c r="H327" s="105" t="e">
        <f>D327+E327/H319+G327</f>
        <v>#DIV/0!</v>
      </c>
      <c r="I327" s="97"/>
    </row>
    <row r="328" spans="1:9" ht="21" customHeight="1">
      <c r="A328" s="195">
        <v>8</v>
      </c>
      <c r="B328" s="96"/>
      <c r="C328" s="96"/>
      <c r="D328" s="96"/>
      <c r="E328" s="96"/>
      <c r="F328" s="96"/>
      <c r="G328" s="96"/>
      <c r="H328" s="105" t="e">
        <f>D328+E328/H319+G328</f>
        <v>#DIV/0!</v>
      </c>
      <c r="I328" s="97"/>
    </row>
    <row r="329" spans="1:9" ht="21" customHeight="1">
      <c r="A329" s="195">
        <v>9</v>
      </c>
      <c r="B329" s="96"/>
      <c r="C329" s="96"/>
      <c r="D329" s="96"/>
      <c r="E329" s="96"/>
      <c r="F329" s="96"/>
      <c r="G329" s="96"/>
      <c r="H329" s="105" t="e">
        <f>D329+E329/H319+G329</f>
        <v>#DIV/0!</v>
      </c>
      <c r="I329" s="97"/>
    </row>
    <row r="330" spans="1:9" ht="21" customHeight="1">
      <c r="A330" s="195">
        <v>10</v>
      </c>
      <c r="B330" s="96"/>
      <c r="C330" s="96"/>
      <c r="D330" s="96"/>
      <c r="E330" s="96"/>
      <c r="F330" s="96"/>
      <c r="G330" s="96"/>
      <c r="H330" s="105" t="e">
        <f>D330+E330/H319+G330</f>
        <v>#DIV/0!</v>
      </c>
      <c r="I330" s="97"/>
    </row>
    <row r="331" spans="1:9" ht="21" customHeight="1">
      <c r="A331" s="195">
        <v>11</v>
      </c>
      <c r="B331" s="96"/>
      <c r="C331" s="96"/>
      <c r="D331" s="96"/>
      <c r="E331" s="96"/>
      <c r="F331" s="96"/>
      <c r="G331" s="96"/>
      <c r="H331" s="105" t="e">
        <f>D331+E331/H319+G331</f>
        <v>#DIV/0!</v>
      </c>
      <c r="I331" s="97"/>
    </row>
    <row r="332" spans="1:9" ht="21" customHeight="1">
      <c r="A332" s="195">
        <v>12</v>
      </c>
      <c r="B332" s="96"/>
      <c r="C332" s="96"/>
      <c r="D332" s="96"/>
      <c r="E332" s="96"/>
      <c r="F332" s="96"/>
      <c r="G332" s="96"/>
      <c r="H332" s="105" t="e">
        <f>D332+E332/H319+G332</f>
        <v>#DIV/0!</v>
      </c>
      <c r="I332" s="97"/>
    </row>
    <row r="333" spans="1:9" ht="21" customHeight="1" thickBot="1">
      <c r="A333" s="285" t="s">
        <v>182</v>
      </c>
      <c r="B333" s="286"/>
      <c r="C333" s="287"/>
      <c r="D333" s="98">
        <f>SUM(D321:D332)</f>
        <v>0</v>
      </c>
      <c r="E333" s="98">
        <f>SUM(E321:E332)</f>
        <v>0</v>
      </c>
      <c r="F333" s="98">
        <f>SUM(F321:F332)</f>
        <v>0</v>
      </c>
      <c r="G333" s="98">
        <f>SUM(G321:G332)</f>
        <v>0</v>
      </c>
      <c r="H333" s="106" t="e">
        <f>SUM(H321:H332)</f>
        <v>#DIV/0!</v>
      </c>
      <c r="I333" s="95"/>
    </row>
    <row r="334" spans="1:9" ht="21" customHeight="1">
      <c r="A334" s="281" t="s">
        <v>189</v>
      </c>
      <c r="B334" s="281"/>
      <c r="C334" s="281"/>
      <c r="D334" s="281"/>
      <c r="E334" s="281"/>
      <c r="F334" s="281"/>
      <c r="G334" s="281"/>
      <c r="H334" s="281"/>
      <c r="I334" s="281"/>
    </row>
    <row r="335" spans="1:9" ht="21" customHeight="1">
      <c r="A335" s="282"/>
      <c r="B335" s="282"/>
      <c r="C335" s="282"/>
      <c r="D335" s="282"/>
      <c r="E335" s="282"/>
      <c r="F335" s="282"/>
      <c r="G335" s="282"/>
      <c r="H335" s="282"/>
      <c r="I335" s="282"/>
    </row>
    <row r="336" spans="1:9" ht="21" customHeight="1">
      <c r="A336" s="283"/>
      <c r="B336" s="283"/>
      <c r="C336" s="283"/>
      <c r="D336" s="283"/>
      <c r="E336" s="283"/>
      <c r="F336" s="283"/>
      <c r="G336" s="283"/>
      <c r="H336" s="283"/>
      <c r="I336" s="283"/>
    </row>
    <row r="337" spans="1:9" ht="21" customHeight="1">
      <c r="A337" s="288" t="s">
        <v>183</v>
      </c>
      <c r="B337" s="288"/>
      <c r="C337" s="288"/>
      <c r="D337" s="94"/>
      <c r="E337" s="94"/>
      <c r="F337" s="94"/>
      <c r="G337" s="288" t="s">
        <v>184</v>
      </c>
      <c r="H337" s="288"/>
      <c r="I337" s="94"/>
    </row>
    <row r="338" spans="1:9">
      <c r="A338" s="94"/>
      <c r="B338" s="94"/>
      <c r="C338" s="94"/>
      <c r="D338" s="94"/>
      <c r="E338" s="94"/>
      <c r="F338" s="94"/>
      <c r="I338" s="94"/>
    </row>
    <row r="339" spans="1:9">
      <c r="A339" s="94"/>
      <c r="B339" s="94"/>
      <c r="C339" s="94"/>
      <c r="D339" s="94"/>
      <c r="E339" s="94"/>
      <c r="F339" s="94"/>
      <c r="G339" s="94"/>
      <c r="H339" s="94"/>
      <c r="I339" s="94"/>
    </row>
    <row r="340" spans="1:9">
      <c r="A340" s="94"/>
      <c r="B340" s="94"/>
      <c r="C340" s="94"/>
      <c r="D340" s="94"/>
      <c r="E340" s="94"/>
      <c r="F340" s="94"/>
      <c r="G340" s="94"/>
      <c r="H340" s="94"/>
      <c r="I340" s="94"/>
    </row>
    <row r="341" spans="1:9">
      <c r="A341" s="94"/>
      <c r="B341" s="94"/>
      <c r="C341" s="94"/>
      <c r="D341" s="94"/>
      <c r="E341" s="94"/>
      <c r="F341" s="94"/>
      <c r="G341" s="94"/>
      <c r="H341" s="94"/>
      <c r="I341" s="94"/>
    </row>
    <row r="342" spans="1:9">
      <c r="A342" s="94"/>
      <c r="B342" s="94"/>
      <c r="C342" s="94"/>
      <c r="D342" s="94"/>
      <c r="E342" s="94"/>
      <c r="F342" s="94"/>
      <c r="G342" s="94"/>
      <c r="H342" s="94"/>
      <c r="I342" s="94"/>
    </row>
    <row r="343" spans="1:9">
      <c r="A343" s="94"/>
      <c r="B343" s="94"/>
      <c r="C343" s="94"/>
      <c r="D343" s="94"/>
      <c r="E343" s="94"/>
      <c r="F343" s="94"/>
      <c r="G343" s="94"/>
      <c r="H343" s="94"/>
      <c r="I343" s="94"/>
    </row>
  </sheetData>
  <mergeCells count="84">
    <mergeCell ref="A337:C337"/>
    <mergeCell ref="G337:H337"/>
    <mergeCell ref="A311:C311"/>
    <mergeCell ref="G311:H311"/>
    <mergeCell ref="A318:F318"/>
    <mergeCell ref="A319:F319"/>
    <mergeCell ref="A333:C333"/>
    <mergeCell ref="A334:I336"/>
    <mergeCell ref="A308:I310"/>
    <mergeCell ref="A259:C259"/>
    <mergeCell ref="G259:H259"/>
    <mergeCell ref="A266:F266"/>
    <mergeCell ref="A267:F267"/>
    <mergeCell ref="A281:C281"/>
    <mergeCell ref="A282:I284"/>
    <mergeCell ref="A285:C285"/>
    <mergeCell ref="G285:H285"/>
    <mergeCell ref="A292:F292"/>
    <mergeCell ref="A293:F293"/>
    <mergeCell ref="A307:C307"/>
    <mergeCell ref="A256:I258"/>
    <mergeCell ref="A207:C207"/>
    <mergeCell ref="G207:H207"/>
    <mergeCell ref="A214:F214"/>
    <mergeCell ref="A215:F215"/>
    <mergeCell ref="A229:C229"/>
    <mergeCell ref="A230:I232"/>
    <mergeCell ref="A233:C233"/>
    <mergeCell ref="G233:H233"/>
    <mergeCell ref="A240:F240"/>
    <mergeCell ref="A241:F241"/>
    <mergeCell ref="A255:C255"/>
    <mergeCell ref="A204:I206"/>
    <mergeCell ref="A155:C155"/>
    <mergeCell ref="G155:H155"/>
    <mergeCell ref="A162:F162"/>
    <mergeCell ref="A163:F163"/>
    <mergeCell ref="A177:C177"/>
    <mergeCell ref="A178:I180"/>
    <mergeCell ref="A181:C181"/>
    <mergeCell ref="G181:H181"/>
    <mergeCell ref="A188:F188"/>
    <mergeCell ref="A189:F189"/>
    <mergeCell ref="A203:C203"/>
    <mergeCell ref="A152:I154"/>
    <mergeCell ref="A103:C103"/>
    <mergeCell ref="G103:H103"/>
    <mergeCell ref="A110:F110"/>
    <mergeCell ref="A111:F111"/>
    <mergeCell ref="A125:C125"/>
    <mergeCell ref="A126:I128"/>
    <mergeCell ref="A129:C129"/>
    <mergeCell ref="G129:H129"/>
    <mergeCell ref="A136:F136"/>
    <mergeCell ref="A137:F137"/>
    <mergeCell ref="A151:C151"/>
    <mergeCell ref="A100:I102"/>
    <mergeCell ref="A51:C51"/>
    <mergeCell ref="G51:H51"/>
    <mergeCell ref="A58:F58"/>
    <mergeCell ref="A59:F59"/>
    <mergeCell ref="A73:C73"/>
    <mergeCell ref="A74:I76"/>
    <mergeCell ref="A77:C77"/>
    <mergeCell ref="G77:H77"/>
    <mergeCell ref="A84:F84"/>
    <mergeCell ref="A85:F85"/>
    <mergeCell ref="A99:C99"/>
    <mergeCell ref="A1:F1"/>
    <mergeCell ref="A2:F2"/>
    <mergeCell ref="A3:F3"/>
    <mergeCell ref="A4:F4"/>
    <mergeCell ref="A48:I50"/>
    <mergeCell ref="A5:F5"/>
    <mergeCell ref="A6:F6"/>
    <mergeCell ref="A7:F7"/>
    <mergeCell ref="A8:F8"/>
    <mergeCell ref="A9:F9"/>
    <mergeCell ref="A10:F10"/>
    <mergeCell ref="A11:F11"/>
    <mergeCell ref="A12:F12"/>
    <mergeCell ref="A32:F32"/>
    <mergeCell ref="A33:F33"/>
    <mergeCell ref="A47:C47"/>
  </mergeCells>
  <hyperlinks>
    <hyperlink ref="A33:F33" location="'ریزحقوق کارکنان محلی'!A1" display="حقوق،بازخريدي و...كاركنان بومي کد برنامه:                فروردین سال"/>
    <hyperlink ref="A1:F1" location="'ریزحقوق کارکنان محلی'!A33" display="حقوق،بازخريدي و...كاركنان بومي      کد برنامه:                فروردین سال"/>
    <hyperlink ref="A59:F59" location="'ریزحقوق کارکنان محلی'!A1" display="حقوق،بازخريدي و...كاركنان بومي کد برنامه:                اردیبهشت سال"/>
    <hyperlink ref="A2:F2" location="'ریزحقوق کارکنان محلی'!A59" display="حقوق،بازخريدي و...كاركنان بومي      کد برنامه:               اردیبهست سال"/>
    <hyperlink ref="A85:F85" location="'ریزحقوق کارکنان محلی'!A1" display="حقوق،بازخريدي و...كاركنان بومي کد برنامه:                خرداد ماه سال"/>
    <hyperlink ref="A111:F111" location="'ریزحقوق کارکنان محلی'!A1" display="حقوق،بازخريدي و...كاركنان بومي کد برنامه:                تیر ماه سال"/>
    <hyperlink ref="A137:F137" location="'ریزحقوق کارکنان محلی'!A1" display="حقوق،بازخريدي و...كاركنان بومي کد برنامه:                مرداد ماه سال"/>
    <hyperlink ref="A163:F163" location="'ریزحقوق کارکنان محلی'!A1" display="حقوق،بازخريدي و...كاركنان بومي کد برنامه:                شهریور ماه سال"/>
    <hyperlink ref="A189:F189" location="'ریزحقوق کارکنان محلی'!A1" display="حقوق،بازخريدي و...كاركنان بومي کد برنامه:                مهر ماه سال"/>
    <hyperlink ref="A215:F215" location="'ریزحقوق کارکنان محلی'!A1" display="حقوق،بازخريدي و...كاركنان بومي کد برنامه:                آبان ماه سال"/>
    <hyperlink ref="A241:F241" location="'ریزحقوق کارکنان محلی'!A1" display="حقوق،بازخريدي و...كاركنان بومي کد برنامه:                آذر ماه سال"/>
    <hyperlink ref="A267:F267" location="'ریزحقوق کارکنان محلی'!A1" display="حقوق،بازخريدي و...كاركنان بومي کد برنامه:                دی ماه سال"/>
    <hyperlink ref="A293:F293" location="'ریزحقوق کارکنان محلی'!A1" display="حقوق،بازخريدي و...كاركنان بومي کد برنامه:                بهمن ماه سال"/>
    <hyperlink ref="A319:F319" location="'ریزحقوق کارکنان محلی'!A1" display="حقوق،بازخريدي و...كاركنان بومي کد برنامه:                اسفند ماه سال"/>
    <hyperlink ref="A3:F3" location="'ریزحقوق کارکنان محلی'!A85" display="حقوق،بازخريدي و...كاركنان بومي      کد برنامه:               خرداد سال"/>
    <hyperlink ref="A4:F4" location="'ریزحقوق کارکنان محلی'!A111" display="حقوق،بازخريدي و...كاركنان بومي      کد برنامه:               تیر سال"/>
    <hyperlink ref="A5:F5" location="'ریزحقوق کارکنان محلی'!A137" display="حقوق،بازخريدي و...كاركنان بومي      کد برنامه:               مرداد سال"/>
    <hyperlink ref="A6:F6" location="'ریزحقوق کارکنان محلی'!A163" display="حقوق،بازخريدي و...كاركنان بومي      کد برنامه:               شهریور سال"/>
    <hyperlink ref="A7:F7" location="'ریزحقوق کارکنان محلی'!A189" display="حقوق،بازخريدي و...كاركنان بومي      کد برنامه:               مهر سال"/>
    <hyperlink ref="A8:F8" location="'ریزحقوق کارکنان محلی'!A215" display="حقوق،بازخريدي و...كاركنان بومي      کد برنامه:               آبان سال"/>
    <hyperlink ref="A9:F9" location="'ریزحقوق کارکنان محلی'!A241" display="حقوق،بازخريدي و...كاركنان بومي      کد برنامه:               آذر سال"/>
    <hyperlink ref="A10:F10" location="'ریزحقوق کارکنان محلی'!A267" display="حقوق،بازخريدي و...كاركنان بومي      کد برنامه:               دی سال"/>
    <hyperlink ref="A11:F11" location="'ریزحقوق کارکنان محلی'!A293" display="حقوق،بازخريدي و...كاركنان بومي      کد برنامه:               بهمن سال"/>
    <hyperlink ref="A12:F12" location="'ریزحقوق کارکنان محلی'!A319" display="حقوق،بازخريدي و...كاركنان بومي      کد برنامه:               اسفند سال"/>
  </hyperlinks>
  <pageMargins left="0.39370078740157483" right="0.39370078740157483" top="0.59055118110236227" bottom="0.59055118110236227" header="0.31496062992125984" footer="0.31496062992125984"/>
  <pageSetup paperSize="9" orientation="landscape" horizontalDpi="300" verticalDpi="300" r:id="rId1"/>
</worksheet>
</file>

<file path=xl/worksheets/sheet8.xml><?xml version="1.0" encoding="utf-8"?>
<worksheet xmlns="http://schemas.openxmlformats.org/spreadsheetml/2006/main" xmlns:r="http://schemas.openxmlformats.org/officeDocument/2006/relationships">
  <sheetPr>
    <tabColor rgb="FF00B0F0"/>
  </sheetPr>
  <dimension ref="A1:F29"/>
  <sheetViews>
    <sheetView rightToLeft="1" zoomScale="90" zoomScaleNormal="90" workbookViewId="0">
      <selection activeCell="K10" sqref="K10"/>
    </sheetView>
  </sheetViews>
  <sheetFormatPr defaultRowHeight="15"/>
  <cols>
    <col min="1" max="1" width="4.7109375" style="5" customWidth="1"/>
    <col min="2" max="2" width="30.7109375" style="5" customWidth="1"/>
    <col min="3" max="6" width="12.5703125" style="5" customWidth="1"/>
  </cols>
  <sheetData>
    <row r="1" spans="1:6" ht="21" customHeight="1">
      <c r="A1" s="241" t="s">
        <v>213</v>
      </c>
      <c r="B1" s="241"/>
      <c r="C1" s="241"/>
      <c r="D1" s="241"/>
    </row>
    <row r="2" spans="1:6" ht="21" customHeight="1">
      <c r="A2" s="89" t="s">
        <v>214</v>
      </c>
      <c r="B2" s="89"/>
      <c r="C2" s="89"/>
      <c r="D2" s="89"/>
    </row>
    <row r="3" spans="1:6" ht="21" customHeight="1" thickBot="1">
      <c r="A3" s="295" t="s">
        <v>215</v>
      </c>
      <c r="B3" s="295"/>
      <c r="C3" s="295"/>
      <c r="D3" s="111" t="s">
        <v>185</v>
      </c>
      <c r="E3" s="107" t="e">
        <f>تسعير!E34</f>
        <v>#DIV/0!</v>
      </c>
    </row>
    <row r="4" spans="1:6" ht="21" customHeight="1">
      <c r="A4" s="109" t="s">
        <v>173</v>
      </c>
      <c r="B4" s="64" t="s">
        <v>209</v>
      </c>
      <c r="C4" s="64" t="s">
        <v>17</v>
      </c>
      <c r="D4" s="64" t="s">
        <v>210</v>
      </c>
      <c r="E4" s="64" t="s">
        <v>211</v>
      </c>
      <c r="F4" s="110" t="s">
        <v>212</v>
      </c>
    </row>
    <row r="5" spans="1:6" ht="21" customHeight="1">
      <c r="A5" s="197">
        <v>1</v>
      </c>
      <c r="B5" s="108" t="s">
        <v>220</v>
      </c>
      <c r="C5" s="70">
        <f>'ریزحقوق کارکنان محلی'!E47</f>
        <v>0</v>
      </c>
      <c r="D5" s="70">
        <f>'ریزحقوق کارکنان محلی'!G47</f>
        <v>0</v>
      </c>
      <c r="E5" s="70">
        <f>'ریزحقوق کارکنان محلی'!D47</f>
        <v>0</v>
      </c>
      <c r="F5" s="199" t="e">
        <f>'ریزحقوق کارکنان محلی'!H47</f>
        <v>#DIV/0!</v>
      </c>
    </row>
    <row r="6" spans="1:6" ht="21" customHeight="1">
      <c r="A6" s="197">
        <v>2</v>
      </c>
      <c r="B6" s="108" t="s">
        <v>221</v>
      </c>
      <c r="C6" s="70">
        <f>'ریزحقوق کارکنان محلی'!E73</f>
        <v>0</v>
      </c>
      <c r="D6" s="70">
        <f>'ریزحقوق کارکنان محلی'!G73</f>
        <v>0</v>
      </c>
      <c r="E6" s="70">
        <f>'ریزحقوق کارکنان محلی'!D73</f>
        <v>0</v>
      </c>
      <c r="F6" s="58" t="e">
        <f>'ریزحقوق کارکنان محلی'!H73</f>
        <v>#DIV/0!</v>
      </c>
    </row>
    <row r="7" spans="1:6" ht="21" customHeight="1">
      <c r="A7" s="197">
        <v>3</v>
      </c>
      <c r="B7" s="108" t="s">
        <v>222</v>
      </c>
      <c r="C7" s="70">
        <f>'ریزحقوق کارکنان محلی'!E99</f>
        <v>0</v>
      </c>
      <c r="D7" s="70">
        <f>'ریزحقوق کارکنان محلی'!G99</f>
        <v>0</v>
      </c>
      <c r="E7" s="70">
        <f>'ریزحقوق کارکنان محلی'!D99</f>
        <v>0</v>
      </c>
      <c r="F7" s="58" t="e">
        <f>'ریزحقوق کارکنان محلی'!H99</f>
        <v>#DIV/0!</v>
      </c>
    </row>
    <row r="8" spans="1:6" ht="21" customHeight="1">
      <c r="A8" s="197">
        <v>4</v>
      </c>
      <c r="B8" s="108" t="s">
        <v>223</v>
      </c>
      <c r="C8" s="70">
        <f>'ریزحقوق کارکنان محلی'!E125</f>
        <v>0</v>
      </c>
      <c r="D8" s="70">
        <f>'ریزحقوق کارکنان محلی'!G125</f>
        <v>0</v>
      </c>
      <c r="E8" s="70">
        <f>'ریزحقوق کارکنان محلی'!D125</f>
        <v>0</v>
      </c>
      <c r="F8" s="58" t="e">
        <f>'ریزحقوق کارکنان محلی'!H125</f>
        <v>#DIV/0!</v>
      </c>
    </row>
    <row r="9" spans="1:6" ht="21" customHeight="1">
      <c r="A9" s="197">
        <v>5</v>
      </c>
      <c r="B9" s="108" t="s">
        <v>224</v>
      </c>
      <c r="C9" s="70">
        <f>'ریزحقوق کارکنان محلی'!E151</f>
        <v>0</v>
      </c>
      <c r="D9" s="70">
        <f>'ریزحقوق کارکنان محلی'!G151</f>
        <v>0</v>
      </c>
      <c r="E9" s="70">
        <f>'ریزحقوق کارکنان محلی'!D151</f>
        <v>0</v>
      </c>
      <c r="F9" s="58" t="e">
        <f>'ریزحقوق کارکنان محلی'!H151</f>
        <v>#DIV/0!</v>
      </c>
    </row>
    <row r="10" spans="1:6" ht="21" customHeight="1">
      <c r="A10" s="197">
        <v>6</v>
      </c>
      <c r="B10" s="108" t="s">
        <v>225</v>
      </c>
      <c r="C10" s="70">
        <f>'ریزحقوق کارکنان محلی'!E177</f>
        <v>0</v>
      </c>
      <c r="D10" s="70">
        <f>'ریزحقوق کارکنان محلی'!G177</f>
        <v>0</v>
      </c>
      <c r="E10" s="70">
        <f>'ریزحقوق کارکنان محلی'!D177</f>
        <v>0</v>
      </c>
      <c r="F10" s="58" t="e">
        <f>'ریزحقوق کارکنان محلی'!H177</f>
        <v>#DIV/0!</v>
      </c>
    </row>
    <row r="11" spans="1:6" ht="21" customHeight="1">
      <c r="A11" s="197">
        <v>7</v>
      </c>
      <c r="B11" s="108" t="s">
        <v>226</v>
      </c>
      <c r="C11" s="70">
        <f>'ریزحقوق کارکنان محلی'!E203</f>
        <v>0</v>
      </c>
      <c r="D11" s="70">
        <f>'ریزحقوق کارکنان محلی'!G203</f>
        <v>0</v>
      </c>
      <c r="E11" s="70">
        <f>'ریزحقوق کارکنان محلی'!D203</f>
        <v>0</v>
      </c>
      <c r="F11" s="58" t="e">
        <f>'ریزحقوق کارکنان محلی'!H203</f>
        <v>#DIV/0!</v>
      </c>
    </row>
    <row r="12" spans="1:6" ht="21" customHeight="1">
      <c r="A12" s="197">
        <v>8</v>
      </c>
      <c r="B12" s="108" t="s">
        <v>227</v>
      </c>
      <c r="C12" s="70">
        <f>'ریزحقوق کارکنان محلی'!E229</f>
        <v>0</v>
      </c>
      <c r="D12" s="70">
        <f>'ریزحقوق کارکنان محلی'!G229</f>
        <v>0</v>
      </c>
      <c r="E12" s="70">
        <f>'ریزحقوق کارکنان محلی'!D229</f>
        <v>0</v>
      </c>
      <c r="F12" s="58" t="e">
        <f>'ریزحقوق کارکنان محلی'!H229</f>
        <v>#DIV/0!</v>
      </c>
    </row>
    <row r="13" spans="1:6" ht="21" customHeight="1">
      <c r="A13" s="197">
        <v>9</v>
      </c>
      <c r="B13" s="108" t="s">
        <v>228</v>
      </c>
      <c r="C13" s="70">
        <f>'ریزحقوق کارکنان محلی'!E255</f>
        <v>0</v>
      </c>
      <c r="D13" s="70">
        <f>'ریزحقوق کارکنان محلی'!G255</f>
        <v>0</v>
      </c>
      <c r="E13" s="70">
        <f>'ریزحقوق کارکنان محلی'!D255</f>
        <v>0</v>
      </c>
      <c r="F13" s="58" t="e">
        <f>'ریزحقوق کارکنان محلی'!H255</f>
        <v>#DIV/0!</v>
      </c>
    </row>
    <row r="14" spans="1:6" ht="21" customHeight="1">
      <c r="A14" s="197">
        <v>10</v>
      </c>
      <c r="B14" s="108" t="s">
        <v>229</v>
      </c>
      <c r="C14" s="70">
        <f>'ریزحقوق کارکنان محلی'!E281</f>
        <v>0</v>
      </c>
      <c r="D14" s="70">
        <f>'ریزحقوق کارکنان محلی'!G281</f>
        <v>0</v>
      </c>
      <c r="E14" s="70">
        <f>'ریزحقوق کارکنان محلی'!D281</f>
        <v>0</v>
      </c>
      <c r="F14" s="58" t="e">
        <f>'ریزحقوق کارکنان محلی'!H281</f>
        <v>#DIV/0!</v>
      </c>
    </row>
    <row r="15" spans="1:6" ht="21" customHeight="1">
      <c r="A15" s="197">
        <v>11</v>
      </c>
      <c r="B15" s="108" t="s">
        <v>230</v>
      </c>
      <c r="C15" s="70">
        <f>'ریزحقوق کارکنان محلی'!E307</f>
        <v>0</v>
      </c>
      <c r="D15" s="70">
        <f>'ریزحقوق کارکنان محلی'!G307</f>
        <v>0</v>
      </c>
      <c r="E15" s="70">
        <f>'ریزحقوق کارکنان محلی'!D307</f>
        <v>0</v>
      </c>
      <c r="F15" s="58" t="e">
        <f>'ریزحقوق کارکنان محلی'!H307</f>
        <v>#DIV/0!</v>
      </c>
    </row>
    <row r="16" spans="1:6" ht="21" customHeight="1">
      <c r="A16" s="197">
        <v>12</v>
      </c>
      <c r="B16" s="108" t="s">
        <v>231</v>
      </c>
      <c r="C16" s="70">
        <f>'ریزحقوق کارکنان محلی'!E333</f>
        <v>0</v>
      </c>
      <c r="D16" s="70">
        <f>'ریزحقوق کارکنان محلی'!G333</f>
        <v>0</v>
      </c>
      <c r="E16" s="70">
        <f>'ریزحقوق کارکنان محلی'!D333</f>
        <v>0</v>
      </c>
      <c r="F16" s="58" t="e">
        <f>'ریزحقوق کارکنان محلی'!H333</f>
        <v>#DIV/0!</v>
      </c>
    </row>
    <row r="17" spans="1:6" ht="21" customHeight="1">
      <c r="A17" s="197">
        <v>13</v>
      </c>
      <c r="B17" s="108" t="s">
        <v>232</v>
      </c>
      <c r="C17" s="19"/>
      <c r="D17" s="19"/>
      <c r="E17" s="19"/>
      <c r="F17" s="46"/>
    </row>
    <row r="18" spans="1:6" ht="21" customHeight="1">
      <c r="A18" s="197">
        <v>14</v>
      </c>
      <c r="B18" s="108" t="s">
        <v>233</v>
      </c>
      <c r="C18" s="19"/>
      <c r="D18" s="19"/>
      <c r="E18" s="19"/>
      <c r="F18" s="46"/>
    </row>
    <row r="19" spans="1:6" ht="21" customHeight="1">
      <c r="A19" s="197">
        <v>15</v>
      </c>
      <c r="B19" s="108" t="s">
        <v>236</v>
      </c>
      <c r="C19" s="19"/>
      <c r="D19" s="19"/>
      <c r="E19" s="19"/>
      <c r="F19" s="46"/>
    </row>
    <row r="20" spans="1:6" ht="21" customHeight="1">
      <c r="A20" s="197">
        <v>16</v>
      </c>
      <c r="B20" s="108" t="s">
        <v>235</v>
      </c>
      <c r="C20" s="19"/>
      <c r="D20" s="19"/>
      <c r="E20" s="19"/>
      <c r="F20" s="46"/>
    </row>
    <row r="21" spans="1:6" ht="21" customHeight="1">
      <c r="A21" s="197">
        <v>17</v>
      </c>
      <c r="B21" s="108" t="s">
        <v>234</v>
      </c>
      <c r="C21" s="19"/>
      <c r="D21" s="19"/>
      <c r="E21" s="19"/>
      <c r="F21" s="46"/>
    </row>
    <row r="22" spans="1:6" ht="21" customHeight="1">
      <c r="A22" s="197">
        <v>18</v>
      </c>
      <c r="B22" s="108"/>
      <c r="C22" s="19"/>
      <c r="D22" s="19"/>
      <c r="E22" s="19"/>
      <c r="F22" s="46"/>
    </row>
    <row r="23" spans="1:6" ht="21" customHeight="1">
      <c r="A23" s="197">
        <v>19</v>
      </c>
      <c r="B23" s="108"/>
      <c r="C23" s="19"/>
      <c r="D23" s="19"/>
      <c r="E23" s="19"/>
      <c r="F23" s="46"/>
    </row>
    <row r="24" spans="1:6" ht="21" customHeight="1">
      <c r="A24" s="197">
        <v>20</v>
      </c>
      <c r="B24" s="108"/>
      <c r="C24" s="19"/>
      <c r="D24" s="19"/>
      <c r="E24" s="19"/>
      <c r="F24" s="46"/>
    </row>
    <row r="25" spans="1:6" ht="21" customHeight="1">
      <c r="A25" s="293" t="s">
        <v>182</v>
      </c>
      <c r="B25" s="294"/>
      <c r="C25" s="70">
        <f>SUM(C5:C24)</f>
        <v>0</v>
      </c>
      <c r="D25" s="70">
        <f>SUM(D5:D24)</f>
        <v>0</v>
      </c>
      <c r="E25" s="70">
        <f>SUM(E5:E24)</f>
        <v>0</v>
      </c>
      <c r="F25" s="58" t="e">
        <f>SUM(F5:F24)</f>
        <v>#DIV/0!</v>
      </c>
    </row>
    <row r="26" spans="1:6" ht="21" customHeight="1" thickBot="1">
      <c r="A26" s="296" t="s">
        <v>219</v>
      </c>
      <c r="B26" s="297"/>
      <c r="C26" s="297"/>
      <c r="D26" s="298">
        <f>E25+D25</f>
        <v>0</v>
      </c>
      <c r="E26" s="298"/>
      <c r="F26" s="59" t="e">
        <f>F25</f>
        <v>#DIV/0!</v>
      </c>
    </row>
    <row r="27" spans="1:6">
      <c r="A27" s="290" t="s">
        <v>218</v>
      </c>
      <c r="B27" s="291"/>
      <c r="C27" s="291"/>
      <c r="D27" s="291"/>
      <c r="E27" s="291"/>
      <c r="F27" s="291"/>
    </row>
    <row r="28" spans="1:6">
      <c r="A28" s="292"/>
      <c r="B28" s="292"/>
      <c r="C28" s="292"/>
      <c r="D28" s="292"/>
      <c r="E28" s="292"/>
      <c r="F28" s="292"/>
    </row>
    <row r="29" spans="1:6">
      <c r="A29" s="272" t="s">
        <v>216</v>
      </c>
      <c r="B29" s="272"/>
      <c r="D29" s="272" t="s">
        <v>217</v>
      </c>
      <c r="E29" s="272"/>
    </row>
  </sheetData>
  <mergeCells count="8">
    <mergeCell ref="A1:D1"/>
    <mergeCell ref="A27:F28"/>
    <mergeCell ref="A29:B29"/>
    <mergeCell ref="D29:E29"/>
    <mergeCell ref="A25:B25"/>
    <mergeCell ref="A3:C3"/>
    <mergeCell ref="A26:C26"/>
    <mergeCell ref="D26:E26"/>
  </mergeCells>
  <pageMargins left="0.39370078740157483" right="0.59055118110236227" top="0.39370078740157483" bottom="0.39370078740157483" header="0.31496062992125984" footer="0.31496062992125984"/>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dimension ref="A1:H25"/>
  <sheetViews>
    <sheetView rightToLeft="1" zoomScale="90" zoomScaleNormal="90" workbookViewId="0">
      <selection sqref="A1:H1"/>
    </sheetView>
  </sheetViews>
  <sheetFormatPr defaultRowHeight="15"/>
  <cols>
    <col min="1" max="1" width="4.7109375" customWidth="1"/>
    <col min="2" max="2" width="50.7109375" customWidth="1"/>
    <col min="3" max="3" width="10.7109375" customWidth="1"/>
    <col min="4" max="6" width="12.7109375" customWidth="1"/>
    <col min="7" max="7" width="17.7109375" customWidth="1"/>
    <col min="8" max="8" width="12.7109375" customWidth="1"/>
  </cols>
  <sheetData>
    <row r="1" spans="1:8" ht="21" customHeight="1">
      <c r="A1" s="303" t="s">
        <v>237</v>
      </c>
      <c r="B1" s="303"/>
      <c r="C1" s="303"/>
      <c r="D1" s="303"/>
      <c r="E1" s="303"/>
      <c r="F1" s="303"/>
      <c r="G1" s="303"/>
      <c r="H1" s="303"/>
    </row>
    <row r="2" spans="1:8" ht="21" customHeight="1">
      <c r="A2" s="303" t="s">
        <v>238</v>
      </c>
      <c r="B2" s="303"/>
      <c r="C2" s="303"/>
      <c r="D2" s="303"/>
      <c r="E2" s="303"/>
      <c r="F2" s="303"/>
      <c r="G2" s="303"/>
      <c r="H2" s="303"/>
    </row>
    <row r="3" spans="1:8" ht="21" customHeight="1">
      <c r="A3" s="300" t="s">
        <v>239</v>
      </c>
      <c r="B3" s="300"/>
      <c r="C3" s="300"/>
      <c r="D3" s="300"/>
      <c r="E3" s="300"/>
      <c r="F3" s="300"/>
      <c r="G3" s="300"/>
      <c r="H3" s="300"/>
    </row>
    <row r="4" spans="1:8" ht="21" customHeight="1" thickBot="1">
      <c r="A4" s="113"/>
      <c r="B4" s="114"/>
      <c r="C4" s="115"/>
      <c r="D4" s="115"/>
      <c r="E4" s="115"/>
      <c r="F4" s="115"/>
      <c r="G4" s="304" t="s">
        <v>240</v>
      </c>
      <c r="H4" s="304"/>
    </row>
    <row r="5" spans="1:8" ht="21" customHeight="1" thickBot="1">
      <c r="A5" s="116" t="s">
        <v>0</v>
      </c>
      <c r="B5" s="117" t="s">
        <v>314</v>
      </c>
      <c r="C5" s="118" t="s">
        <v>241</v>
      </c>
      <c r="D5" s="118" t="s">
        <v>242</v>
      </c>
      <c r="E5" s="118" t="s">
        <v>243</v>
      </c>
      <c r="F5" s="118" t="s">
        <v>244</v>
      </c>
      <c r="G5" s="119" t="s">
        <v>245</v>
      </c>
      <c r="H5" s="120" t="s">
        <v>246</v>
      </c>
    </row>
    <row r="6" spans="1:8" ht="21" customHeight="1">
      <c r="A6" s="200">
        <v>1</v>
      </c>
      <c r="B6" s="121" t="s">
        <v>247</v>
      </c>
      <c r="C6" s="201">
        <v>753</v>
      </c>
      <c r="D6" s="201" t="s">
        <v>248</v>
      </c>
      <c r="E6" s="201"/>
      <c r="F6" s="201">
        <v>64077</v>
      </c>
      <c r="G6" s="201"/>
      <c r="H6" s="202"/>
    </row>
    <row r="7" spans="1:8" ht="21" customHeight="1">
      <c r="A7" s="200">
        <v>2</v>
      </c>
      <c r="B7" s="122" t="s">
        <v>249</v>
      </c>
      <c r="C7" s="203">
        <v>338</v>
      </c>
      <c r="D7" s="203">
        <v>212878</v>
      </c>
      <c r="E7" s="203" t="s">
        <v>250</v>
      </c>
      <c r="F7" s="203">
        <v>12000</v>
      </c>
      <c r="G7" s="203">
        <v>12000</v>
      </c>
      <c r="H7" s="204"/>
    </row>
    <row r="8" spans="1:8" ht="21" customHeight="1">
      <c r="A8" s="200">
        <v>3</v>
      </c>
      <c r="B8" s="122" t="s">
        <v>251</v>
      </c>
      <c r="C8" s="203">
        <v>407</v>
      </c>
      <c r="D8" s="203" t="s">
        <v>252</v>
      </c>
      <c r="E8" s="203" t="s">
        <v>253</v>
      </c>
      <c r="F8" s="203">
        <v>2000</v>
      </c>
      <c r="G8" s="203">
        <v>2000</v>
      </c>
      <c r="H8" s="204">
        <f>F8-G8</f>
        <v>0</v>
      </c>
    </row>
    <row r="9" spans="1:8" ht="21" customHeight="1">
      <c r="A9" s="200">
        <v>4</v>
      </c>
      <c r="B9" s="122" t="s">
        <v>254</v>
      </c>
      <c r="C9" s="203">
        <v>661</v>
      </c>
      <c r="D9" s="203">
        <v>212555</v>
      </c>
      <c r="E9" s="205" t="s">
        <v>255</v>
      </c>
      <c r="F9" s="203">
        <v>18000</v>
      </c>
      <c r="G9" s="203">
        <v>18000</v>
      </c>
      <c r="H9" s="204">
        <f t="shared" ref="H9:H19" si="0">F9-G9</f>
        <v>0</v>
      </c>
    </row>
    <row r="10" spans="1:8" ht="21" customHeight="1">
      <c r="A10" s="200">
        <v>5</v>
      </c>
      <c r="B10" s="122" t="s">
        <v>256</v>
      </c>
      <c r="C10" s="203">
        <v>680</v>
      </c>
      <c r="D10" s="203" t="s">
        <v>257</v>
      </c>
      <c r="E10" s="203" t="s">
        <v>258</v>
      </c>
      <c r="F10" s="203">
        <v>863</v>
      </c>
      <c r="G10" s="203">
        <v>863</v>
      </c>
      <c r="H10" s="204">
        <f t="shared" si="0"/>
        <v>0</v>
      </c>
    </row>
    <row r="11" spans="1:8" ht="21" customHeight="1">
      <c r="A11" s="200">
        <v>6</v>
      </c>
      <c r="B11" s="122" t="s">
        <v>259</v>
      </c>
      <c r="C11" s="203">
        <v>724</v>
      </c>
      <c r="D11" s="203" t="s">
        <v>260</v>
      </c>
      <c r="E11" s="203" t="s">
        <v>261</v>
      </c>
      <c r="F11" s="203">
        <v>23183</v>
      </c>
      <c r="G11" s="203">
        <v>23183</v>
      </c>
      <c r="H11" s="204">
        <f t="shared" si="0"/>
        <v>0</v>
      </c>
    </row>
    <row r="12" spans="1:8" ht="21" customHeight="1">
      <c r="A12" s="200">
        <v>7</v>
      </c>
      <c r="B12" s="122" t="s">
        <v>262</v>
      </c>
      <c r="C12" s="203">
        <v>779</v>
      </c>
      <c r="D12" s="203" t="s">
        <v>263</v>
      </c>
      <c r="E12" s="203" t="s">
        <v>264</v>
      </c>
      <c r="F12" s="203">
        <v>4143</v>
      </c>
      <c r="G12" s="203">
        <v>4143</v>
      </c>
      <c r="H12" s="204">
        <f t="shared" si="0"/>
        <v>0</v>
      </c>
    </row>
    <row r="13" spans="1:8" ht="21" customHeight="1">
      <c r="A13" s="200">
        <v>8</v>
      </c>
      <c r="B13" s="122" t="s">
        <v>265</v>
      </c>
      <c r="C13" s="203">
        <v>832</v>
      </c>
      <c r="D13" s="203" t="s">
        <v>266</v>
      </c>
      <c r="E13" s="203" t="s">
        <v>267</v>
      </c>
      <c r="F13" s="203">
        <v>50846</v>
      </c>
      <c r="G13" s="203">
        <v>50846</v>
      </c>
      <c r="H13" s="204">
        <f t="shared" si="0"/>
        <v>0</v>
      </c>
    </row>
    <row r="14" spans="1:8" ht="21" customHeight="1">
      <c r="A14" s="200">
        <v>9</v>
      </c>
      <c r="B14" s="122" t="s">
        <v>268</v>
      </c>
      <c r="C14" s="203">
        <v>994</v>
      </c>
      <c r="D14" s="203" t="s">
        <v>269</v>
      </c>
      <c r="E14" s="203" t="s">
        <v>270</v>
      </c>
      <c r="F14" s="203">
        <v>19863</v>
      </c>
      <c r="G14" s="203">
        <v>19863</v>
      </c>
      <c r="H14" s="204">
        <f t="shared" si="0"/>
        <v>0</v>
      </c>
    </row>
    <row r="15" spans="1:8" ht="21" customHeight="1">
      <c r="A15" s="200">
        <v>10</v>
      </c>
      <c r="B15" s="122" t="s">
        <v>271</v>
      </c>
      <c r="C15" s="203">
        <v>1212</v>
      </c>
      <c r="D15" s="203" t="s">
        <v>272</v>
      </c>
      <c r="E15" s="203" t="s">
        <v>273</v>
      </c>
      <c r="F15" s="203">
        <v>51000</v>
      </c>
      <c r="G15" s="203">
        <v>51000</v>
      </c>
      <c r="H15" s="204">
        <f t="shared" si="0"/>
        <v>0</v>
      </c>
    </row>
    <row r="16" spans="1:8" ht="21" customHeight="1">
      <c r="A16" s="200">
        <v>11</v>
      </c>
      <c r="B16" s="122" t="s">
        <v>274</v>
      </c>
      <c r="C16" s="203">
        <v>1234</v>
      </c>
      <c r="D16" s="203" t="s">
        <v>275</v>
      </c>
      <c r="E16" s="203" t="s">
        <v>276</v>
      </c>
      <c r="F16" s="203">
        <v>15000</v>
      </c>
      <c r="G16" s="203">
        <v>15000</v>
      </c>
      <c r="H16" s="204">
        <f t="shared" si="0"/>
        <v>0</v>
      </c>
    </row>
    <row r="17" spans="1:8" ht="21" customHeight="1">
      <c r="A17" s="200">
        <v>12</v>
      </c>
      <c r="B17" s="122" t="s">
        <v>277</v>
      </c>
      <c r="C17" s="203">
        <v>1239</v>
      </c>
      <c r="D17" s="203" t="s">
        <v>278</v>
      </c>
      <c r="E17" s="205" t="s">
        <v>276</v>
      </c>
      <c r="F17" s="203">
        <v>9206</v>
      </c>
      <c r="G17" s="203">
        <v>9206</v>
      </c>
      <c r="H17" s="204">
        <f t="shared" si="0"/>
        <v>0</v>
      </c>
    </row>
    <row r="18" spans="1:8" ht="21" customHeight="1">
      <c r="A18" s="200">
        <v>13</v>
      </c>
      <c r="B18" s="122" t="s">
        <v>279</v>
      </c>
      <c r="C18" s="203">
        <v>1254</v>
      </c>
      <c r="D18" s="203" t="s">
        <v>280</v>
      </c>
      <c r="E18" s="205" t="s">
        <v>276</v>
      </c>
      <c r="F18" s="203">
        <v>5000</v>
      </c>
      <c r="G18" s="203">
        <v>5000</v>
      </c>
      <c r="H18" s="204">
        <f t="shared" si="0"/>
        <v>0</v>
      </c>
    </row>
    <row r="19" spans="1:8" ht="21" customHeight="1" thickBot="1">
      <c r="A19" s="200">
        <v>14</v>
      </c>
      <c r="B19" s="123" t="s">
        <v>281</v>
      </c>
      <c r="C19" s="206">
        <v>1320</v>
      </c>
      <c r="D19" s="206" t="s">
        <v>282</v>
      </c>
      <c r="E19" s="207" t="s">
        <v>283</v>
      </c>
      <c r="F19" s="206">
        <v>1200</v>
      </c>
      <c r="G19" s="206">
        <v>1200</v>
      </c>
      <c r="H19" s="208">
        <f t="shared" si="0"/>
        <v>0</v>
      </c>
    </row>
    <row r="20" spans="1:8" ht="21" customHeight="1" thickBot="1">
      <c r="A20" s="305" t="s">
        <v>284</v>
      </c>
      <c r="B20" s="306"/>
      <c r="C20" s="306"/>
      <c r="D20" s="306"/>
      <c r="E20" s="307"/>
      <c r="F20" s="209">
        <f>SUM(F6:F19)</f>
        <v>276381</v>
      </c>
      <c r="G20" s="209">
        <f>SUM(G6:G19)</f>
        <v>212304</v>
      </c>
      <c r="H20" s="210">
        <f>SUM(H6:H19)</f>
        <v>0</v>
      </c>
    </row>
    <row r="21" spans="1:8" ht="21" customHeight="1">
      <c r="A21" s="308" t="s">
        <v>285</v>
      </c>
      <c r="B21" s="308"/>
      <c r="C21" s="308"/>
      <c r="D21" s="308"/>
      <c r="E21" s="308"/>
      <c r="F21" s="308"/>
      <c r="G21" s="308"/>
      <c r="H21" s="308"/>
    </row>
    <row r="22" spans="1:8" ht="21" customHeight="1">
      <c r="A22" s="299" t="s">
        <v>286</v>
      </c>
      <c r="B22" s="299"/>
      <c r="C22" s="299"/>
      <c r="D22" s="299"/>
      <c r="E22" s="299"/>
      <c r="F22" s="299"/>
      <c r="G22" s="299"/>
      <c r="H22" s="299"/>
    </row>
    <row r="23" spans="1:8" ht="18">
      <c r="A23" s="124"/>
      <c r="B23" s="125"/>
      <c r="C23" s="126"/>
      <c r="D23" s="127"/>
      <c r="E23" s="127"/>
      <c r="F23" s="126"/>
      <c r="G23" s="126"/>
      <c r="H23" s="126"/>
    </row>
    <row r="24" spans="1:8" ht="19.5">
      <c r="A24" s="300" t="s">
        <v>287</v>
      </c>
      <c r="B24" s="300"/>
      <c r="C24" s="300"/>
      <c r="D24" s="127"/>
      <c r="E24" s="127"/>
      <c r="F24" s="301" t="s">
        <v>288</v>
      </c>
      <c r="G24" s="302"/>
      <c r="H24" s="302"/>
    </row>
    <row r="25" spans="1:8">
      <c r="A25" s="124"/>
      <c r="B25" s="125"/>
      <c r="C25" s="126"/>
      <c r="D25" s="126"/>
      <c r="E25" s="126"/>
      <c r="F25" s="126"/>
      <c r="G25" s="126"/>
      <c r="H25" s="126"/>
    </row>
  </sheetData>
  <mergeCells count="9">
    <mergeCell ref="A22:H22"/>
    <mergeCell ref="A24:C24"/>
    <mergeCell ref="F24:H24"/>
    <mergeCell ref="A1:H1"/>
    <mergeCell ref="A2:H2"/>
    <mergeCell ref="A3:H3"/>
    <mergeCell ref="G4:H4"/>
    <mergeCell ref="A20:E20"/>
    <mergeCell ref="A21:H21"/>
  </mergeCells>
  <pageMargins left="0.39370078740157483" right="0.59055118110236227" top="0.39370078740157483" bottom="0.78740157480314965" header="0.31496062992125984" footer="0.31496062992125984"/>
  <pageSetup paperSize="9" orientation="landscape" verticalDpi="1200" r:id="rId1"/>
</worksheet>
</file>

<file path=xl/worksheets/sheet10.xml><?xml version="1.0" encoding="utf-8"?>
<worksheet xmlns="http://schemas.openxmlformats.org/spreadsheetml/2006/main" xmlns:r="http://schemas.openxmlformats.org/officeDocument/2006/relationships">
  <dimension ref="A1:H21"/>
  <sheetViews>
    <sheetView rightToLeft="1" zoomScale="90" zoomScaleNormal="90" workbookViewId="0">
      <selection activeCell="B11" sqref="B11"/>
    </sheetView>
  </sheetViews>
  <sheetFormatPr defaultRowHeight="15"/>
  <cols>
    <col min="1" max="1" width="4.7109375" customWidth="1"/>
    <col min="2" max="2" width="30.7109375" customWidth="1"/>
    <col min="3" max="7" width="15.7109375" customWidth="1"/>
    <col min="8" max="8" width="20.7109375" customWidth="1"/>
  </cols>
  <sheetData>
    <row r="1" spans="1:8" ht="25.5" customHeight="1">
      <c r="A1" s="309" t="s">
        <v>310</v>
      </c>
      <c r="B1" s="309"/>
      <c r="C1" s="309"/>
      <c r="D1" s="309"/>
      <c r="E1" s="162"/>
    </row>
    <row r="2" spans="1:8" ht="25.5" customHeight="1" thickBot="1">
      <c r="A2" s="310"/>
      <c r="B2" s="310"/>
      <c r="C2" s="310"/>
      <c r="D2" s="310"/>
    </row>
    <row r="3" spans="1:8" ht="24" customHeight="1">
      <c r="A3" s="163" t="s">
        <v>0</v>
      </c>
      <c r="B3" s="164" t="s">
        <v>309</v>
      </c>
      <c r="C3" s="164" t="s">
        <v>304</v>
      </c>
      <c r="D3" s="164" t="s">
        <v>305</v>
      </c>
      <c r="E3" s="164" t="s">
        <v>313</v>
      </c>
      <c r="F3" s="164" t="s">
        <v>306</v>
      </c>
      <c r="G3" s="164" t="s">
        <v>307</v>
      </c>
      <c r="H3" s="165" t="s">
        <v>308</v>
      </c>
    </row>
    <row r="4" spans="1:8" ht="24" customHeight="1">
      <c r="A4" s="196">
        <v>1</v>
      </c>
      <c r="B4" s="167"/>
      <c r="C4" s="1"/>
      <c r="D4" s="1"/>
      <c r="E4" s="1"/>
      <c r="F4" s="1"/>
      <c r="G4" s="1"/>
      <c r="H4" s="168"/>
    </row>
    <row r="5" spans="1:8" ht="24" customHeight="1">
      <c r="A5" s="196">
        <v>2</v>
      </c>
      <c r="B5" s="167"/>
      <c r="C5" s="1"/>
      <c r="D5" s="1"/>
      <c r="E5" s="1"/>
      <c r="F5" s="1"/>
      <c r="G5" s="1"/>
      <c r="H5" s="168"/>
    </row>
    <row r="6" spans="1:8" ht="24" customHeight="1">
      <c r="A6" s="196">
        <v>3</v>
      </c>
      <c r="B6" s="167"/>
      <c r="C6" s="1"/>
      <c r="D6" s="1"/>
      <c r="E6" s="1"/>
      <c r="F6" s="1"/>
      <c r="G6" s="1"/>
      <c r="H6" s="168"/>
    </row>
    <row r="7" spans="1:8" ht="24" customHeight="1">
      <c r="A7" s="196">
        <v>4</v>
      </c>
      <c r="B7" s="167"/>
      <c r="C7" s="1"/>
      <c r="D7" s="1"/>
      <c r="E7" s="1"/>
      <c r="F7" s="1"/>
      <c r="G7" s="1"/>
      <c r="H7" s="168"/>
    </row>
    <row r="8" spans="1:8" ht="24" customHeight="1">
      <c r="A8" s="196">
        <v>5</v>
      </c>
      <c r="B8" s="167"/>
      <c r="C8" s="1"/>
      <c r="D8" s="1"/>
      <c r="E8" s="1"/>
      <c r="F8" s="1"/>
      <c r="G8" s="1"/>
      <c r="H8" s="168"/>
    </row>
    <row r="9" spans="1:8" ht="24" customHeight="1">
      <c r="A9" s="196">
        <v>6</v>
      </c>
      <c r="B9" s="167"/>
      <c r="C9" s="1"/>
      <c r="D9" s="1"/>
      <c r="E9" s="1"/>
      <c r="F9" s="1"/>
      <c r="G9" s="1"/>
      <c r="H9" s="168"/>
    </row>
    <row r="10" spans="1:8" ht="24" customHeight="1">
      <c r="A10" s="196">
        <v>7</v>
      </c>
      <c r="B10" s="167"/>
      <c r="C10" s="1"/>
      <c r="D10" s="1"/>
      <c r="E10" s="1"/>
      <c r="F10" s="1"/>
      <c r="G10" s="1"/>
      <c r="H10" s="168"/>
    </row>
    <row r="11" spans="1:8" ht="24" customHeight="1">
      <c r="A11" s="196">
        <v>8</v>
      </c>
      <c r="B11" s="167"/>
      <c r="C11" s="1"/>
      <c r="D11" s="1"/>
      <c r="E11" s="1"/>
      <c r="F11" s="1"/>
      <c r="G11" s="1"/>
      <c r="H11" s="168"/>
    </row>
    <row r="12" spans="1:8" ht="24" customHeight="1">
      <c r="A12" s="196">
        <v>9</v>
      </c>
      <c r="B12" s="167"/>
      <c r="C12" s="1"/>
      <c r="D12" s="1"/>
      <c r="E12" s="1"/>
      <c r="F12" s="1"/>
      <c r="G12" s="1"/>
      <c r="H12" s="168"/>
    </row>
    <row r="13" spans="1:8" ht="24" customHeight="1">
      <c r="A13" s="196">
        <v>10</v>
      </c>
      <c r="B13" s="167"/>
      <c r="C13" s="1"/>
      <c r="D13" s="1"/>
      <c r="E13" s="1"/>
      <c r="F13" s="1"/>
      <c r="G13" s="1"/>
      <c r="H13" s="168"/>
    </row>
    <row r="14" spans="1:8" ht="24" customHeight="1">
      <c r="A14" s="196">
        <v>11</v>
      </c>
      <c r="B14" s="167"/>
      <c r="C14" s="1"/>
      <c r="D14" s="1"/>
      <c r="E14" s="1"/>
      <c r="F14" s="1"/>
      <c r="G14" s="1"/>
      <c r="H14" s="168"/>
    </row>
    <row r="15" spans="1:8" ht="24" customHeight="1">
      <c r="A15" s="196">
        <v>12</v>
      </c>
      <c r="B15" s="167"/>
      <c r="C15" s="1"/>
      <c r="D15" s="1"/>
      <c r="E15" s="1"/>
      <c r="F15" s="1"/>
      <c r="G15" s="1"/>
      <c r="H15" s="168"/>
    </row>
    <row r="16" spans="1:8" ht="24" customHeight="1">
      <c r="A16" s="196">
        <v>13</v>
      </c>
      <c r="B16" s="167"/>
      <c r="C16" s="1"/>
      <c r="D16" s="1"/>
      <c r="E16" s="1"/>
      <c r="F16" s="1"/>
      <c r="G16" s="1"/>
      <c r="H16" s="168"/>
    </row>
    <row r="17" spans="1:8" ht="24" customHeight="1">
      <c r="A17" s="196">
        <v>14</v>
      </c>
      <c r="B17" s="167"/>
      <c r="C17" s="1"/>
      <c r="D17" s="1"/>
      <c r="E17" s="1"/>
      <c r="F17" s="1"/>
      <c r="G17" s="1"/>
      <c r="H17" s="168"/>
    </row>
    <row r="18" spans="1:8" ht="24" customHeight="1">
      <c r="A18" s="196">
        <v>15</v>
      </c>
      <c r="B18" s="167"/>
      <c r="C18" s="1"/>
      <c r="D18" s="1"/>
      <c r="E18" s="1"/>
      <c r="F18" s="1"/>
      <c r="G18" s="1"/>
      <c r="H18" s="168"/>
    </row>
    <row r="19" spans="1:8" ht="24" customHeight="1" thickBot="1">
      <c r="A19" s="311" t="s">
        <v>315</v>
      </c>
      <c r="B19" s="312"/>
      <c r="C19" s="170"/>
      <c r="D19" s="166"/>
      <c r="E19" s="166"/>
      <c r="F19" s="166"/>
      <c r="G19" s="166"/>
      <c r="H19" s="169"/>
    </row>
    <row r="21" spans="1:8" ht="15.75">
      <c r="A21" s="309" t="s">
        <v>312</v>
      </c>
      <c r="B21" s="309"/>
      <c r="C21" s="309"/>
      <c r="F21" s="309" t="s">
        <v>311</v>
      </c>
      <c r="G21" s="309"/>
      <c r="H21" s="309"/>
    </row>
  </sheetData>
  <mergeCells count="5">
    <mergeCell ref="A1:D1"/>
    <mergeCell ref="A21:C21"/>
    <mergeCell ref="F21:H21"/>
    <mergeCell ref="A2:D2"/>
    <mergeCell ref="A19:B19"/>
  </mergeCells>
  <pageMargins left="0.25" right="0.65" top="0.5" bottom="0.75" header="0.3" footer="0.3"/>
  <pageSetup paperSize="9" orientation="landscape" verticalDpi="1200" r:id="rId1"/>
</worksheet>
</file>

<file path=xl/worksheets/sheet11.xml><?xml version="1.0" encoding="utf-8"?>
<worksheet xmlns="http://schemas.openxmlformats.org/spreadsheetml/2006/main" xmlns:r="http://schemas.openxmlformats.org/officeDocument/2006/relationships">
  <dimension ref="A1:K29"/>
  <sheetViews>
    <sheetView rightToLeft="1" zoomScale="70" zoomScaleNormal="70" workbookViewId="0">
      <selection sqref="A1:K3"/>
    </sheetView>
  </sheetViews>
  <sheetFormatPr defaultRowHeight="15"/>
  <cols>
    <col min="1" max="1" width="5.7109375" bestFit="1" customWidth="1"/>
    <col min="2" max="2" width="16.7109375" customWidth="1"/>
    <col min="3" max="3" width="51.28515625" customWidth="1"/>
    <col min="4" max="10" width="12.5703125" customWidth="1"/>
    <col min="11" max="11" width="20.85546875" customWidth="1"/>
  </cols>
  <sheetData>
    <row r="1" spans="1:11">
      <c r="A1" s="314" t="s">
        <v>353</v>
      </c>
      <c r="B1" s="314"/>
      <c r="C1" s="314"/>
      <c r="D1" s="314"/>
      <c r="E1" s="314"/>
      <c r="F1" s="314"/>
      <c r="G1" s="314"/>
      <c r="H1" s="314"/>
      <c r="I1" s="314"/>
      <c r="J1" s="314"/>
      <c r="K1" s="314"/>
    </row>
    <row r="2" spans="1:11">
      <c r="A2" s="314"/>
      <c r="B2" s="314"/>
      <c r="C2" s="314"/>
      <c r="D2" s="314"/>
      <c r="E2" s="314"/>
      <c r="F2" s="314"/>
      <c r="G2" s="314"/>
      <c r="H2" s="314"/>
      <c r="I2" s="314"/>
      <c r="J2" s="314"/>
      <c r="K2" s="314"/>
    </row>
    <row r="3" spans="1:11">
      <c r="A3" s="314"/>
      <c r="B3" s="314"/>
      <c r="C3" s="314"/>
      <c r="D3" s="314"/>
      <c r="E3" s="314"/>
      <c r="F3" s="314"/>
      <c r="G3" s="314"/>
      <c r="H3" s="314"/>
      <c r="I3" s="314"/>
      <c r="J3" s="314"/>
      <c r="K3" s="314"/>
    </row>
    <row r="4" spans="1:11" ht="24">
      <c r="A4" s="315" t="s">
        <v>317</v>
      </c>
      <c r="B4" s="316" t="s">
        <v>318</v>
      </c>
      <c r="C4" s="317" t="s">
        <v>319</v>
      </c>
      <c r="D4" s="185" t="s">
        <v>320</v>
      </c>
      <c r="E4" s="186" t="s">
        <v>321</v>
      </c>
      <c r="F4" s="187" t="s">
        <v>322</v>
      </c>
      <c r="G4" s="188" t="s">
        <v>323</v>
      </c>
      <c r="H4" s="189" t="s">
        <v>324</v>
      </c>
      <c r="I4" s="186" t="s">
        <v>325</v>
      </c>
      <c r="J4" s="190" t="s">
        <v>307</v>
      </c>
      <c r="K4" s="318" t="s">
        <v>350</v>
      </c>
    </row>
    <row r="5" spans="1:11" ht="24">
      <c r="A5" s="315"/>
      <c r="B5" s="316"/>
      <c r="C5" s="317"/>
      <c r="D5" s="185" t="s">
        <v>304</v>
      </c>
      <c r="E5" s="186" t="s">
        <v>346</v>
      </c>
      <c r="F5" s="187" t="s">
        <v>326</v>
      </c>
      <c r="G5" s="188" t="s">
        <v>327</v>
      </c>
      <c r="H5" s="189" t="s">
        <v>328</v>
      </c>
      <c r="I5" s="186" t="s">
        <v>329</v>
      </c>
      <c r="J5" s="190" t="s">
        <v>323</v>
      </c>
      <c r="K5" s="319"/>
    </row>
    <row r="6" spans="1:11" ht="24">
      <c r="A6" s="172">
        <v>1</v>
      </c>
      <c r="B6" s="194">
        <v>921211515</v>
      </c>
      <c r="C6" s="173" t="s">
        <v>330</v>
      </c>
      <c r="D6" s="182">
        <v>0</v>
      </c>
      <c r="E6" s="175">
        <v>0</v>
      </c>
      <c r="F6" s="192">
        <f>E6/E28</f>
        <v>0</v>
      </c>
      <c r="G6" s="183">
        <v>6345.5</v>
      </c>
      <c r="H6" s="191">
        <f t="shared" ref="H6:H11" si="0">F6+G6</f>
        <v>6345.5</v>
      </c>
      <c r="I6" s="175">
        <v>1000</v>
      </c>
      <c r="J6" s="193">
        <f>I6-H6</f>
        <v>-5345.5</v>
      </c>
      <c r="K6" s="184">
        <v>9</v>
      </c>
    </row>
    <row r="7" spans="1:11" ht="24">
      <c r="A7" s="172">
        <v>2</v>
      </c>
      <c r="B7" s="194">
        <v>9212115144</v>
      </c>
      <c r="C7" s="173" t="s">
        <v>331</v>
      </c>
      <c r="D7" s="182">
        <v>0</v>
      </c>
      <c r="E7" s="175">
        <v>3539.25</v>
      </c>
      <c r="F7" s="192">
        <f>E7/E28</f>
        <v>1497.7782479898435</v>
      </c>
      <c r="G7" s="183">
        <v>2200</v>
      </c>
      <c r="H7" s="191">
        <f t="shared" si="0"/>
        <v>3697.7782479898433</v>
      </c>
      <c r="I7" s="175">
        <v>1000</v>
      </c>
      <c r="J7" s="193">
        <f t="shared" ref="J7:J26" si="1">I7-H7</f>
        <v>-2697.7782479898433</v>
      </c>
      <c r="K7" s="184">
        <v>72</v>
      </c>
    </row>
    <row r="8" spans="1:11" ht="24">
      <c r="A8" s="172">
        <v>3</v>
      </c>
      <c r="B8" s="194">
        <v>9212115145</v>
      </c>
      <c r="C8" s="173" t="s">
        <v>332</v>
      </c>
      <c r="D8" s="182">
        <v>0</v>
      </c>
      <c r="E8" s="175">
        <v>982.83</v>
      </c>
      <c r="F8" s="192">
        <f>E8/E28</f>
        <v>415.92467202708423</v>
      </c>
      <c r="G8" s="183">
        <v>0</v>
      </c>
      <c r="H8" s="191">
        <f t="shared" si="0"/>
        <v>415.92467202708423</v>
      </c>
      <c r="I8" s="175">
        <v>3000</v>
      </c>
      <c r="J8" s="193">
        <f t="shared" si="1"/>
        <v>2584.0753279729156</v>
      </c>
      <c r="K8" s="184">
        <v>2</v>
      </c>
    </row>
    <row r="9" spans="1:11" ht="24">
      <c r="A9" s="172">
        <v>4</v>
      </c>
      <c r="B9" s="194">
        <v>9212115146</v>
      </c>
      <c r="C9" s="173" t="s">
        <v>333</v>
      </c>
      <c r="D9" s="182">
        <v>0</v>
      </c>
      <c r="E9" s="175">
        <v>3805.34</v>
      </c>
      <c r="F9" s="192">
        <f>E9/E28</f>
        <v>1610.3851036817605</v>
      </c>
      <c r="G9" s="183">
        <v>0</v>
      </c>
      <c r="H9" s="191">
        <f t="shared" si="0"/>
        <v>1610.3851036817605</v>
      </c>
      <c r="I9" s="175">
        <v>1500</v>
      </c>
      <c r="J9" s="193">
        <f t="shared" si="1"/>
        <v>-110.38510368176048</v>
      </c>
      <c r="K9" s="184">
        <v>2</v>
      </c>
    </row>
    <row r="10" spans="1:11" ht="24">
      <c r="A10" s="172">
        <v>5</v>
      </c>
      <c r="B10" s="194">
        <v>9212115147</v>
      </c>
      <c r="C10" s="174" t="s">
        <v>334</v>
      </c>
      <c r="D10" s="182">
        <v>0</v>
      </c>
      <c r="E10" s="175">
        <v>3481.6</v>
      </c>
      <c r="F10" s="192">
        <f>E10/E28</f>
        <v>1473.3812949640287</v>
      </c>
      <c r="G10" s="183">
        <v>0</v>
      </c>
      <c r="H10" s="191">
        <f t="shared" si="0"/>
        <v>1473.3812949640287</v>
      </c>
      <c r="I10" s="175">
        <v>552</v>
      </c>
      <c r="J10" s="193">
        <f t="shared" si="1"/>
        <v>-921.38129496402871</v>
      </c>
      <c r="K10" s="184">
        <v>2</v>
      </c>
    </row>
    <row r="11" spans="1:11" ht="24">
      <c r="A11" s="172">
        <v>6</v>
      </c>
      <c r="B11" s="194">
        <v>9212115148</v>
      </c>
      <c r="C11" s="179" t="s">
        <v>351</v>
      </c>
      <c r="D11" s="182">
        <v>0</v>
      </c>
      <c r="E11" s="175">
        <v>5061.33</v>
      </c>
      <c r="F11" s="192">
        <f>E11/E28</f>
        <v>2141.9085907744393</v>
      </c>
      <c r="G11" s="183">
        <v>0</v>
      </c>
      <c r="H11" s="191">
        <f t="shared" si="0"/>
        <v>2141.9085907744393</v>
      </c>
      <c r="I11" s="175">
        <v>255</v>
      </c>
      <c r="J11" s="193">
        <f t="shared" si="1"/>
        <v>-1886.9085907744393</v>
      </c>
      <c r="K11" s="184">
        <v>2</v>
      </c>
    </row>
    <row r="12" spans="1:11" ht="24">
      <c r="A12" s="172">
        <v>7</v>
      </c>
      <c r="B12" s="194">
        <v>9212115149</v>
      </c>
      <c r="C12" s="174" t="s">
        <v>335</v>
      </c>
      <c r="D12" s="182">
        <v>0</v>
      </c>
      <c r="E12" s="175">
        <v>219</v>
      </c>
      <c r="F12" s="192">
        <f>E12/E28</f>
        <v>92.678798137960214</v>
      </c>
      <c r="G12" s="183">
        <v>0</v>
      </c>
      <c r="H12" s="191">
        <f>F12+G12</f>
        <v>92.678798137960214</v>
      </c>
      <c r="I12" s="175">
        <v>266</v>
      </c>
      <c r="J12" s="193">
        <f t="shared" si="1"/>
        <v>173.3212018620398</v>
      </c>
      <c r="K12" s="184">
        <v>5</v>
      </c>
    </row>
    <row r="13" spans="1:11" ht="24">
      <c r="A13" s="172">
        <v>8</v>
      </c>
      <c r="B13" s="194">
        <v>9212115150</v>
      </c>
      <c r="C13" s="174" t="s">
        <v>336</v>
      </c>
      <c r="D13" s="182">
        <v>0</v>
      </c>
      <c r="E13" s="175">
        <v>1157.81</v>
      </c>
      <c r="F13" s="192">
        <f>E13/E28</f>
        <v>489.97460854845531</v>
      </c>
      <c r="G13" s="183">
        <v>0</v>
      </c>
      <c r="H13" s="191">
        <f>F13+G13</f>
        <v>489.97460854845531</v>
      </c>
      <c r="I13" s="175">
        <v>2</v>
      </c>
      <c r="J13" s="193">
        <f t="shared" si="1"/>
        <v>-487.97460854845531</v>
      </c>
      <c r="K13" s="184">
        <v>22</v>
      </c>
    </row>
    <row r="14" spans="1:11" ht="24">
      <c r="A14" s="172">
        <v>9</v>
      </c>
      <c r="B14" s="194">
        <v>9212115151</v>
      </c>
      <c r="C14" s="174" t="s">
        <v>337</v>
      </c>
      <c r="D14" s="182">
        <v>0</v>
      </c>
      <c r="E14" s="175">
        <v>0</v>
      </c>
      <c r="F14" s="192">
        <f>E14/E28</f>
        <v>0</v>
      </c>
      <c r="G14" s="183">
        <v>0</v>
      </c>
      <c r="H14" s="191">
        <v>0</v>
      </c>
      <c r="I14" s="175">
        <v>66</v>
      </c>
      <c r="J14" s="193">
        <f t="shared" si="1"/>
        <v>66</v>
      </c>
      <c r="K14" s="184">
        <v>2</v>
      </c>
    </row>
    <row r="15" spans="1:11" ht="24">
      <c r="A15" s="172">
        <v>10</v>
      </c>
      <c r="B15" s="194">
        <v>9212115154</v>
      </c>
      <c r="C15" s="174" t="s">
        <v>338</v>
      </c>
      <c r="D15" s="182">
        <v>0</v>
      </c>
      <c r="E15" s="175">
        <v>7254.14</v>
      </c>
      <c r="F15" s="192">
        <f>E15/E28</f>
        <v>3069.8857384680491</v>
      </c>
      <c r="G15" s="183">
        <v>0</v>
      </c>
      <c r="H15" s="191">
        <f t="shared" ref="H15:I26" si="2">F15+G15</f>
        <v>3069.8857384680491</v>
      </c>
      <c r="I15" s="175">
        <v>6</v>
      </c>
      <c r="J15" s="193">
        <f t="shared" si="1"/>
        <v>-3063.8857384680491</v>
      </c>
      <c r="K15" s="184">
        <v>25</v>
      </c>
    </row>
    <row r="16" spans="1:11" ht="24">
      <c r="A16" s="172">
        <v>11</v>
      </c>
      <c r="B16" s="194"/>
      <c r="C16" s="179"/>
      <c r="D16" s="182">
        <v>0</v>
      </c>
      <c r="E16" s="175">
        <v>0</v>
      </c>
      <c r="F16" s="192">
        <f>E16/E28</f>
        <v>0</v>
      </c>
      <c r="G16" s="183">
        <v>0</v>
      </c>
      <c r="H16" s="191">
        <f t="shared" ref="H16:H21" si="3">G16+F16</f>
        <v>0</v>
      </c>
      <c r="I16" s="175">
        <v>26</v>
      </c>
      <c r="J16" s="193">
        <f t="shared" si="1"/>
        <v>26</v>
      </c>
      <c r="K16" s="184">
        <v>5</v>
      </c>
    </row>
    <row r="17" spans="1:11" ht="24">
      <c r="A17" s="172">
        <v>12</v>
      </c>
      <c r="B17" s="194"/>
      <c r="C17" s="179"/>
      <c r="D17" s="182">
        <v>0</v>
      </c>
      <c r="E17" s="175">
        <v>0</v>
      </c>
      <c r="F17" s="192">
        <f>E17/E28</f>
        <v>0</v>
      </c>
      <c r="G17" s="183">
        <v>0</v>
      </c>
      <c r="H17" s="191">
        <f t="shared" si="3"/>
        <v>0</v>
      </c>
      <c r="I17" s="175">
        <f t="shared" si="2"/>
        <v>0</v>
      </c>
      <c r="J17" s="193">
        <f t="shared" si="1"/>
        <v>0</v>
      </c>
      <c r="K17" s="184">
        <v>5</v>
      </c>
    </row>
    <row r="18" spans="1:11" ht="24">
      <c r="A18" s="172">
        <v>13</v>
      </c>
      <c r="B18" s="194"/>
      <c r="C18" s="179"/>
      <c r="D18" s="182">
        <v>0</v>
      </c>
      <c r="E18" s="175">
        <v>0</v>
      </c>
      <c r="F18" s="192">
        <f>E18/E28</f>
        <v>0</v>
      </c>
      <c r="G18" s="183">
        <v>0</v>
      </c>
      <c r="H18" s="191">
        <f t="shared" si="3"/>
        <v>0</v>
      </c>
      <c r="I18" s="175">
        <v>6</v>
      </c>
      <c r="J18" s="193">
        <f t="shared" si="1"/>
        <v>6</v>
      </c>
      <c r="K18" s="184">
        <v>5</v>
      </c>
    </row>
    <row r="19" spans="1:11" ht="24">
      <c r="A19" s="172">
        <v>14</v>
      </c>
      <c r="B19" s="194"/>
      <c r="C19" s="179"/>
      <c r="D19" s="182">
        <v>0</v>
      </c>
      <c r="E19" s="175">
        <v>0</v>
      </c>
      <c r="F19" s="192">
        <f>E19/E28</f>
        <v>0</v>
      </c>
      <c r="G19" s="183">
        <v>0</v>
      </c>
      <c r="H19" s="191">
        <f t="shared" si="3"/>
        <v>0</v>
      </c>
      <c r="I19" s="175">
        <v>26</v>
      </c>
      <c r="J19" s="193">
        <f t="shared" si="1"/>
        <v>26</v>
      </c>
      <c r="K19" s="184">
        <v>5</v>
      </c>
    </row>
    <row r="20" spans="1:11" ht="24">
      <c r="A20" s="172">
        <v>15</v>
      </c>
      <c r="B20" s="194"/>
      <c r="C20" s="179"/>
      <c r="D20" s="182">
        <v>0</v>
      </c>
      <c r="E20" s="175">
        <v>0</v>
      </c>
      <c r="F20" s="192">
        <f>E20/E28</f>
        <v>0</v>
      </c>
      <c r="G20" s="183">
        <v>0</v>
      </c>
      <c r="H20" s="191">
        <f t="shared" si="3"/>
        <v>0</v>
      </c>
      <c r="I20" s="175">
        <v>2</v>
      </c>
      <c r="J20" s="193">
        <f t="shared" si="1"/>
        <v>2</v>
      </c>
      <c r="K20" s="184">
        <v>55</v>
      </c>
    </row>
    <row r="21" spans="1:11" ht="24">
      <c r="A21" s="172">
        <v>16</v>
      </c>
      <c r="B21" s="194"/>
      <c r="C21" s="179"/>
      <c r="D21" s="182">
        <v>0</v>
      </c>
      <c r="E21" s="175">
        <v>0</v>
      </c>
      <c r="F21" s="192">
        <f>E21/E28</f>
        <v>0</v>
      </c>
      <c r="G21" s="183"/>
      <c r="H21" s="191">
        <f t="shared" si="3"/>
        <v>0</v>
      </c>
      <c r="I21" s="175">
        <v>6</v>
      </c>
      <c r="J21" s="193">
        <f t="shared" si="1"/>
        <v>6</v>
      </c>
      <c r="K21" s="184">
        <v>5</v>
      </c>
    </row>
    <row r="22" spans="1:11" ht="24">
      <c r="A22" s="172">
        <v>17</v>
      </c>
      <c r="B22" s="194">
        <v>9212115155</v>
      </c>
      <c r="C22" s="173" t="s">
        <v>339</v>
      </c>
      <c r="D22" s="182">
        <v>0</v>
      </c>
      <c r="E22" s="175">
        <v>0</v>
      </c>
      <c r="F22" s="192">
        <f>E22/E28</f>
        <v>0</v>
      </c>
      <c r="G22" s="183">
        <v>770</v>
      </c>
      <c r="H22" s="191">
        <f t="shared" si="2"/>
        <v>770</v>
      </c>
      <c r="I22" s="175">
        <v>62</v>
      </c>
      <c r="J22" s="193">
        <f t="shared" si="1"/>
        <v>-708</v>
      </c>
      <c r="K22" s="184">
        <v>25</v>
      </c>
    </row>
    <row r="23" spans="1:11" ht="24">
      <c r="A23" s="172">
        <v>18</v>
      </c>
      <c r="B23" s="194">
        <v>9212115157</v>
      </c>
      <c r="C23" s="173" t="s">
        <v>340</v>
      </c>
      <c r="D23" s="182">
        <v>0</v>
      </c>
      <c r="E23" s="175">
        <v>0</v>
      </c>
      <c r="F23" s="192">
        <f>E23/E28</f>
        <v>0</v>
      </c>
      <c r="G23" s="183">
        <v>10992</v>
      </c>
      <c r="H23" s="191">
        <f t="shared" si="2"/>
        <v>10992</v>
      </c>
      <c r="I23" s="175">
        <v>6</v>
      </c>
      <c r="J23" s="193">
        <f t="shared" si="1"/>
        <v>-10986</v>
      </c>
      <c r="K23" s="184">
        <v>41</v>
      </c>
    </row>
    <row r="24" spans="1:11" ht="24">
      <c r="A24" s="172">
        <v>19</v>
      </c>
      <c r="B24" s="194">
        <v>9212115157</v>
      </c>
      <c r="C24" s="173" t="s">
        <v>341</v>
      </c>
      <c r="D24" s="182">
        <v>0</v>
      </c>
      <c r="E24" s="175">
        <v>0</v>
      </c>
      <c r="F24" s="192">
        <f>E24/E28</f>
        <v>0</v>
      </c>
      <c r="G24" s="183">
        <v>600</v>
      </c>
      <c r="H24" s="191">
        <f t="shared" si="2"/>
        <v>600</v>
      </c>
      <c r="I24" s="175">
        <v>66</v>
      </c>
      <c r="J24" s="193">
        <f t="shared" si="1"/>
        <v>-534</v>
      </c>
      <c r="K24" s="184">
        <v>12</v>
      </c>
    </row>
    <row r="25" spans="1:11" ht="24">
      <c r="A25" s="172">
        <v>20</v>
      </c>
      <c r="B25" s="194">
        <v>0</v>
      </c>
      <c r="C25" s="173" t="s">
        <v>342</v>
      </c>
      <c r="D25" s="182">
        <v>0</v>
      </c>
      <c r="E25" s="175">
        <v>18138</v>
      </c>
      <c r="F25" s="192">
        <f>E25/E28</f>
        <v>7675.8358019466777</v>
      </c>
      <c r="G25" s="183">
        <v>0</v>
      </c>
      <c r="H25" s="191">
        <f t="shared" si="2"/>
        <v>7675.8358019466777</v>
      </c>
      <c r="I25" s="175">
        <v>26</v>
      </c>
      <c r="J25" s="193">
        <f t="shared" si="1"/>
        <v>-7649.8358019466777</v>
      </c>
      <c r="K25" s="184">
        <v>14</v>
      </c>
    </row>
    <row r="26" spans="1:11" ht="24">
      <c r="A26" s="172">
        <v>21</v>
      </c>
      <c r="B26" s="194">
        <v>0</v>
      </c>
      <c r="C26" s="173" t="s">
        <v>343</v>
      </c>
      <c r="D26" s="182">
        <v>0</v>
      </c>
      <c r="E26" s="175">
        <v>0</v>
      </c>
      <c r="F26" s="192">
        <f>E26/E28</f>
        <v>0</v>
      </c>
      <c r="G26" s="183">
        <v>3000</v>
      </c>
      <c r="H26" s="191">
        <f t="shared" si="2"/>
        <v>3000</v>
      </c>
      <c r="I26" s="175">
        <v>2</v>
      </c>
      <c r="J26" s="193">
        <f t="shared" si="1"/>
        <v>-2998</v>
      </c>
      <c r="K26" s="184">
        <v>54</v>
      </c>
    </row>
    <row r="27" spans="1:11" ht="24">
      <c r="A27" s="320" t="s">
        <v>344</v>
      </c>
      <c r="B27" s="320"/>
      <c r="C27" s="320"/>
      <c r="D27" s="182">
        <f t="shared" ref="D27:J27" si="4">SUM(D6:D25)</f>
        <v>0</v>
      </c>
      <c r="E27" s="175">
        <f t="shared" si="4"/>
        <v>43639.3</v>
      </c>
      <c r="F27" s="192">
        <f t="shared" si="4"/>
        <v>18467.752856538296</v>
      </c>
      <c r="G27" s="183">
        <f t="shared" si="4"/>
        <v>20907.5</v>
      </c>
      <c r="H27" s="191">
        <f t="shared" si="4"/>
        <v>39375.252856538296</v>
      </c>
      <c r="I27" s="175">
        <f t="shared" si="4"/>
        <v>7873</v>
      </c>
      <c r="J27" s="193">
        <f t="shared" si="4"/>
        <v>-31502.252856538296</v>
      </c>
      <c r="K27" s="184">
        <f>SUM(K6:K26)</f>
        <v>369</v>
      </c>
    </row>
    <row r="28" spans="1:11" ht="30">
      <c r="A28" s="176"/>
      <c r="B28" s="176"/>
      <c r="C28" s="177" t="s">
        <v>348</v>
      </c>
      <c r="D28" s="180" t="s">
        <v>352</v>
      </c>
      <c r="E28" s="181">
        <v>2.363</v>
      </c>
      <c r="F28" s="178"/>
      <c r="G28" s="313" t="s">
        <v>345</v>
      </c>
      <c r="H28" s="313"/>
      <c r="I28" s="313"/>
      <c r="J28" s="313"/>
      <c r="K28" s="176"/>
    </row>
    <row r="29" spans="1:11" ht="24">
      <c r="A29" s="176"/>
      <c r="B29" s="176"/>
      <c r="C29" s="177" t="s">
        <v>349</v>
      </c>
      <c r="D29" s="178"/>
      <c r="E29" s="178"/>
      <c r="F29" s="178"/>
      <c r="G29" s="313" t="s">
        <v>347</v>
      </c>
      <c r="H29" s="313"/>
      <c r="I29" s="313"/>
      <c r="J29" s="313"/>
      <c r="K29" s="176"/>
    </row>
  </sheetData>
  <mergeCells count="8">
    <mergeCell ref="G28:J28"/>
    <mergeCell ref="G29:J29"/>
    <mergeCell ref="A1:K3"/>
    <mergeCell ref="A4:A5"/>
    <mergeCell ref="B4:B5"/>
    <mergeCell ref="C4:C5"/>
    <mergeCell ref="K4:K5"/>
    <mergeCell ref="A27:C27"/>
  </mergeCells>
  <pageMargins left="0.7" right="0.7" top="0.75" bottom="0.75" header="0.3" footer="0.3"/>
  <pageSetup paperSize="9" scale="68"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تسعير</vt:lpstr>
      <vt:lpstr>ريز جاري</vt:lpstr>
      <vt:lpstr>ريز فرهنگي</vt:lpstr>
      <vt:lpstr>روكش جاري و فرهنگي</vt:lpstr>
      <vt:lpstr>تراز يوروئي و ارزمحل</vt:lpstr>
      <vt:lpstr>تراز تلفيقي</vt:lpstr>
      <vt:lpstr>ریزحقوق کارکنان محلی</vt:lpstr>
      <vt:lpstr>روکش حقوق محلی</vt:lpstr>
      <vt:lpstr>فهرست وجوه ارسالي</vt:lpstr>
      <vt:lpstr>هزينه و انحراف</vt:lpstr>
      <vt:lpstr>هزينه و انحراف 2</vt:lpstr>
    </vt:vector>
  </TitlesOfParts>
  <Company>MRT www.Win2Farsi.com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haghani</dc:creator>
  <cp:lastModifiedBy>4280500053</cp:lastModifiedBy>
  <cp:lastPrinted>2014-02-08T07:28:01Z</cp:lastPrinted>
  <dcterms:created xsi:type="dcterms:W3CDTF">2012-07-28T13:06:49Z</dcterms:created>
  <dcterms:modified xsi:type="dcterms:W3CDTF">2014-02-09T11:53:16Z</dcterms:modified>
</cp:coreProperties>
</file>