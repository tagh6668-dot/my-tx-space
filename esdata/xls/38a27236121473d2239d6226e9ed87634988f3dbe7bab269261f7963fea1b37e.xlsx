
<file path=[Content_Types].xml><?xml version="1.0" encoding="utf-8"?>
<Types xmlns="http://schemas.openxmlformats.org/package/2006/content-types">
  <Default Extension="bin" ContentType="application/vnd.openxmlformats-officedocument.spreadsheetml.printerSettings"/>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45" windowWidth="15135" windowHeight="8130" tabRatio="833" activeTab="5"/>
  </bookViews>
  <sheets>
    <sheet name="تسعير" sheetId="1" r:id="rId1"/>
    <sheet name="ريز جاري" sheetId="5" r:id="rId2"/>
    <sheet name="ريز فرهنگي" sheetId="7" r:id="rId3"/>
    <sheet name="حقوق مرکزی ها" sheetId="15" r:id="rId4"/>
    <sheet name="روكش جاري و فرهنگي" sheetId="3" r:id="rId5"/>
    <sheet name="تراز يوروئي و ارزمحل" sheetId="2" r:id="rId6"/>
    <sheet name="تراز تلفيقي" sheetId="4" r:id="rId7"/>
    <sheet name="ریزحقوق کارکنان محلی" sheetId="8" r:id="rId8"/>
    <sheet name="روکش حقوق محلی" sheetId="9" r:id="rId9"/>
    <sheet name="فهرست وجوه ارسالي" sheetId="10" r:id="rId10"/>
    <sheet name="هزينه و انحراف 2" sheetId="13" r:id="rId11"/>
  </sheets>
  <calcPr calcId="125725"/>
</workbook>
</file>

<file path=xl/calcChain.xml><?xml version="1.0" encoding="utf-8"?>
<calcChain xmlns="http://schemas.openxmlformats.org/spreadsheetml/2006/main">
  <c r="E11" i="1"/>
  <c r="E10"/>
  <c r="E9"/>
  <c r="E8"/>
  <c r="E7"/>
  <c r="D491" i="5"/>
  <c r="D281"/>
  <c r="D29" i="7"/>
  <c r="E5" i="1"/>
  <c r="E68" i="3"/>
  <c r="E67"/>
  <c r="E66"/>
  <c r="E65"/>
  <c r="E64"/>
  <c r="E63"/>
  <c r="E62"/>
  <c r="E61"/>
  <c r="D67"/>
  <c r="D66"/>
  <c r="D64"/>
  <c r="D63"/>
  <c r="E446" i="7"/>
  <c r="D61" i="3" s="1"/>
  <c r="G810" i="7"/>
  <c r="E810"/>
  <c r="D68" i="3" s="1"/>
  <c r="D809" i="7"/>
  <c r="G758"/>
  <c r="E758"/>
  <c r="D757"/>
  <c r="G706"/>
  <c r="E706"/>
  <c r="D705"/>
  <c r="G655"/>
  <c r="E655"/>
  <c r="D65" i="3" s="1"/>
  <c r="D654" i="7"/>
  <c r="G603"/>
  <c r="E603"/>
  <c r="D602"/>
  <c r="G551"/>
  <c r="E551"/>
  <c r="D550"/>
  <c r="G499"/>
  <c r="E499"/>
  <c r="D62" i="3" s="1"/>
  <c r="D498" i="7"/>
  <c r="G446"/>
  <c r="D445"/>
  <c r="E18" i="15"/>
  <c r="F18"/>
  <c r="O34" i="1"/>
  <c r="M34"/>
  <c r="K34"/>
  <c r="N33"/>
  <c r="N32"/>
  <c r="N31"/>
  <c r="N30"/>
  <c r="N29"/>
  <c r="N28"/>
  <c r="N27"/>
  <c r="N26"/>
  <c r="N25"/>
  <c r="N24"/>
  <c r="N23"/>
  <c r="N22"/>
  <c r="N21"/>
  <c r="N20"/>
  <c r="N5"/>
  <c r="L33"/>
  <c r="L32"/>
  <c r="L31"/>
  <c r="L30"/>
  <c r="L29"/>
  <c r="L28"/>
  <c r="L27"/>
  <c r="L26"/>
  <c r="L25"/>
  <c r="L24"/>
  <c r="L23"/>
  <c r="L22"/>
  <c r="L21"/>
  <c r="L20"/>
  <c r="L19"/>
  <c r="L5"/>
  <c r="G18" i="15"/>
  <c r="D18"/>
  <c r="C18"/>
  <c r="J69" i="13"/>
  <c r="K77"/>
  <c r="I77"/>
  <c r="G77"/>
  <c r="E77"/>
  <c r="D77"/>
  <c r="F115" i="1"/>
  <c r="F114"/>
  <c r="D114"/>
  <c r="E113"/>
  <c r="E112"/>
  <c r="E111"/>
  <c r="E110"/>
  <c r="E109"/>
  <c r="E108"/>
  <c r="E107"/>
  <c r="E106"/>
  <c r="E105"/>
  <c r="E104"/>
  <c r="E103"/>
  <c r="E102"/>
  <c r="E101"/>
  <c r="E100"/>
  <c r="E99"/>
  <c r="E98"/>
  <c r="E97"/>
  <c r="E96"/>
  <c r="E95"/>
  <c r="E94"/>
  <c r="E93"/>
  <c r="E92"/>
  <c r="E91"/>
  <c r="E90"/>
  <c r="E89"/>
  <c r="E88"/>
  <c r="E87"/>
  <c r="E86"/>
  <c r="E85"/>
  <c r="F75"/>
  <c r="F74"/>
  <c r="D74"/>
  <c r="E73"/>
  <c r="E72"/>
  <c r="E71"/>
  <c r="E70"/>
  <c r="E69"/>
  <c r="E68"/>
  <c r="E67"/>
  <c r="E66"/>
  <c r="E65"/>
  <c r="E64"/>
  <c r="E63"/>
  <c r="E62"/>
  <c r="E61"/>
  <c r="E60"/>
  <c r="E45"/>
  <c r="D407" i="5"/>
  <c r="D365"/>
  <c r="D323"/>
  <c r="D197"/>
  <c r="D155"/>
  <c r="D113"/>
  <c r="D71"/>
  <c r="D113" i="7"/>
  <c r="D155"/>
  <c r="D239"/>
  <c r="D281"/>
  <c r="D323"/>
  <c r="D365"/>
  <c r="D407"/>
  <c r="J19" i="13"/>
  <c r="G27"/>
  <c r="E27"/>
  <c r="D27"/>
  <c r="C12" i="4"/>
  <c r="B8"/>
  <c r="F8" s="1"/>
  <c r="G20" i="10"/>
  <c r="F20"/>
  <c r="H19"/>
  <c r="H18"/>
  <c r="H17"/>
  <c r="H16"/>
  <c r="H15"/>
  <c r="H14"/>
  <c r="H13"/>
  <c r="H12"/>
  <c r="H11"/>
  <c r="H10"/>
  <c r="H9"/>
  <c r="H8"/>
  <c r="G333" i="8"/>
  <c r="D16" i="9" s="1"/>
  <c r="F333" i="8"/>
  <c r="E333"/>
  <c r="C16" i="9" s="1"/>
  <c r="D333" i="8"/>
  <c r="E16" i="9" s="1"/>
  <c r="G307" i="8"/>
  <c r="D15" i="9" s="1"/>
  <c r="F307" i="8"/>
  <c r="E307"/>
  <c r="C15" i="9" s="1"/>
  <c r="D307" i="8"/>
  <c r="E15" i="9" s="1"/>
  <c r="G281" i="8"/>
  <c r="D14" i="9" s="1"/>
  <c r="F281" i="8"/>
  <c r="E281"/>
  <c r="C14" i="9" s="1"/>
  <c r="D281" i="8"/>
  <c r="E14" i="9" s="1"/>
  <c r="G255" i="8"/>
  <c r="D13" i="9" s="1"/>
  <c r="F255" i="8"/>
  <c r="E255"/>
  <c r="C13" i="9" s="1"/>
  <c r="D255" i="8"/>
  <c r="E13" i="9" s="1"/>
  <c r="G229" i="8"/>
  <c r="D12" i="9" s="1"/>
  <c r="F229" i="8"/>
  <c r="E229"/>
  <c r="C12" i="9" s="1"/>
  <c r="D229" i="8"/>
  <c r="E12" i="9" s="1"/>
  <c r="G203" i="8"/>
  <c r="D11" i="9" s="1"/>
  <c r="F203" i="8"/>
  <c r="E203"/>
  <c r="C11" i="9" s="1"/>
  <c r="D203" i="8"/>
  <c r="E11" i="9" s="1"/>
  <c r="G177" i="8"/>
  <c r="D10" i="9" s="1"/>
  <c r="F177" i="8"/>
  <c r="E177"/>
  <c r="C10" i="9" s="1"/>
  <c r="D177" i="8"/>
  <c r="E10" i="9" s="1"/>
  <c r="G151" i="8"/>
  <c r="D9" i="9" s="1"/>
  <c r="F151" i="8"/>
  <c r="E151"/>
  <c r="C9" i="9" s="1"/>
  <c r="D151" i="8"/>
  <c r="E9" i="9" s="1"/>
  <c r="G125" i="8"/>
  <c r="D8" i="9" s="1"/>
  <c r="F125" i="8"/>
  <c r="E125"/>
  <c r="C8" i="9" s="1"/>
  <c r="D125" i="8"/>
  <c r="E8" i="9" s="1"/>
  <c r="G99" i="8"/>
  <c r="D7" i="9" s="1"/>
  <c r="F99" i="8"/>
  <c r="E99"/>
  <c r="C7" i="9" s="1"/>
  <c r="D99" i="8"/>
  <c r="E7" i="9" s="1"/>
  <c r="G73" i="8"/>
  <c r="D6" i="9" s="1"/>
  <c r="F73" i="8"/>
  <c r="E73"/>
  <c r="C6" i="9" s="1"/>
  <c r="D73" i="8"/>
  <c r="E6" i="9" s="1"/>
  <c r="G47" i="8"/>
  <c r="D5" i="9" s="1"/>
  <c r="F47" i="8"/>
  <c r="E47"/>
  <c r="C5" i="9" s="1"/>
  <c r="D47" i="8"/>
  <c r="E5" i="9" s="1"/>
  <c r="G408" i="7"/>
  <c r="E60" i="3" s="1"/>
  <c r="E408" i="7"/>
  <c r="D60" i="3" s="1"/>
  <c r="G366" i="7"/>
  <c r="E59" i="3" s="1"/>
  <c r="E366" i="7"/>
  <c r="D59" i="3" s="1"/>
  <c r="G324" i="7"/>
  <c r="E58" i="3" s="1"/>
  <c r="E324" i="7"/>
  <c r="D58" i="3" s="1"/>
  <c r="G282" i="7"/>
  <c r="E57" i="3" s="1"/>
  <c r="E282" i="7"/>
  <c r="D57" i="3" s="1"/>
  <c r="G240" i="7"/>
  <c r="E56" i="3" s="1"/>
  <c r="E240" i="7"/>
  <c r="D56" i="3" s="1"/>
  <c r="G198" i="7"/>
  <c r="E55" i="3" s="1"/>
  <c r="E198" i="7"/>
  <c r="G156"/>
  <c r="E54" i="3" s="1"/>
  <c r="E156" i="7"/>
  <c r="G114"/>
  <c r="E53" i="3" s="1"/>
  <c r="E114" i="7"/>
  <c r="G72"/>
  <c r="E52" i="3" s="1"/>
  <c r="E72" i="7"/>
  <c r="D52" i="3" s="1"/>
  <c r="G30" i="7"/>
  <c r="E51" i="3" s="1"/>
  <c r="E30" i="7"/>
  <c r="D51" i="3" s="1"/>
  <c r="E492" i="5"/>
  <c r="D15" i="3" s="1"/>
  <c r="G492" i="5"/>
  <c r="E15" i="3" s="1"/>
  <c r="G450" i="5"/>
  <c r="E14" i="3" s="1"/>
  <c r="E450" i="5"/>
  <c r="D14" i="3" s="1"/>
  <c r="E408" i="5"/>
  <c r="D13" i="3" s="1"/>
  <c r="G408" i="5"/>
  <c r="E13" i="3" s="1"/>
  <c r="G366" i="5"/>
  <c r="E12" i="3" s="1"/>
  <c r="E366" i="5"/>
  <c r="D12" i="3" s="1"/>
  <c r="G324" i="5"/>
  <c r="E11" i="3" s="1"/>
  <c r="E324" i="5"/>
  <c r="D11" i="3" s="1"/>
  <c r="G282" i="5"/>
  <c r="E10" i="3" s="1"/>
  <c r="E282" i="5"/>
  <c r="D10" i="3" s="1"/>
  <c r="G240" i="5"/>
  <c r="E9" i="3" s="1"/>
  <c r="E240" i="5"/>
  <c r="D9" i="3" s="1"/>
  <c r="G198" i="5"/>
  <c r="E8" i="3" s="1"/>
  <c r="E198" i="5"/>
  <c r="D8" i="3" s="1"/>
  <c r="G156" i="5"/>
  <c r="E7" i="3" s="1"/>
  <c r="E156" i="5"/>
  <c r="D7" i="3" s="1"/>
  <c r="G114" i="5"/>
  <c r="E16" i="3" s="1"/>
  <c r="E114" i="5"/>
  <c r="D16" i="3" s="1"/>
  <c r="G72" i="5"/>
  <c r="E6" i="3" s="1"/>
  <c r="E72" i="5"/>
  <c r="D6" i="3" s="1"/>
  <c r="G30" i="5"/>
  <c r="E5" i="3" s="1"/>
  <c r="E30" i="5"/>
  <c r="D5" i="3" s="1"/>
  <c r="F28" i="4"/>
  <c r="F27"/>
  <c r="B18"/>
  <c r="B17"/>
  <c r="B16"/>
  <c r="B15"/>
  <c r="C14"/>
  <c r="B26"/>
  <c r="B25"/>
  <c r="C34"/>
  <c r="C33"/>
  <c r="C31"/>
  <c r="C30"/>
  <c r="G30" s="1"/>
  <c r="B12"/>
  <c r="B7"/>
  <c r="F7" s="1"/>
  <c r="E19" i="1"/>
  <c r="E20"/>
  <c r="E21"/>
  <c r="E22"/>
  <c r="E23"/>
  <c r="E24"/>
  <c r="E25"/>
  <c r="E26"/>
  <c r="E27"/>
  <c r="E28"/>
  <c r="E29"/>
  <c r="E30"/>
  <c r="E31"/>
  <c r="E32"/>
  <c r="E33"/>
  <c r="D34"/>
  <c r="D18" i="2" s="1"/>
  <c r="B19" i="4" s="1"/>
  <c r="F19" s="1"/>
  <c r="F34" i="1"/>
  <c r="E67" i="2" s="1"/>
  <c r="E69" s="1"/>
  <c r="C69"/>
  <c r="B69"/>
  <c r="E31"/>
  <c r="C31"/>
  <c r="B31"/>
  <c r="E6" i="1"/>
  <c r="N34" l="1"/>
  <c r="L34"/>
  <c r="C19" i="15"/>
  <c r="H20" i="10"/>
  <c r="E116" i="1"/>
  <c r="F116"/>
  <c r="E114"/>
  <c r="E76"/>
  <c r="F76"/>
  <c r="E74"/>
  <c r="C25" i="9"/>
  <c r="E25"/>
  <c r="D55" i="3"/>
  <c r="D53"/>
  <c r="D54"/>
  <c r="C35" i="4"/>
  <c r="E81" i="3"/>
  <c r="D21" i="2" s="1"/>
  <c r="B23" i="4" s="1"/>
  <c r="E35" i="3"/>
  <c r="D35"/>
  <c r="D61" i="2" s="1"/>
  <c r="G31" i="4"/>
  <c r="E34" i="1"/>
  <c r="E36"/>
  <c r="E78" i="13" l="1"/>
  <c r="E28"/>
  <c r="D10" i="4"/>
  <c r="F10" s="1"/>
  <c r="E3" i="3"/>
  <c r="G783" i="7"/>
  <c r="G679"/>
  <c r="G576"/>
  <c r="G472"/>
  <c r="D3" i="4"/>
  <c r="E49" i="3"/>
  <c r="G731" i="7"/>
  <c r="G628"/>
  <c r="G524"/>
  <c r="G419"/>
  <c r="D81" i="3"/>
  <c r="D62" i="2" s="1"/>
  <c r="D116" i="1"/>
  <c r="D76"/>
  <c r="I27" i="13"/>
  <c r="H319" i="8"/>
  <c r="H267"/>
  <c r="H215"/>
  <c r="H163"/>
  <c r="H111"/>
  <c r="H59"/>
  <c r="H33"/>
  <c r="E3" i="9"/>
  <c r="H293" i="8"/>
  <c r="H241"/>
  <c r="H189"/>
  <c r="H137"/>
  <c r="H85"/>
  <c r="G339" i="7"/>
  <c r="G255"/>
  <c r="G171"/>
  <c r="G87"/>
  <c r="G381"/>
  <c r="G297"/>
  <c r="G213"/>
  <c r="G129"/>
  <c r="F5" i="3"/>
  <c r="G423" i="5"/>
  <c r="G339"/>
  <c r="G255"/>
  <c r="G171"/>
  <c r="G87"/>
  <c r="G3" i="7"/>
  <c r="G45"/>
  <c r="F93" s="1"/>
  <c r="G465" i="5"/>
  <c r="G381"/>
  <c r="G297"/>
  <c r="G213"/>
  <c r="G129"/>
  <c r="G45"/>
  <c r="D69" i="2"/>
  <c r="F79" i="3"/>
  <c r="F75"/>
  <c r="F77"/>
  <c r="F52"/>
  <c r="F51"/>
  <c r="G3" i="5"/>
  <c r="F57" s="1"/>
  <c r="H57" s="1"/>
  <c r="F80" i="3"/>
  <c r="F78"/>
  <c r="F76"/>
  <c r="F74"/>
  <c r="F53"/>
  <c r="D17" i="4"/>
  <c r="F17" s="1"/>
  <c r="D15"/>
  <c r="F15" s="1"/>
  <c r="E14"/>
  <c r="F7" i="3"/>
  <c r="E33" i="4"/>
  <c r="G33" s="1"/>
  <c r="D26"/>
  <c r="F26" s="1"/>
  <c r="D23"/>
  <c r="F23" s="1"/>
  <c r="D12"/>
  <c r="E45" i="2"/>
  <c r="E12" i="4" s="1"/>
  <c r="D18"/>
  <c r="F18" s="1"/>
  <c r="D16"/>
  <c r="F16" s="1"/>
  <c r="E34"/>
  <c r="G34" s="1"/>
  <c r="E20"/>
  <c r="G20" s="1"/>
  <c r="D25"/>
  <c r="F25" s="1"/>
  <c r="D22"/>
  <c r="D9"/>
  <c r="F72" i="3"/>
  <c r="F70"/>
  <c r="F68"/>
  <c r="F66"/>
  <c r="F64"/>
  <c r="F62"/>
  <c r="F60"/>
  <c r="F58"/>
  <c r="F56"/>
  <c r="F20"/>
  <c r="F18"/>
  <c r="F16"/>
  <c r="F73"/>
  <c r="F71"/>
  <c r="F69"/>
  <c r="F67"/>
  <c r="F65"/>
  <c r="F63"/>
  <c r="F61"/>
  <c r="F59"/>
  <c r="F57"/>
  <c r="F55"/>
  <c r="F19"/>
  <c r="F17"/>
  <c r="F54"/>
  <c r="F33"/>
  <c r="F31"/>
  <c r="F29"/>
  <c r="F27"/>
  <c r="F25"/>
  <c r="F23"/>
  <c r="F21"/>
  <c r="F14"/>
  <c r="F12"/>
  <c r="F10"/>
  <c r="F8"/>
  <c r="F34"/>
  <c r="F32"/>
  <c r="F30"/>
  <c r="F28"/>
  <c r="F26"/>
  <c r="F24"/>
  <c r="F22"/>
  <c r="F15"/>
  <c r="F13"/>
  <c r="F11"/>
  <c r="F9"/>
  <c r="F6"/>
  <c r="F62" i="13" l="1"/>
  <c r="H62" s="1"/>
  <c r="J62" s="1"/>
  <c r="F60"/>
  <c r="H60" s="1"/>
  <c r="J60" s="1"/>
  <c r="F58"/>
  <c r="H58" s="1"/>
  <c r="J58" s="1"/>
  <c r="F56"/>
  <c r="H56" s="1"/>
  <c r="J56" s="1"/>
  <c r="F54"/>
  <c r="H54" s="1"/>
  <c r="J54" s="1"/>
  <c r="F52"/>
  <c r="H52" s="1"/>
  <c r="J52" s="1"/>
  <c r="F50"/>
  <c r="H50" s="1"/>
  <c r="J50" s="1"/>
  <c r="F43"/>
  <c r="H43" s="1"/>
  <c r="J43" s="1"/>
  <c r="F44"/>
  <c r="H44" s="1"/>
  <c r="J44" s="1"/>
  <c r="F46"/>
  <c r="H46" s="1"/>
  <c r="J46" s="1"/>
  <c r="F48"/>
  <c r="H48" s="1"/>
  <c r="J48" s="1"/>
  <c r="F65"/>
  <c r="H65" s="1"/>
  <c r="J65" s="1"/>
  <c r="F67"/>
  <c r="H67" s="1"/>
  <c r="J67" s="1"/>
  <c r="F69"/>
  <c r="F70"/>
  <c r="H70" s="1"/>
  <c r="J70" s="1"/>
  <c r="F71"/>
  <c r="H71" s="1"/>
  <c r="J71" s="1"/>
  <c r="F73"/>
  <c r="H73" s="1"/>
  <c r="J73" s="1"/>
  <c r="F76"/>
  <c r="H76" s="1"/>
  <c r="J76" s="1"/>
  <c r="F63"/>
  <c r="H63" s="1"/>
  <c r="J63" s="1"/>
  <c r="F61"/>
  <c r="H61" s="1"/>
  <c r="J61" s="1"/>
  <c r="F59"/>
  <c r="H59" s="1"/>
  <c r="J59" s="1"/>
  <c r="F57"/>
  <c r="H57" s="1"/>
  <c r="J57" s="1"/>
  <c r="F55"/>
  <c r="H55" s="1"/>
  <c r="J55" s="1"/>
  <c r="F53"/>
  <c r="H53" s="1"/>
  <c r="J53" s="1"/>
  <c r="F51"/>
  <c r="H51" s="1"/>
  <c r="J51" s="1"/>
  <c r="F42"/>
  <c r="F45"/>
  <c r="H45" s="1"/>
  <c r="J45" s="1"/>
  <c r="F47"/>
  <c r="H47" s="1"/>
  <c r="J47" s="1"/>
  <c r="F49"/>
  <c r="H49" s="1"/>
  <c r="J49" s="1"/>
  <c r="F64"/>
  <c r="H64" s="1"/>
  <c r="J64" s="1"/>
  <c r="F66"/>
  <c r="H66" s="1"/>
  <c r="J66" s="1"/>
  <c r="F68"/>
  <c r="H68" s="1"/>
  <c r="J68" s="1"/>
  <c r="F72"/>
  <c r="H72" s="1"/>
  <c r="J72" s="1"/>
  <c r="F74"/>
  <c r="H74" s="1"/>
  <c r="J74" s="1"/>
  <c r="F75"/>
  <c r="H75" s="1"/>
  <c r="J75" s="1"/>
  <c r="F13"/>
  <c r="H13" s="1"/>
  <c r="J13" s="1"/>
  <c r="F15"/>
  <c r="H15" s="1"/>
  <c r="J15" s="1"/>
  <c r="F25"/>
  <c r="H25" s="1"/>
  <c r="J25" s="1"/>
  <c r="F23"/>
  <c r="H23" s="1"/>
  <c r="J23" s="1"/>
  <c r="F18"/>
  <c r="H18" s="1"/>
  <c r="J18" s="1"/>
  <c r="F7"/>
  <c r="H7" s="1"/>
  <c r="J7" s="1"/>
  <c r="F12"/>
  <c r="H12" s="1"/>
  <c r="J12" s="1"/>
  <c r="F11"/>
  <c r="H11" s="1"/>
  <c r="J11" s="1"/>
  <c r="F9"/>
  <c r="H9" s="1"/>
  <c r="J9" s="1"/>
  <c r="F21"/>
  <c r="H21" s="1"/>
  <c r="J21" s="1"/>
  <c r="F14"/>
  <c r="H14" s="1"/>
  <c r="J14" s="1"/>
  <c r="F16"/>
  <c r="H16" s="1"/>
  <c r="J16" s="1"/>
  <c r="F26"/>
  <c r="H26" s="1"/>
  <c r="J26" s="1"/>
  <c r="F24"/>
  <c r="H24" s="1"/>
  <c r="J24" s="1"/>
  <c r="F8"/>
  <c r="H8" s="1"/>
  <c r="J8" s="1"/>
  <c r="K27" s="1"/>
  <c r="F17"/>
  <c r="H17" s="1"/>
  <c r="J17" s="1"/>
  <c r="F19"/>
  <c r="F20"/>
  <c r="H20" s="1"/>
  <c r="J20" s="1"/>
  <c r="F10"/>
  <c r="H10" s="1"/>
  <c r="J10" s="1"/>
  <c r="F22"/>
  <c r="H22" s="1"/>
  <c r="J22" s="1"/>
  <c r="F6"/>
  <c r="F550" i="7"/>
  <c r="H550" s="1"/>
  <c r="F548"/>
  <c r="H548" s="1"/>
  <c r="F546"/>
  <c r="H546" s="1"/>
  <c r="F544"/>
  <c r="H544" s="1"/>
  <c r="F542"/>
  <c r="H542" s="1"/>
  <c r="F540"/>
  <c r="H540" s="1"/>
  <c r="F538"/>
  <c r="H538" s="1"/>
  <c r="F536"/>
  <c r="H536" s="1"/>
  <c r="F534"/>
  <c r="H534" s="1"/>
  <c r="F532"/>
  <c r="H532" s="1"/>
  <c r="F530"/>
  <c r="H530" s="1"/>
  <c r="F528"/>
  <c r="H528" s="1"/>
  <c r="F526"/>
  <c r="H526" s="1"/>
  <c r="F549"/>
  <c r="H549" s="1"/>
  <c r="F547"/>
  <c r="F545"/>
  <c r="H545" s="1"/>
  <c r="F543"/>
  <c r="H543" s="1"/>
  <c r="F541"/>
  <c r="H541" s="1"/>
  <c r="F539"/>
  <c r="H539" s="1"/>
  <c r="F537"/>
  <c r="H537" s="1"/>
  <c r="F535"/>
  <c r="H535" s="1"/>
  <c r="F533"/>
  <c r="H533" s="1"/>
  <c r="F531"/>
  <c r="H531" s="1"/>
  <c r="F529"/>
  <c r="H529" s="1"/>
  <c r="F527"/>
  <c r="H527" s="1"/>
  <c r="F757"/>
  <c r="H757" s="1"/>
  <c r="F755"/>
  <c r="H755" s="1"/>
  <c r="F753"/>
  <c r="H753" s="1"/>
  <c r="F751"/>
  <c r="H751" s="1"/>
  <c r="F749"/>
  <c r="H749" s="1"/>
  <c r="F747"/>
  <c r="H747" s="1"/>
  <c r="F745"/>
  <c r="H745" s="1"/>
  <c r="F743"/>
  <c r="H743" s="1"/>
  <c r="F741"/>
  <c r="H741" s="1"/>
  <c r="F739"/>
  <c r="H739" s="1"/>
  <c r="F737"/>
  <c r="H737" s="1"/>
  <c r="F735"/>
  <c r="H735" s="1"/>
  <c r="F733"/>
  <c r="F756"/>
  <c r="H756" s="1"/>
  <c r="F754"/>
  <c r="H754" s="1"/>
  <c r="F752"/>
  <c r="H752" s="1"/>
  <c r="F750"/>
  <c r="H750" s="1"/>
  <c r="F748"/>
  <c r="H748" s="1"/>
  <c r="F746"/>
  <c r="H746" s="1"/>
  <c r="F744"/>
  <c r="H744" s="1"/>
  <c r="F742"/>
  <c r="H742" s="1"/>
  <c r="F740"/>
  <c r="H740" s="1"/>
  <c r="F738"/>
  <c r="H738" s="1"/>
  <c r="F736"/>
  <c r="H736" s="1"/>
  <c r="F734"/>
  <c r="H734" s="1"/>
  <c r="F601"/>
  <c r="H601" s="1"/>
  <c r="F599"/>
  <c r="H599" s="1"/>
  <c r="F597"/>
  <c r="H597" s="1"/>
  <c r="F595"/>
  <c r="H595" s="1"/>
  <c r="F593"/>
  <c r="H593" s="1"/>
  <c r="F591"/>
  <c r="F589"/>
  <c r="H589" s="1"/>
  <c r="F587"/>
  <c r="H587" s="1"/>
  <c r="F585"/>
  <c r="H585" s="1"/>
  <c r="F583"/>
  <c r="H583" s="1"/>
  <c r="F581"/>
  <c r="H581" s="1"/>
  <c r="F579"/>
  <c r="H579" s="1"/>
  <c r="F602"/>
  <c r="H602" s="1"/>
  <c r="F600"/>
  <c r="H600" s="1"/>
  <c r="F598"/>
  <c r="H598" s="1"/>
  <c r="F596"/>
  <c r="H596" s="1"/>
  <c r="F594"/>
  <c r="H594" s="1"/>
  <c r="F592"/>
  <c r="H592" s="1"/>
  <c r="F590"/>
  <c r="H590" s="1"/>
  <c r="F588"/>
  <c r="H588" s="1"/>
  <c r="F586"/>
  <c r="H586" s="1"/>
  <c r="F584"/>
  <c r="H584" s="1"/>
  <c r="F582"/>
  <c r="H582" s="1"/>
  <c r="F580"/>
  <c r="H580" s="1"/>
  <c r="F578"/>
  <c r="H578" s="1"/>
  <c r="F809"/>
  <c r="H809" s="1"/>
  <c r="F807"/>
  <c r="H807" s="1"/>
  <c r="F805"/>
  <c r="H805" s="1"/>
  <c r="F803"/>
  <c r="H803" s="1"/>
  <c r="F801"/>
  <c r="H801" s="1"/>
  <c r="F799"/>
  <c r="H799" s="1"/>
  <c r="F797"/>
  <c r="H797" s="1"/>
  <c r="F795"/>
  <c r="H795" s="1"/>
  <c r="F793"/>
  <c r="H793" s="1"/>
  <c r="F791"/>
  <c r="H791" s="1"/>
  <c r="F789"/>
  <c r="H789" s="1"/>
  <c r="F787"/>
  <c r="H787" s="1"/>
  <c r="F785"/>
  <c r="F808"/>
  <c r="H808" s="1"/>
  <c r="F806"/>
  <c r="H806" s="1"/>
  <c r="F804"/>
  <c r="H804" s="1"/>
  <c r="F802"/>
  <c r="H802" s="1"/>
  <c r="F800"/>
  <c r="H800" s="1"/>
  <c r="F798"/>
  <c r="H798" s="1"/>
  <c r="F796"/>
  <c r="H796" s="1"/>
  <c r="F794"/>
  <c r="H794" s="1"/>
  <c r="F792"/>
  <c r="H792" s="1"/>
  <c r="F790"/>
  <c r="H790" s="1"/>
  <c r="F788"/>
  <c r="H788" s="1"/>
  <c r="F786"/>
  <c r="H786" s="1"/>
  <c r="F444"/>
  <c r="H444" s="1"/>
  <c r="F442"/>
  <c r="H442" s="1"/>
  <c r="F440"/>
  <c r="H440" s="1"/>
  <c r="F438"/>
  <c r="H438" s="1"/>
  <c r="F436"/>
  <c r="H436" s="1"/>
  <c r="F434"/>
  <c r="H434" s="1"/>
  <c r="F432"/>
  <c r="H432" s="1"/>
  <c r="F430"/>
  <c r="H430" s="1"/>
  <c r="F428"/>
  <c r="H428" s="1"/>
  <c r="F424"/>
  <c r="H424" s="1"/>
  <c r="F426"/>
  <c r="H426" s="1"/>
  <c r="F422"/>
  <c r="H422" s="1"/>
  <c r="F445"/>
  <c r="H445" s="1"/>
  <c r="F443"/>
  <c r="H443" s="1"/>
  <c r="F441"/>
  <c r="H441" s="1"/>
  <c r="F439"/>
  <c r="H439" s="1"/>
  <c r="F437"/>
  <c r="H437" s="1"/>
  <c r="F435"/>
  <c r="H435" s="1"/>
  <c r="F433"/>
  <c r="H433" s="1"/>
  <c r="F431"/>
  <c r="H431" s="1"/>
  <c r="F429"/>
  <c r="H429" s="1"/>
  <c r="F427"/>
  <c r="H427" s="1"/>
  <c r="F425"/>
  <c r="H425" s="1"/>
  <c r="F423"/>
  <c r="H423" s="1"/>
  <c r="F421"/>
  <c r="F654"/>
  <c r="H654" s="1"/>
  <c r="F652"/>
  <c r="H652" s="1"/>
  <c r="F650"/>
  <c r="H650" s="1"/>
  <c r="F648"/>
  <c r="H648" s="1"/>
  <c r="F646"/>
  <c r="H646" s="1"/>
  <c r="F644"/>
  <c r="H644" s="1"/>
  <c r="F642"/>
  <c r="H642" s="1"/>
  <c r="F640"/>
  <c r="H640" s="1"/>
  <c r="F638"/>
  <c r="H638" s="1"/>
  <c r="F636"/>
  <c r="H636" s="1"/>
  <c r="F634"/>
  <c r="H634" s="1"/>
  <c r="F632"/>
  <c r="H632" s="1"/>
  <c r="F630"/>
  <c r="H630" s="1"/>
  <c r="F653"/>
  <c r="H653" s="1"/>
  <c r="F651"/>
  <c r="H651" s="1"/>
  <c r="F649"/>
  <c r="F647"/>
  <c r="H647" s="1"/>
  <c r="F645"/>
  <c r="H645" s="1"/>
  <c r="F643"/>
  <c r="H643" s="1"/>
  <c r="F641"/>
  <c r="H641" s="1"/>
  <c r="F639"/>
  <c r="H639" s="1"/>
  <c r="F637"/>
  <c r="H637" s="1"/>
  <c r="F635"/>
  <c r="H635" s="1"/>
  <c r="F633"/>
  <c r="H633" s="1"/>
  <c r="F631"/>
  <c r="H631" s="1"/>
  <c r="F497"/>
  <c r="H497" s="1"/>
  <c r="F495"/>
  <c r="H495" s="1"/>
  <c r="F493"/>
  <c r="H493" s="1"/>
  <c r="F491"/>
  <c r="H491" s="1"/>
  <c r="F489"/>
  <c r="H489" s="1"/>
  <c r="F487"/>
  <c r="H487" s="1"/>
  <c r="F485"/>
  <c r="H485" s="1"/>
  <c r="F483"/>
  <c r="H483" s="1"/>
  <c r="F481"/>
  <c r="H481" s="1"/>
  <c r="F479"/>
  <c r="H479" s="1"/>
  <c r="F477"/>
  <c r="H477" s="1"/>
  <c r="F475"/>
  <c r="H475" s="1"/>
  <c r="F498"/>
  <c r="H498" s="1"/>
  <c r="F496"/>
  <c r="H496" s="1"/>
  <c r="F494"/>
  <c r="H494" s="1"/>
  <c r="F492"/>
  <c r="H492" s="1"/>
  <c r="F490"/>
  <c r="H490" s="1"/>
  <c r="F488"/>
  <c r="H488" s="1"/>
  <c r="F486"/>
  <c r="H486" s="1"/>
  <c r="F484"/>
  <c r="H484" s="1"/>
  <c r="F482"/>
  <c r="H482" s="1"/>
  <c r="F480"/>
  <c r="H480" s="1"/>
  <c r="F478"/>
  <c r="H478" s="1"/>
  <c r="F476"/>
  <c r="H476" s="1"/>
  <c r="F474"/>
  <c r="F704"/>
  <c r="H704" s="1"/>
  <c r="F702"/>
  <c r="H702" s="1"/>
  <c r="F700"/>
  <c r="H700" s="1"/>
  <c r="F698"/>
  <c r="H698" s="1"/>
  <c r="F696"/>
  <c r="F694"/>
  <c r="H694" s="1"/>
  <c r="F692"/>
  <c r="H692" s="1"/>
  <c r="F690"/>
  <c r="H690" s="1"/>
  <c r="F688"/>
  <c r="H688" s="1"/>
  <c r="F686"/>
  <c r="H686" s="1"/>
  <c r="F684"/>
  <c r="H684" s="1"/>
  <c r="F682"/>
  <c r="H682" s="1"/>
  <c r="F705"/>
  <c r="H705" s="1"/>
  <c r="F703"/>
  <c r="H703" s="1"/>
  <c r="F701"/>
  <c r="H701" s="1"/>
  <c r="F699"/>
  <c r="H699" s="1"/>
  <c r="F697"/>
  <c r="H697" s="1"/>
  <c r="F695"/>
  <c r="H695" s="1"/>
  <c r="F693"/>
  <c r="H693" s="1"/>
  <c r="F691"/>
  <c r="H691" s="1"/>
  <c r="F689"/>
  <c r="H689" s="1"/>
  <c r="F687"/>
  <c r="H687" s="1"/>
  <c r="F685"/>
  <c r="H685" s="1"/>
  <c r="F683"/>
  <c r="H683" s="1"/>
  <c r="F681"/>
  <c r="H681" s="1"/>
  <c r="F35" i="1"/>
  <c r="F36" s="1"/>
  <c r="D36" s="1"/>
  <c r="F12" i="4"/>
  <c r="H98" i="8"/>
  <c r="H88"/>
  <c r="H90"/>
  <c r="H92"/>
  <c r="H94"/>
  <c r="H96"/>
  <c r="H87"/>
  <c r="H89"/>
  <c r="H91"/>
  <c r="H93"/>
  <c r="H95"/>
  <c r="H97"/>
  <c r="H202"/>
  <c r="H192"/>
  <c r="H194"/>
  <c r="H196"/>
  <c r="H198"/>
  <c r="H200"/>
  <c r="H191"/>
  <c r="H193"/>
  <c r="H195"/>
  <c r="H197"/>
  <c r="H199"/>
  <c r="H201"/>
  <c r="H306"/>
  <c r="H296"/>
  <c r="H298"/>
  <c r="H300"/>
  <c r="H302"/>
  <c r="H304"/>
  <c r="H295"/>
  <c r="H297"/>
  <c r="H299"/>
  <c r="H301"/>
  <c r="H303"/>
  <c r="H305"/>
  <c r="H46"/>
  <c r="H36"/>
  <c r="H35"/>
  <c r="H43"/>
  <c r="H39"/>
  <c r="H37"/>
  <c r="H44"/>
  <c r="H42"/>
  <c r="H38"/>
  <c r="H40"/>
  <c r="H41"/>
  <c r="H45"/>
  <c r="H124"/>
  <c r="H113"/>
  <c r="H115"/>
  <c r="H117"/>
  <c r="H119"/>
  <c r="H121"/>
  <c r="H123"/>
  <c r="H114"/>
  <c r="H116"/>
  <c r="H118"/>
  <c r="H120"/>
  <c r="H122"/>
  <c r="H228"/>
  <c r="H217"/>
  <c r="H219"/>
  <c r="H221"/>
  <c r="H223"/>
  <c r="H225"/>
  <c r="H227"/>
  <c r="H218"/>
  <c r="H220"/>
  <c r="H222"/>
  <c r="H224"/>
  <c r="H226"/>
  <c r="H332"/>
  <c r="H321"/>
  <c r="H323"/>
  <c r="H325"/>
  <c r="H327"/>
  <c r="H329"/>
  <c r="H331"/>
  <c r="H322"/>
  <c r="H324"/>
  <c r="H326"/>
  <c r="H328"/>
  <c r="H330"/>
  <c r="H150"/>
  <c r="H140"/>
  <c r="H142"/>
  <c r="H144"/>
  <c r="H146"/>
  <c r="H148"/>
  <c r="H139"/>
  <c r="H141"/>
  <c r="H143"/>
  <c r="H145"/>
  <c r="H147"/>
  <c r="H149"/>
  <c r="H254"/>
  <c r="H244"/>
  <c r="H246"/>
  <c r="H248"/>
  <c r="H250"/>
  <c r="H252"/>
  <c r="H243"/>
  <c r="H245"/>
  <c r="H247"/>
  <c r="H249"/>
  <c r="H251"/>
  <c r="H253"/>
  <c r="H72"/>
  <c r="H61"/>
  <c r="H63"/>
  <c r="H65"/>
  <c r="H67"/>
  <c r="H69"/>
  <c r="H71"/>
  <c r="H62"/>
  <c r="H64"/>
  <c r="H66"/>
  <c r="H68"/>
  <c r="H70"/>
  <c r="H176"/>
  <c r="H165"/>
  <c r="H167"/>
  <c r="H169"/>
  <c r="H171"/>
  <c r="H173"/>
  <c r="H175"/>
  <c r="H166"/>
  <c r="H168"/>
  <c r="H170"/>
  <c r="H172"/>
  <c r="H174"/>
  <c r="H280"/>
  <c r="H269"/>
  <c r="H271"/>
  <c r="H273"/>
  <c r="H275"/>
  <c r="H277"/>
  <c r="H279"/>
  <c r="H270"/>
  <c r="H272"/>
  <c r="H274"/>
  <c r="H276"/>
  <c r="H278"/>
  <c r="F406" i="7"/>
  <c r="H406" s="1"/>
  <c r="F404"/>
  <c r="H404" s="1"/>
  <c r="F402"/>
  <c r="H402" s="1"/>
  <c r="F400"/>
  <c r="H400" s="1"/>
  <c r="F398"/>
  <c r="H398" s="1"/>
  <c r="F396"/>
  <c r="H396" s="1"/>
  <c r="F394"/>
  <c r="H394" s="1"/>
  <c r="F392"/>
  <c r="H392" s="1"/>
  <c r="F387"/>
  <c r="H387" s="1"/>
  <c r="F389"/>
  <c r="H389" s="1"/>
  <c r="F386"/>
  <c r="H386" s="1"/>
  <c r="F384"/>
  <c r="H384" s="1"/>
  <c r="F365"/>
  <c r="H365" s="1"/>
  <c r="F363"/>
  <c r="H363" s="1"/>
  <c r="F361"/>
  <c r="H361" s="1"/>
  <c r="F359"/>
  <c r="H359" s="1"/>
  <c r="F357"/>
  <c r="H357" s="1"/>
  <c r="F355"/>
  <c r="H355" s="1"/>
  <c r="F353"/>
  <c r="H353" s="1"/>
  <c r="F351"/>
  <c r="H351" s="1"/>
  <c r="F349"/>
  <c r="H349" s="1"/>
  <c r="F347"/>
  <c r="H347" s="1"/>
  <c r="F345"/>
  <c r="H345" s="1"/>
  <c r="F343"/>
  <c r="H343" s="1"/>
  <c r="F341"/>
  <c r="H341" s="1"/>
  <c r="F322"/>
  <c r="H322" s="1"/>
  <c r="F320"/>
  <c r="H320" s="1"/>
  <c r="F318"/>
  <c r="H318" s="1"/>
  <c r="F316"/>
  <c r="H316" s="1"/>
  <c r="F314"/>
  <c r="H314" s="1"/>
  <c r="F312"/>
  <c r="H312" s="1"/>
  <c r="F310"/>
  <c r="H310" s="1"/>
  <c r="F308"/>
  <c r="H308" s="1"/>
  <c r="F306"/>
  <c r="H306" s="1"/>
  <c r="F304"/>
  <c r="H304" s="1"/>
  <c r="F302"/>
  <c r="H302" s="1"/>
  <c r="F300"/>
  <c r="H300" s="1"/>
  <c r="F281"/>
  <c r="H281" s="1"/>
  <c r="F279"/>
  <c r="H279" s="1"/>
  <c r="F277"/>
  <c r="H277" s="1"/>
  <c r="F275"/>
  <c r="H275" s="1"/>
  <c r="F273"/>
  <c r="H273" s="1"/>
  <c r="F271"/>
  <c r="H271" s="1"/>
  <c r="F269"/>
  <c r="H269" s="1"/>
  <c r="F267"/>
  <c r="H267" s="1"/>
  <c r="F265"/>
  <c r="H265" s="1"/>
  <c r="F263"/>
  <c r="H263" s="1"/>
  <c r="F261"/>
  <c r="H261" s="1"/>
  <c r="F259"/>
  <c r="H259" s="1"/>
  <c r="F257"/>
  <c r="H257" s="1"/>
  <c r="F238"/>
  <c r="H238" s="1"/>
  <c r="F236"/>
  <c r="H236" s="1"/>
  <c r="F234"/>
  <c r="H234" s="1"/>
  <c r="F232"/>
  <c r="H232" s="1"/>
  <c r="F230"/>
  <c r="H230" s="1"/>
  <c r="F228"/>
  <c r="H228" s="1"/>
  <c r="F226"/>
  <c r="H226" s="1"/>
  <c r="F224"/>
  <c r="H224" s="1"/>
  <c r="F222"/>
  <c r="H222" s="1"/>
  <c r="F220"/>
  <c r="H220" s="1"/>
  <c r="F218"/>
  <c r="H218" s="1"/>
  <c r="F216"/>
  <c r="H216" s="1"/>
  <c r="F197"/>
  <c r="H197" s="1"/>
  <c r="F195"/>
  <c r="H195" s="1"/>
  <c r="F193"/>
  <c r="H193" s="1"/>
  <c r="F191"/>
  <c r="H191" s="1"/>
  <c r="F189"/>
  <c r="H189" s="1"/>
  <c r="F187"/>
  <c r="H187" s="1"/>
  <c r="F185"/>
  <c r="H185" s="1"/>
  <c r="F183"/>
  <c r="H183" s="1"/>
  <c r="F181"/>
  <c r="H181" s="1"/>
  <c r="F179"/>
  <c r="H179" s="1"/>
  <c r="F177"/>
  <c r="H177" s="1"/>
  <c r="F175"/>
  <c r="H175" s="1"/>
  <c r="F173"/>
  <c r="H173" s="1"/>
  <c r="F154"/>
  <c r="H154" s="1"/>
  <c r="F152"/>
  <c r="H152" s="1"/>
  <c r="F150"/>
  <c r="H150" s="1"/>
  <c r="F148"/>
  <c r="H148" s="1"/>
  <c r="F146"/>
  <c r="H146" s="1"/>
  <c r="F144"/>
  <c r="H144" s="1"/>
  <c r="F142"/>
  <c r="H142" s="1"/>
  <c r="F140"/>
  <c r="H140" s="1"/>
  <c r="F138"/>
  <c r="H138" s="1"/>
  <c r="F136"/>
  <c r="H136" s="1"/>
  <c r="F134"/>
  <c r="H134" s="1"/>
  <c r="F132"/>
  <c r="H132" s="1"/>
  <c r="F113"/>
  <c r="H113" s="1"/>
  <c r="F111"/>
  <c r="F109"/>
  <c r="H109" s="1"/>
  <c r="F107"/>
  <c r="F105"/>
  <c r="H105" s="1"/>
  <c r="F103"/>
  <c r="F101"/>
  <c r="H101" s="1"/>
  <c r="F99"/>
  <c r="F97"/>
  <c r="F95"/>
  <c r="F91"/>
  <c r="H91" s="1"/>
  <c r="F89"/>
  <c r="F407"/>
  <c r="H407" s="1"/>
  <c r="F405"/>
  <c r="H405" s="1"/>
  <c r="F403"/>
  <c r="H403" s="1"/>
  <c r="F401"/>
  <c r="H401" s="1"/>
  <c r="F399"/>
  <c r="H399" s="1"/>
  <c r="F397"/>
  <c r="H397" s="1"/>
  <c r="F395"/>
  <c r="H395" s="1"/>
  <c r="F393"/>
  <c r="H393" s="1"/>
  <c r="F391"/>
  <c r="H391" s="1"/>
  <c r="F390"/>
  <c r="H390" s="1"/>
  <c r="F388"/>
  <c r="H388" s="1"/>
  <c r="F385"/>
  <c r="H385" s="1"/>
  <c r="F383"/>
  <c r="H383" s="1"/>
  <c r="F364"/>
  <c r="H364" s="1"/>
  <c r="F362"/>
  <c r="H362" s="1"/>
  <c r="F360"/>
  <c r="H360" s="1"/>
  <c r="F358"/>
  <c r="H358" s="1"/>
  <c r="F356"/>
  <c r="H356" s="1"/>
  <c r="F354"/>
  <c r="H354" s="1"/>
  <c r="F352"/>
  <c r="H352" s="1"/>
  <c r="F350"/>
  <c r="H350" s="1"/>
  <c r="F348"/>
  <c r="H348" s="1"/>
  <c r="F346"/>
  <c r="H346" s="1"/>
  <c r="F344"/>
  <c r="H344" s="1"/>
  <c r="F342"/>
  <c r="H342" s="1"/>
  <c r="F323"/>
  <c r="H323" s="1"/>
  <c r="F321"/>
  <c r="H321" s="1"/>
  <c r="F319"/>
  <c r="H319" s="1"/>
  <c r="F317"/>
  <c r="H317" s="1"/>
  <c r="F315"/>
  <c r="H315" s="1"/>
  <c r="F313"/>
  <c r="H313" s="1"/>
  <c r="F311"/>
  <c r="H311" s="1"/>
  <c r="F309"/>
  <c r="H309" s="1"/>
  <c r="F307"/>
  <c r="H307" s="1"/>
  <c r="F305"/>
  <c r="H305" s="1"/>
  <c r="F303"/>
  <c r="H303" s="1"/>
  <c r="F301"/>
  <c r="H301" s="1"/>
  <c r="F299"/>
  <c r="H299" s="1"/>
  <c r="F280"/>
  <c r="H280" s="1"/>
  <c r="F278"/>
  <c r="H278" s="1"/>
  <c r="F276"/>
  <c r="H276" s="1"/>
  <c r="F274"/>
  <c r="H274" s="1"/>
  <c r="F272"/>
  <c r="H272" s="1"/>
  <c r="F270"/>
  <c r="H270" s="1"/>
  <c r="F268"/>
  <c r="H268" s="1"/>
  <c r="F266"/>
  <c r="H266" s="1"/>
  <c r="F264"/>
  <c r="H264" s="1"/>
  <c r="F262"/>
  <c r="H262" s="1"/>
  <c r="F260"/>
  <c r="H260" s="1"/>
  <c r="F258"/>
  <c r="H258" s="1"/>
  <c r="F239"/>
  <c r="H239" s="1"/>
  <c r="F237"/>
  <c r="H237" s="1"/>
  <c r="F235"/>
  <c r="H235" s="1"/>
  <c r="F233"/>
  <c r="H233" s="1"/>
  <c r="F231"/>
  <c r="H231" s="1"/>
  <c r="F229"/>
  <c r="H229" s="1"/>
  <c r="F227"/>
  <c r="H227" s="1"/>
  <c r="F225"/>
  <c r="H225" s="1"/>
  <c r="F223"/>
  <c r="H223" s="1"/>
  <c r="F221"/>
  <c r="H221" s="1"/>
  <c r="F219"/>
  <c r="H219" s="1"/>
  <c r="F217"/>
  <c r="H217" s="1"/>
  <c r="F215"/>
  <c r="H215" s="1"/>
  <c r="F196"/>
  <c r="H196" s="1"/>
  <c r="F194"/>
  <c r="H194" s="1"/>
  <c r="F192"/>
  <c r="H192" s="1"/>
  <c r="F190"/>
  <c r="H190" s="1"/>
  <c r="F188"/>
  <c r="H188" s="1"/>
  <c r="F186"/>
  <c r="H186" s="1"/>
  <c r="F184"/>
  <c r="H184" s="1"/>
  <c r="F182"/>
  <c r="H182" s="1"/>
  <c r="F180"/>
  <c r="H180" s="1"/>
  <c r="F178"/>
  <c r="H178" s="1"/>
  <c r="F176"/>
  <c r="H176" s="1"/>
  <c r="F174"/>
  <c r="H174" s="1"/>
  <c r="F155"/>
  <c r="H155" s="1"/>
  <c r="F153"/>
  <c r="H153" s="1"/>
  <c r="F151"/>
  <c r="H151" s="1"/>
  <c r="F149"/>
  <c r="H149" s="1"/>
  <c r="F147"/>
  <c r="H147" s="1"/>
  <c r="F145"/>
  <c r="H145" s="1"/>
  <c r="F143"/>
  <c r="H143" s="1"/>
  <c r="F141"/>
  <c r="H141" s="1"/>
  <c r="F139"/>
  <c r="H139" s="1"/>
  <c r="F137"/>
  <c r="H137" s="1"/>
  <c r="F135"/>
  <c r="H135" s="1"/>
  <c r="F133"/>
  <c r="H133" s="1"/>
  <c r="F131"/>
  <c r="H131" s="1"/>
  <c r="F112"/>
  <c r="F110"/>
  <c r="H110" s="1"/>
  <c r="F108"/>
  <c r="H108" s="1"/>
  <c r="F106"/>
  <c r="H106" s="1"/>
  <c r="F104"/>
  <c r="H104" s="1"/>
  <c r="F102"/>
  <c r="H102" s="1"/>
  <c r="F100"/>
  <c r="H100" s="1"/>
  <c r="F98"/>
  <c r="H98" s="1"/>
  <c r="F96"/>
  <c r="H96" s="1"/>
  <c r="F94"/>
  <c r="F92"/>
  <c r="H92" s="1"/>
  <c r="F90"/>
  <c r="H90" s="1"/>
  <c r="F198"/>
  <c r="F156"/>
  <c r="F282"/>
  <c r="F366"/>
  <c r="F114"/>
  <c r="F240"/>
  <c r="F324"/>
  <c r="F408"/>
  <c r="H97"/>
  <c r="H95"/>
  <c r="H93"/>
  <c r="H89"/>
  <c r="H112"/>
  <c r="H111"/>
  <c r="H107"/>
  <c r="H103"/>
  <c r="H99"/>
  <c r="H94"/>
  <c r="F71"/>
  <c r="H71" s="1"/>
  <c r="F69"/>
  <c r="H69" s="1"/>
  <c r="F67"/>
  <c r="H67" s="1"/>
  <c r="F65"/>
  <c r="H65" s="1"/>
  <c r="F63"/>
  <c r="H63" s="1"/>
  <c r="F61"/>
  <c r="H61" s="1"/>
  <c r="F59"/>
  <c r="H59" s="1"/>
  <c r="F57"/>
  <c r="H57" s="1"/>
  <c r="F55"/>
  <c r="H55" s="1"/>
  <c r="F53"/>
  <c r="H53" s="1"/>
  <c r="F51"/>
  <c r="H51" s="1"/>
  <c r="F49"/>
  <c r="H49" s="1"/>
  <c r="F47"/>
  <c r="H47" s="1"/>
  <c r="F29"/>
  <c r="H29" s="1"/>
  <c r="F27"/>
  <c r="H27" s="1"/>
  <c r="F25"/>
  <c r="H25" s="1"/>
  <c r="F23"/>
  <c r="H23" s="1"/>
  <c r="F21"/>
  <c r="H21" s="1"/>
  <c r="F19"/>
  <c r="H19" s="1"/>
  <c r="F17"/>
  <c r="H17" s="1"/>
  <c r="F15"/>
  <c r="H15" s="1"/>
  <c r="F13"/>
  <c r="H13" s="1"/>
  <c r="F11"/>
  <c r="H11" s="1"/>
  <c r="F9"/>
  <c r="H9" s="1"/>
  <c r="F7"/>
  <c r="H7" s="1"/>
  <c r="F5"/>
  <c r="H5" s="1"/>
  <c r="F70"/>
  <c r="H70" s="1"/>
  <c r="F68"/>
  <c r="H68" s="1"/>
  <c r="F66"/>
  <c r="H66" s="1"/>
  <c r="F64"/>
  <c r="H64" s="1"/>
  <c r="F62"/>
  <c r="H62" s="1"/>
  <c r="F60"/>
  <c r="H60" s="1"/>
  <c r="F58"/>
  <c r="H58" s="1"/>
  <c r="F56"/>
  <c r="H56" s="1"/>
  <c r="F54"/>
  <c r="H54" s="1"/>
  <c r="F52"/>
  <c r="H52" s="1"/>
  <c r="F50"/>
  <c r="H50" s="1"/>
  <c r="F48"/>
  <c r="H48" s="1"/>
  <c r="F28"/>
  <c r="H28" s="1"/>
  <c r="F26"/>
  <c r="H26" s="1"/>
  <c r="F24"/>
  <c r="H24" s="1"/>
  <c r="F22"/>
  <c r="H22" s="1"/>
  <c r="F20"/>
  <c r="H20" s="1"/>
  <c r="F18"/>
  <c r="H18" s="1"/>
  <c r="F16"/>
  <c r="H16" s="1"/>
  <c r="F14"/>
  <c r="H14" s="1"/>
  <c r="F12"/>
  <c r="H12" s="1"/>
  <c r="F10"/>
  <c r="H10" s="1"/>
  <c r="F8"/>
  <c r="H8" s="1"/>
  <c r="F6"/>
  <c r="H6" s="1"/>
  <c r="F72"/>
  <c r="F30"/>
  <c r="D22" i="2"/>
  <c r="B24" i="4" s="1"/>
  <c r="D20" i="2"/>
  <c r="B22" i="4" s="1"/>
  <c r="F22" s="1"/>
  <c r="F492" i="5"/>
  <c r="F490"/>
  <c r="H490" s="1"/>
  <c r="F488"/>
  <c r="H488" s="1"/>
  <c r="F486"/>
  <c r="H486" s="1"/>
  <c r="F484"/>
  <c r="H484" s="1"/>
  <c r="F482"/>
  <c r="H482" s="1"/>
  <c r="F480"/>
  <c r="H480" s="1"/>
  <c r="F478"/>
  <c r="H478" s="1"/>
  <c r="F476"/>
  <c r="H476" s="1"/>
  <c r="F474"/>
  <c r="H474" s="1"/>
  <c r="F472"/>
  <c r="H472" s="1"/>
  <c r="F470"/>
  <c r="H470" s="1"/>
  <c r="F468"/>
  <c r="H468" s="1"/>
  <c r="F448"/>
  <c r="H448" s="1"/>
  <c r="F446"/>
  <c r="H446" s="1"/>
  <c r="F444"/>
  <c r="H444" s="1"/>
  <c r="F442"/>
  <c r="H442" s="1"/>
  <c r="F440"/>
  <c r="H440" s="1"/>
  <c r="F438"/>
  <c r="H438" s="1"/>
  <c r="F436"/>
  <c r="H436" s="1"/>
  <c r="F434"/>
  <c r="H434" s="1"/>
  <c r="F432"/>
  <c r="H432" s="1"/>
  <c r="F430"/>
  <c r="H430" s="1"/>
  <c r="F428"/>
  <c r="H428" s="1"/>
  <c r="F426"/>
  <c r="H426" s="1"/>
  <c r="F408"/>
  <c r="F406"/>
  <c r="H406" s="1"/>
  <c r="F404"/>
  <c r="H404" s="1"/>
  <c r="F402"/>
  <c r="H402" s="1"/>
  <c r="F400"/>
  <c r="H400" s="1"/>
  <c r="F398"/>
  <c r="H398" s="1"/>
  <c r="F396"/>
  <c r="H396" s="1"/>
  <c r="F394"/>
  <c r="H394" s="1"/>
  <c r="F392"/>
  <c r="H392" s="1"/>
  <c r="F390"/>
  <c r="H390" s="1"/>
  <c r="F388"/>
  <c r="H388" s="1"/>
  <c r="F386"/>
  <c r="H386" s="1"/>
  <c r="F384"/>
  <c r="H384" s="1"/>
  <c r="F366"/>
  <c r="F364"/>
  <c r="H364" s="1"/>
  <c r="F362"/>
  <c r="H362" s="1"/>
  <c r="F360"/>
  <c r="H360" s="1"/>
  <c r="F358"/>
  <c r="H358" s="1"/>
  <c r="F356"/>
  <c r="H356" s="1"/>
  <c r="F354"/>
  <c r="H354" s="1"/>
  <c r="F352"/>
  <c r="H352" s="1"/>
  <c r="F350"/>
  <c r="H350" s="1"/>
  <c r="F348"/>
  <c r="H348" s="1"/>
  <c r="F346"/>
  <c r="H346" s="1"/>
  <c r="F344"/>
  <c r="H344" s="1"/>
  <c r="F342"/>
  <c r="H342" s="1"/>
  <c r="F324"/>
  <c r="F322"/>
  <c r="H322" s="1"/>
  <c r="F320"/>
  <c r="H320" s="1"/>
  <c r="F318"/>
  <c r="H318" s="1"/>
  <c r="F316"/>
  <c r="H316" s="1"/>
  <c r="F314"/>
  <c r="H314" s="1"/>
  <c r="F312"/>
  <c r="H312" s="1"/>
  <c r="F310"/>
  <c r="H310" s="1"/>
  <c r="F308"/>
  <c r="H308" s="1"/>
  <c r="F306"/>
  <c r="H306" s="1"/>
  <c r="F304"/>
  <c r="H304" s="1"/>
  <c r="F302"/>
  <c r="H302" s="1"/>
  <c r="F300"/>
  <c r="H300" s="1"/>
  <c r="F282"/>
  <c r="F280"/>
  <c r="H280" s="1"/>
  <c r="F278"/>
  <c r="H278" s="1"/>
  <c r="F276"/>
  <c r="H276" s="1"/>
  <c r="F274"/>
  <c r="H274" s="1"/>
  <c r="F272"/>
  <c r="H272" s="1"/>
  <c r="F270"/>
  <c r="H270" s="1"/>
  <c r="F268"/>
  <c r="H268" s="1"/>
  <c r="F266"/>
  <c r="H266" s="1"/>
  <c r="F264"/>
  <c r="H264" s="1"/>
  <c r="F262"/>
  <c r="H262" s="1"/>
  <c r="F260"/>
  <c r="H260" s="1"/>
  <c r="F258"/>
  <c r="H258" s="1"/>
  <c r="F240"/>
  <c r="F238"/>
  <c r="H238" s="1"/>
  <c r="F236"/>
  <c r="H236" s="1"/>
  <c r="F234"/>
  <c r="H234" s="1"/>
  <c r="F232"/>
  <c r="H232" s="1"/>
  <c r="F230"/>
  <c r="H230" s="1"/>
  <c r="F228"/>
  <c r="H228" s="1"/>
  <c r="F226"/>
  <c r="H226" s="1"/>
  <c r="F224"/>
  <c r="H224" s="1"/>
  <c r="F222"/>
  <c r="H222" s="1"/>
  <c r="F220"/>
  <c r="H220" s="1"/>
  <c r="F218"/>
  <c r="H218" s="1"/>
  <c r="F216"/>
  <c r="H216" s="1"/>
  <c r="F198"/>
  <c r="F196"/>
  <c r="H196" s="1"/>
  <c r="F194"/>
  <c r="H194" s="1"/>
  <c r="F192"/>
  <c r="H192" s="1"/>
  <c r="F190"/>
  <c r="H190" s="1"/>
  <c r="F188"/>
  <c r="H188" s="1"/>
  <c r="F186"/>
  <c r="H186" s="1"/>
  <c r="F184"/>
  <c r="H184" s="1"/>
  <c r="F182"/>
  <c r="H182" s="1"/>
  <c r="F180"/>
  <c r="H180" s="1"/>
  <c r="F178"/>
  <c r="H178" s="1"/>
  <c r="F176"/>
  <c r="H176" s="1"/>
  <c r="F174"/>
  <c r="H174" s="1"/>
  <c r="F156"/>
  <c r="F154"/>
  <c r="H154" s="1"/>
  <c r="F153"/>
  <c r="H153" s="1"/>
  <c r="F150"/>
  <c r="H150" s="1"/>
  <c r="F148"/>
  <c r="H148" s="1"/>
  <c r="F146"/>
  <c r="H146" s="1"/>
  <c r="F144"/>
  <c r="H144" s="1"/>
  <c r="F142"/>
  <c r="H142" s="1"/>
  <c r="F140"/>
  <c r="H140" s="1"/>
  <c r="F138"/>
  <c r="H138" s="1"/>
  <c r="F136"/>
  <c r="H136" s="1"/>
  <c r="F134"/>
  <c r="H134" s="1"/>
  <c r="F132"/>
  <c r="H132" s="1"/>
  <c r="F114"/>
  <c r="F112"/>
  <c r="H112" s="1"/>
  <c r="F110"/>
  <c r="H110" s="1"/>
  <c r="F108"/>
  <c r="H108" s="1"/>
  <c r="F106"/>
  <c r="H106" s="1"/>
  <c r="F104"/>
  <c r="H104" s="1"/>
  <c r="F102"/>
  <c r="H102" s="1"/>
  <c r="F100"/>
  <c r="H100" s="1"/>
  <c r="F98"/>
  <c r="H98" s="1"/>
  <c r="F96"/>
  <c r="H96" s="1"/>
  <c r="F94"/>
  <c r="H94" s="1"/>
  <c r="F92"/>
  <c r="H92" s="1"/>
  <c r="F491"/>
  <c r="H491" s="1"/>
  <c r="F489"/>
  <c r="H489" s="1"/>
  <c r="F487"/>
  <c r="H487" s="1"/>
  <c r="F485"/>
  <c r="H485" s="1"/>
  <c r="F483"/>
  <c r="H483" s="1"/>
  <c r="F481"/>
  <c r="H481" s="1"/>
  <c r="F479"/>
  <c r="H479" s="1"/>
  <c r="F477"/>
  <c r="H477" s="1"/>
  <c r="F475"/>
  <c r="H475" s="1"/>
  <c r="F473"/>
  <c r="H473" s="1"/>
  <c r="F471"/>
  <c r="H471" s="1"/>
  <c r="F469"/>
  <c r="H469" s="1"/>
  <c r="F467"/>
  <c r="H467" s="1"/>
  <c r="F449"/>
  <c r="H449" s="1"/>
  <c r="F447"/>
  <c r="H447" s="1"/>
  <c r="F445"/>
  <c r="H445" s="1"/>
  <c r="F443"/>
  <c r="H443" s="1"/>
  <c r="F441"/>
  <c r="H441" s="1"/>
  <c r="F439"/>
  <c r="H439" s="1"/>
  <c r="F437"/>
  <c r="H437" s="1"/>
  <c r="F435"/>
  <c r="H435" s="1"/>
  <c r="F433"/>
  <c r="H433" s="1"/>
  <c r="F431"/>
  <c r="H431" s="1"/>
  <c r="F429"/>
  <c r="H429" s="1"/>
  <c r="F427"/>
  <c r="H427" s="1"/>
  <c r="F425"/>
  <c r="H425" s="1"/>
  <c r="F407"/>
  <c r="H407" s="1"/>
  <c r="F405"/>
  <c r="H405" s="1"/>
  <c r="F403"/>
  <c r="H403" s="1"/>
  <c r="F401"/>
  <c r="H401" s="1"/>
  <c r="F399"/>
  <c r="H399" s="1"/>
  <c r="F397"/>
  <c r="H397" s="1"/>
  <c r="F395"/>
  <c r="H395" s="1"/>
  <c r="F393"/>
  <c r="H393" s="1"/>
  <c r="F391"/>
  <c r="H391" s="1"/>
  <c r="F389"/>
  <c r="H389" s="1"/>
  <c r="F387"/>
  <c r="H387" s="1"/>
  <c r="F385"/>
  <c r="H385" s="1"/>
  <c r="F383"/>
  <c r="H383" s="1"/>
  <c r="F365"/>
  <c r="H365" s="1"/>
  <c r="F363"/>
  <c r="H363" s="1"/>
  <c r="F361"/>
  <c r="H361" s="1"/>
  <c r="F359"/>
  <c r="H359" s="1"/>
  <c r="F357"/>
  <c r="H357" s="1"/>
  <c r="F355"/>
  <c r="H355" s="1"/>
  <c r="F353"/>
  <c r="H353" s="1"/>
  <c r="F351"/>
  <c r="H351" s="1"/>
  <c r="F349"/>
  <c r="H349" s="1"/>
  <c r="F347"/>
  <c r="H347" s="1"/>
  <c r="F345"/>
  <c r="H345" s="1"/>
  <c r="F343"/>
  <c r="H343" s="1"/>
  <c r="F341"/>
  <c r="H341" s="1"/>
  <c r="F323"/>
  <c r="H323" s="1"/>
  <c r="F321"/>
  <c r="H321" s="1"/>
  <c r="F319"/>
  <c r="H319" s="1"/>
  <c r="F317"/>
  <c r="H317" s="1"/>
  <c r="F315"/>
  <c r="H315" s="1"/>
  <c r="F313"/>
  <c r="H313" s="1"/>
  <c r="F311"/>
  <c r="H311" s="1"/>
  <c r="F309"/>
  <c r="H309" s="1"/>
  <c r="F307"/>
  <c r="H307" s="1"/>
  <c r="F305"/>
  <c r="H305" s="1"/>
  <c r="F303"/>
  <c r="H303" s="1"/>
  <c r="F301"/>
  <c r="H301" s="1"/>
  <c r="F299"/>
  <c r="H299" s="1"/>
  <c r="F281"/>
  <c r="H281" s="1"/>
  <c r="F279"/>
  <c r="H279" s="1"/>
  <c r="F277"/>
  <c r="H277" s="1"/>
  <c r="F275"/>
  <c r="H275" s="1"/>
  <c r="F273"/>
  <c r="H273" s="1"/>
  <c r="F271"/>
  <c r="H271" s="1"/>
  <c r="F269"/>
  <c r="H269" s="1"/>
  <c r="F267"/>
  <c r="H267" s="1"/>
  <c r="F265"/>
  <c r="H265" s="1"/>
  <c r="F263"/>
  <c r="H263" s="1"/>
  <c r="F261"/>
  <c r="H261" s="1"/>
  <c r="F259"/>
  <c r="H259" s="1"/>
  <c r="F257"/>
  <c r="H257" s="1"/>
  <c r="F239"/>
  <c r="H239" s="1"/>
  <c r="F237"/>
  <c r="H237" s="1"/>
  <c r="F235"/>
  <c r="H235" s="1"/>
  <c r="F233"/>
  <c r="H233" s="1"/>
  <c r="F231"/>
  <c r="H231" s="1"/>
  <c r="F229"/>
  <c r="H229" s="1"/>
  <c r="F227"/>
  <c r="H227" s="1"/>
  <c r="F225"/>
  <c r="H225" s="1"/>
  <c r="F223"/>
  <c r="H223" s="1"/>
  <c r="F221"/>
  <c r="H221" s="1"/>
  <c r="F219"/>
  <c r="H219" s="1"/>
  <c r="F217"/>
  <c r="H217" s="1"/>
  <c r="F215"/>
  <c r="H215" s="1"/>
  <c r="F197"/>
  <c r="H197" s="1"/>
  <c r="F195"/>
  <c r="H195" s="1"/>
  <c r="F193"/>
  <c r="H193" s="1"/>
  <c r="F191"/>
  <c r="H191" s="1"/>
  <c r="F189"/>
  <c r="H189" s="1"/>
  <c r="F187"/>
  <c r="H187" s="1"/>
  <c r="F185"/>
  <c r="H185" s="1"/>
  <c r="F183"/>
  <c r="H183" s="1"/>
  <c r="F181"/>
  <c r="H181" s="1"/>
  <c r="F179"/>
  <c r="H179" s="1"/>
  <c r="F177"/>
  <c r="H177" s="1"/>
  <c r="F175"/>
  <c r="H175" s="1"/>
  <c r="F173"/>
  <c r="H173" s="1"/>
  <c r="F155"/>
  <c r="H155" s="1"/>
  <c r="F152"/>
  <c r="H152" s="1"/>
  <c r="F151"/>
  <c r="H151" s="1"/>
  <c r="F149"/>
  <c r="H149" s="1"/>
  <c r="F147"/>
  <c r="H147" s="1"/>
  <c r="F145"/>
  <c r="H145" s="1"/>
  <c r="F143"/>
  <c r="H143" s="1"/>
  <c r="F141"/>
  <c r="H141" s="1"/>
  <c r="F139"/>
  <c r="H139" s="1"/>
  <c r="F137"/>
  <c r="H137" s="1"/>
  <c r="F135"/>
  <c r="H135" s="1"/>
  <c r="F133"/>
  <c r="H133" s="1"/>
  <c r="F131"/>
  <c r="H131" s="1"/>
  <c r="F113"/>
  <c r="H113" s="1"/>
  <c r="F111"/>
  <c r="H111" s="1"/>
  <c r="F109"/>
  <c r="H109" s="1"/>
  <c r="F107"/>
  <c r="H107" s="1"/>
  <c r="F105"/>
  <c r="H105" s="1"/>
  <c r="F103"/>
  <c r="H103" s="1"/>
  <c r="F101"/>
  <c r="H101" s="1"/>
  <c r="F99"/>
  <c r="H99" s="1"/>
  <c r="F97"/>
  <c r="H97" s="1"/>
  <c r="F93"/>
  <c r="H93" s="1"/>
  <c r="F90"/>
  <c r="H90" s="1"/>
  <c r="F72"/>
  <c r="F71"/>
  <c r="H71" s="1"/>
  <c r="F68"/>
  <c r="H68" s="1"/>
  <c r="F66"/>
  <c r="H66" s="1"/>
  <c r="F64"/>
  <c r="H64" s="1"/>
  <c r="F60"/>
  <c r="H60" s="1"/>
  <c r="F58"/>
  <c r="H58" s="1"/>
  <c r="F56"/>
  <c r="H56" s="1"/>
  <c r="F54"/>
  <c r="H54" s="1"/>
  <c r="F52"/>
  <c r="H52" s="1"/>
  <c r="F50"/>
  <c r="H50" s="1"/>
  <c r="F48"/>
  <c r="H48" s="1"/>
  <c r="F29"/>
  <c r="H29" s="1"/>
  <c r="F27"/>
  <c r="H27" s="1"/>
  <c r="F25"/>
  <c r="H25" s="1"/>
  <c r="F23"/>
  <c r="H23" s="1"/>
  <c r="F21"/>
  <c r="H21" s="1"/>
  <c r="F19"/>
  <c r="H19" s="1"/>
  <c r="F17"/>
  <c r="H17" s="1"/>
  <c r="F15"/>
  <c r="H15" s="1"/>
  <c r="F13"/>
  <c r="H13" s="1"/>
  <c r="F11"/>
  <c r="H11" s="1"/>
  <c r="F9"/>
  <c r="H9" s="1"/>
  <c r="F6"/>
  <c r="H6" s="1"/>
  <c r="F5"/>
  <c r="H5" s="1"/>
  <c r="F95"/>
  <c r="H95" s="1"/>
  <c r="F91"/>
  <c r="H91" s="1"/>
  <c r="F89"/>
  <c r="H89" s="1"/>
  <c r="F70"/>
  <c r="H70" s="1"/>
  <c r="F69"/>
  <c r="H69" s="1"/>
  <c r="F67"/>
  <c r="H67" s="1"/>
  <c r="F65"/>
  <c r="H65" s="1"/>
  <c r="F63"/>
  <c r="H63" s="1"/>
  <c r="F61"/>
  <c r="H61" s="1"/>
  <c r="F59"/>
  <c r="H59" s="1"/>
  <c r="F62"/>
  <c r="H62" s="1"/>
  <c r="F55"/>
  <c r="H55" s="1"/>
  <c r="F53"/>
  <c r="H53" s="1"/>
  <c r="F51"/>
  <c r="H51" s="1"/>
  <c r="F49"/>
  <c r="H49" s="1"/>
  <c r="F47"/>
  <c r="H47" s="1"/>
  <c r="F30"/>
  <c r="F28"/>
  <c r="H28" s="1"/>
  <c r="F26"/>
  <c r="H26" s="1"/>
  <c r="F24"/>
  <c r="H24" s="1"/>
  <c r="F22"/>
  <c r="H22" s="1"/>
  <c r="F20"/>
  <c r="H20" s="1"/>
  <c r="F18"/>
  <c r="H18" s="1"/>
  <c r="F16"/>
  <c r="H16" s="1"/>
  <c r="F14"/>
  <c r="H14" s="1"/>
  <c r="F12"/>
  <c r="H12" s="1"/>
  <c r="F10"/>
  <c r="H10" s="1"/>
  <c r="F8"/>
  <c r="H8" s="1"/>
  <c r="F7"/>
  <c r="H7" s="1"/>
  <c r="F450"/>
  <c r="F81" i="3"/>
  <c r="G14" i="4"/>
  <c r="G35" s="1"/>
  <c r="E35"/>
  <c r="F9"/>
  <c r="D35"/>
  <c r="F35" i="3"/>
  <c r="H6" i="13" l="1"/>
  <c r="F27"/>
  <c r="H42"/>
  <c r="F77"/>
  <c r="H474" i="7"/>
  <c r="H499" s="1"/>
  <c r="F499"/>
  <c r="F655"/>
  <c r="H649"/>
  <c r="H421"/>
  <c r="H446" s="1"/>
  <c r="F446"/>
  <c r="F551"/>
  <c r="H547"/>
  <c r="H551" s="1"/>
  <c r="F706"/>
  <c r="H696"/>
  <c r="H785"/>
  <c r="H810" s="1"/>
  <c r="F810"/>
  <c r="F603"/>
  <c r="H591"/>
  <c r="H603" s="1"/>
  <c r="H733"/>
  <c r="H758" s="1"/>
  <c r="F758"/>
  <c r="H706"/>
  <c r="H655"/>
  <c r="F24" i="4"/>
  <c r="B35"/>
  <c r="H255" i="8"/>
  <c r="F13" i="9" s="1"/>
  <c r="H151" i="8"/>
  <c r="F9" i="9" s="1"/>
  <c r="H307" i="8"/>
  <c r="F15" i="9" s="1"/>
  <c r="H203" i="8"/>
  <c r="F11" i="9" s="1"/>
  <c r="H99" i="8"/>
  <c r="F7" i="9" s="1"/>
  <c r="H156" i="7"/>
  <c r="H324"/>
  <c r="H281" i="8"/>
  <c r="F14" i="9" s="1"/>
  <c r="H177" i="8"/>
  <c r="F10" i="9" s="1"/>
  <c r="H73" i="8"/>
  <c r="F6" i="9" s="1"/>
  <c r="H333" i="8"/>
  <c r="F16" i="9" s="1"/>
  <c r="H229" i="8"/>
  <c r="F12" i="9" s="1"/>
  <c r="H125" i="8"/>
  <c r="F8" i="9" s="1"/>
  <c r="H47" i="8"/>
  <c r="F5" i="9" s="1"/>
  <c r="H198" i="7"/>
  <c r="H366"/>
  <c r="H240"/>
  <c r="H408"/>
  <c r="H282"/>
  <c r="H114"/>
  <c r="H72"/>
  <c r="H30"/>
  <c r="H156" i="5"/>
  <c r="H240"/>
  <c r="H324"/>
  <c r="H408"/>
  <c r="H114"/>
  <c r="H492"/>
  <c r="H72"/>
  <c r="H30"/>
  <c r="H198"/>
  <c r="H282"/>
  <c r="H366"/>
  <c r="H450"/>
  <c r="F35" i="4"/>
  <c r="D31" i="2"/>
  <c r="D25" i="9"/>
  <c r="D26" s="1"/>
  <c r="J42" i="13" l="1"/>
  <c r="J77" s="1"/>
  <c r="H77"/>
  <c r="H27"/>
  <c r="J6"/>
  <c r="J27" s="1"/>
  <c r="F25" i="9"/>
  <c r="F26" s="1"/>
</calcChain>
</file>

<file path=xl/comments1.xml><?xml version="1.0" encoding="utf-8"?>
<comments xmlns="http://schemas.openxmlformats.org/spreadsheetml/2006/main">
  <authors>
    <author>haghani</author>
  </authors>
  <commentList>
    <comment ref="E5" authorId="0">
      <text>
        <r>
          <rPr>
            <b/>
            <sz val="8"/>
            <color indexed="81"/>
            <rFont val="Tahoma"/>
            <family val="2"/>
          </rPr>
          <t xml:space="preserve">1- در اين قسمت مبلغ تبديلي (چنج پول) تقسيم بر دلار يا يوروي پرداختي به صرافي مي شود . مثلأ100 دلار يا يورو داديم و 1500 لير تركيه گرفتيم  . 
پس 1500 تقسيم بر 100 دلار يا يورو  ميشود 15 كه نرج تسعير مي باشد . 
2- اگر نرخ تسعير را بانك داده بود- نرخ تسعير جمع يا تكي - نرخ تسعير را ضربدر مبلغ يورو يا دلار  ميكنيم تا مبلغ ارز محل كه دريافت شده در بيايد .
</t>
        </r>
      </text>
    </comment>
  </commentList>
</comments>
</file>

<file path=xl/comments2.xml><?xml version="1.0" encoding="utf-8"?>
<comments xmlns="http://schemas.openxmlformats.org/spreadsheetml/2006/main">
  <authors>
    <author>user</author>
    <author>haghani</author>
    <author>4280500053</author>
  </authors>
  <commentList>
    <comment ref="B8" authorId="0">
      <text>
        <r>
          <rPr>
            <b/>
            <sz val="8"/>
            <color indexed="81"/>
            <rFont val="Tahoma"/>
            <charset val="178"/>
          </rPr>
          <t>در این قسمت جمع موارد واریزی(دریافتی ها) به بانک را از تاریخ مشخص درج می کنیم.  
تذکر: موجودی اول دوره بانک در اين قسمت (یعنی بدهکار) قرار می گیرد.</t>
        </r>
      </text>
    </comment>
    <comment ref="C8" authorId="0">
      <text>
        <r>
          <rPr>
            <b/>
            <sz val="8"/>
            <color indexed="81"/>
            <rFont val="Tahoma"/>
            <charset val="178"/>
          </rPr>
          <t>در این قسمت جمع خروجی ها(پرداختی ها یا برداشتی ها) از بانک را (از تاریخ مشخص)درج می کنیم .</t>
        </r>
      </text>
    </comment>
    <comment ref="D8" authorId="0">
      <text>
        <r>
          <rPr>
            <b/>
            <sz val="8"/>
            <color indexed="81"/>
            <rFont val="Tahoma"/>
            <charset val="178"/>
          </rPr>
          <t xml:space="preserve">در این قسمت حاصل تفریق بدهکار با بستانکار را درج می کنیم . یعنی موجودی (آخر ين موجودي بانك)حساب بانکی را درج می کنیم. ( این قسمت یعنی مانده آخر تاریخ اعلامی می باشدکه ماهیت بدهکاری را داراست) . </t>
        </r>
      </text>
    </comment>
    <comment ref="D11" authorId="1">
      <text>
        <r>
          <rPr>
            <b/>
            <sz val="8"/>
            <color indexed="81"/>
            <rFont val="Tahoma"/>
            <family val="2"/>
          </rPr>
          <t xml:space="preserve">اين قسمت را در آخر بررسي ميكنيم. </t>
        </r>
      </text>
    </comment>
    <comment ref="E13" authorId="2">
      <text>
        <r>
          <rPr>
            <b/>
            <sz val="8"/>
            <color indexed="81"/>
            <rFont val="Tahoma"/>
          </rPr>
          <t xml:space="preserve">اگر كسي از ما طلبي داشته باشد در بستانكار مي شيند .حال بايستي بالانس بشود با بدهكاري در اينجا يك سرفصل جدا باز ميشود به اسم تعهدات پرداخت نشده (مثلأ به يك نفر كتابي داده ايم ترجمه كند يك قراردادي نوشته شده به مبلغ 100 تومان .اين مبلغ قرارداد در بستانكار مي نشيند و براي بالانس شدن اگر و يا چون پولي پرداخت نشده در يك سرفصل جدا نوشته ميشود تعهدات پرداخت نشده و در بدهكاران مي نشينيد مبلغ 100 تومان ) </t>
        </r>
      </text>
    </comment>
    <comment ref="E26" authorId="2">
      <text>
        <r>
          <rPr>
            <b/>
            <sz val="8"/>
            <color indexed="81"/>
            <rFont val="Tahoma"/>
            <family val="2"/>
          </rPr>
          <t xml:space="preserve">ماهيت بدهكاري و بستانكاري:
كسي كه مالي را ميدهد ميشود بستانكار
كسي هم كه مالي را مي گيرد بدهكار 
حال در اينجا چون مركز، مبلغي را داده است مي شود بستانكار
رايزني هم گيرنده است ميشود بدهكار </t>
        </r>
      </text>
    </comment>
    <comment ref="E29" authorId="0">
      <text>
        <r>
          <rPr>
            <b/>
            <sz val="8"/>
            <color indexed="81"/>
            <rFont val="Tahoma"/>
            <charset val="178"/>
          </rPr>
          <t xml:space="preserve">در این قسمت حاصل جمع مانده موجودی صندوق(تغيير و تحول هم شامل ميشود يعني يك پولي ميخواهد وارد سيستم هزينه شود) و بانک درج می شود . یعنی مانده اول تاریخ اعلامی (اول تاریخ شروع حسابرسی) می باشد که در بستانکار قرار می گیرد تا وارد سیستم مصرف شود </t>
        </r>
      </text>
    </comment>
    <comment ref="B50" authorId="0">
      <text>
        <r>
          <rPr>
            <b/>
            <sz val="8"/>
            <color indexed="81"/>
            <rFont val="Tahoma"/>
            <charset val="178"/>
          </rPr>
          <t>در این قسمت جمع موارد واریزی(دریافتی ها) به بانک را از تاریخ مشخص درج می کنیم.  
تذکر: موجودی اول دوره بانک در اين قسمت (یعنی بدهکار) قرار می گیرد.</t>
        </r>
      </text>
    </comment>
    <comment ref="C50" authorId="0">
      <text>
        <r>
          <rPr>
            <b/>
            <sz val="8"/>
            <color indexed="81"/>
            <rFont val="Tahoma"/>
            <charset val="178"/>
          </rPr>
          <t>در این قسمت جمع خروجی ها(پرداختی ها یا برداشتی ها) از بانک را (از تاریخ مشخص)درج می کنیم .</t>
        </r>
      </text>
    </comment>
    <comment ref="D50" authorId="0">
      <text>
        <r>
          <rPr>
            <b/>
            <sz val="8"/>
            <color indexed="81"/>
            <rFont val="Tahoma"/>
            <charset val="178"/>
          </rPr>
          <t>در این قسمت حاصل تفریق بدهکار با بستانکار را درج می کنیم . یعنی موجودی (آخرين موجودي بانك)حساب بانکی را درج می کنیم. ( این قسمت یعنی مانده آخر ين تاریخ اعلامی می باشدکه ماهیت بدهکاری را داراست) . يعني از بودجه موجود هزينه شده و اين مقدار  باقي مانده است .</t>
        </r>
      </text>
    </comment>
    <comment ref="A53" authorId="1">
      <text>
        <r>
          <rPr>
            <b/>
            <sz val="8"/>
            <color indexed="81"/>
            <rFont val="Tahoma"/>
            <family val="2"/>
          </rPr>
          <t xml:space="preserve">توجه اگر رايزني بيش از حد هزينه(اعتباري) كرده بود (و در بستانكار قرار گرفت.) بايستي جهت انتقال موجودي (بانك و ... ) از بستانكار كسر شود تا به سال بعد و يا دوره بعد انتقال پيدا كند . </t>
        </r>
      </text>
    </comment>
    <comment ref="D53" authorId="1">
      <text>
        <r>
          <rPr>
            <b/>
            <sz val="8"/>
            <color indexed="81"/>
            <rFont val="Tahoma"/>
            <family val="2"/>
          </rPr>
          <t>در اين قسمت اگر هزينه ها كمتر از موجودي بود . رايزن را بدهكار ميكنيم .</t>
        </r>
      </text>
    </comment>
    <comment ref="E53" authorId="1">
      <text>
        <r>
          <rPr>
            <b/>
            <sz val="8"/>
            <color indexed="81"/>
            <rFont val="Tahoma"/>
            <family val="2"/>
          </rPr>
          <t xml:space="preserve">وقتي موجودي صندوق در بستانكار قرار گزفت يعني رايزن بيش از حد هزينه كرده و بستانكار مي باشد . </t>
        </r>
      </text>
    </comment>
    <comment ref="C66" authorId="0">
      <text>
        <r>
          <rPr>
            <b/>
            <sz val="8"/>
            <color indexed="81"/>
            <rFont val="Tahoma"/>
            <charset val="178"/>
          </rPr>
          <t xml:space="preserve">در این قسمت حاصل جمع مانده موجودی صندوق و بانک درج می شود . یعنی مانده اول تاریخ اعلامی (اول تاریخ شروع حسابرسی) می باشد که در بستانکار قرار می گیرد تا وارد سیستم مصرف شود </t>
        </r>
      </text>
    </comment>
    <comment ref="E66" authorId="0">
      <text>
        <r>
          <rPr>
            <b/>
            <sz val="8"/>
            <color indexed="81"/>
            <rFont val="Tahoma"/>
            <charset val="178"/>
          </rPr>
          <t xml:space="preserve">در این قسمت حاصل جمع مانده موجودی صندوق و بانک درج می شود . یعنی مانده اول تاریخ اعلامی (اول تاریخ شروع حسابرسی) می باشد که در بستانکار قرار می گیرد تا وارد سیستم مصرف شود </t>
        </r>
      </text>
    </comment>
  </commentList>
</comments>
</file>

<file path=xl/sharedStrings.xml><?xml version="1.0" encoding="utf-8"?>
<sst xmlns="http://schemas.openxmlformats.org/spreadsheetml/2006/main" count="1415" uniqueCount="615">
  <si>
    <t>رديف</t>
  </si>
  <si>
    <t>مبلغ يورو</t>
  </si>
  <si>
    <t>نرخ تسعير</t>
  </si>
  <si>
    <t>ملاحضات</t>
  </si>
  <si>
    <t>جمع كل</t>
  </si>
  <si>
    <t>شماره چك/نقدي</t>
  </si>
  <si>
    <t>تاريخ</t>
  </si>
  <si>
    <t>تنظيم كننده:</t>
  </si>
  <si>
    <t>حسابرس اعزامي:</t>
  </si>
  <si>
    <t>مصرف اين دوره حسب فهرست هزينه ها:</t>
  </si>
  <si>
    <t>مانده موجودي قابل انتقال به دوره بعد:</t>
  </si>
  <si>
    <t>كد برنامه</t>
  </si>
  <si>
    <t>عنوان برنامه</t>
  </si>
  <si>
    <t>ارز محل</t>
  </si>
  <si>
    <t>يورو</t>
  </si>
  <si>
    <t>جمع به يورو</t>
  </si>
  <si>
    <t>هزينه هاي خارج از مصوب و تخصيص</t>
  </si>
  <si>
    <t xml:space="preserve">     جمع هزينه هاي جاري</t>
  </si>
  <si>
    <t xml:space="preserve">     جمع هزينه هاي فرهنگي</t>
  </si>
  <si>
    <t xml:space="preserve"> تنظيم كننده:</t>
  </si>
  <si>
    <t>شرح حساب</t>
  </si>
  <si>
    <t xml:space="preserve">گردش عمليات مالي </t>
  </si>
  <si>
    <t>بدهكار</t>
  </si>
  <si>
    <t>بستانكار</t>
  </si>
  <si>
    <t>مانده نهايي حساب</t>
  </si>
  <si>
    <t>حساب دريافتي از سازمان بابت بودجه برنامه اي:</t>
  </si>
  <si>
    <t xml:space="preserve">  بانك:</t>
  </si>
  <si>
    <t xml:space="preserve">  تنخواه گردان پرداختي:</t>
  </si>
  <si>
    <t xml:space="preserve">  علي الحساب ها:</t>
  </si>
  <si>
    <t xml:space="preserve">  دو:</t>
  </si>
  <si>
    <t xml:space="preserve">  سه:</t>
  </si>
  <si>
    <t xml:space="preserve">  حساب تسعير يورو به ارز محل</t>
  </si>
  <si>
    <t xml:space="preserve">  هزينه ها:</t>
  </si>
  <si>
    <t xml:space="preserve">  هزينه هاي جاري</t>
  </si>
  <si>
    <t xml:space="preserve">  هزينه هاي فرهنگي</t>
  </si>
  <si>
    <t xml:space="preserve">  هزينه حقوق كاركنان اعزامي از مركز</t>
  </si>
  <si>
    <t xml:space="preserve">  هزينه(1)</t>
  </si>
  <si>
    <t xml:space="preserve">  هزينه(2)</t>
  </si>
  <si>
    <t xml:space="preserve">  بابت بودجه برنامه اي سال جاري</t>
  </si>
  <si>
    <t xml:space="preserve">  حساب وجوه مصرف نشده سنوات قبل</t>
  </si>
  <si>
    <t xml:space="preserve">  نمايندگي فرهنگي سفارت ج.ا.ايران در</t>
  </si>
  <si>
    <t xml:space="preserve">  جمع كل:</t>
  </si>
  <si>
    <t>حساب سفارت(مانده حساب رايزني نزد سفارت)</t>
  </si>
  <si>
    <t xml:space="preserve">  وام كاركنان محلي(بدهكار)</t>
  </si>
  <si>
    <t>نرخ ميانگين تسعير:</t>
  </si>
  <si>
    <t>حساب دريافتي از محل تسعير يورو به ارز محل:</t>
  </si>
  <si>
    <t xml:space="preserve">  دريافتي ناشي از تسعير يورو به ارز محل </t>
  </si>
  <si>
    <t xml:space="preserve">  يك: بستانكاران(اگر از رايزني طلب داشته باشد)</t>
  </si>
  <si>
    <t>حساب هاي يوروئي</t>
  </si>
  <si>
    <t xml:space="preserve">معادل يورو حساب هاي ارز محل </t>
  </si>
  <si>
    <t>مانده نهايي به يورو</t>
  </si>
  <si>
    <t>درآمد</t>
  </si>
  <si>
    <t xml:space="preserve">  دريافتي بابت درآمد</t>
  </si>
  <si>
    <t xml:space="preserve">  برابر با يك يورو مورد تأئيد است.</t>
  </si>
  <si>
    <t xml:space="preserve">     نمايندگي فرهنگي سفارت ج.ا.ايران در </t>
  </si>
  <si>
    <t xml:space="preserve"> بانك:</t>
  </si>
  <si>
    <t xml:space="preserve"> حساب يوروئي(1) به شماره </t>
  </si>
  <si>
    <t xml:space="preserve"> تنخواه گردان پرداخت:</t>
  </si>
  <si>
    <t xml:space="preserve"> علي الحساب ها:</t>
  </si>
  <si>
    <t xml:space="preserve"> علي الحساب سه</t>
  </si>
  <si>
    <t xml:space="preserve"> وام كاركنان محلي</t>
  </si>
  <si>
    <t xml:space="preserve"> حساب سفارت</t>
  </si>
  <si>
    <t xml:space="preserve"> حساب تسعير يورو به ارز محل</t>
  </si>
  <si>
    <t xml:space="preserve"> حساب دريافتي ناشي از تسعير يورو به ارز محل</t>
  </si>
  <si>
    <t xml:space="preserve"> هزينه ها:</t>
  </si>
  <si>
    <t xml:space="preserve"> هزينه هاي جاري</t>
  </si>
  <si>
    <t xml:space="preserve"> هزينه هاي فرهنگي</t>
  </si>
  <si>
    <t xml:space="preserve"> هزينه حقوق كاركنان اعزامي از مركز</t>
  </si>
  <si>
    <t xml:space="preserve"> هزينه يك</t>
  </si>
  <si>
    <t xml:space="preserve"> هزينه دو</t>
  </si>
  <si>
    <t xml:space="preserve"> هزينه خريد خودرو</t>
  </si>
  <si>
    <t xml:space="preserve"> هزينه هاي واخواهي شده</t>
  </si>
  <si>
    <t xml:space="preserve"> حساب دريافتي از سازمان بابت بودجه برنامه اي </t>
  </si>
  <si>
    <t xml:space="preserve"> بابت بودجه برنامه اي سال جاري</t>
  </si>
  <si>
    <t xml:space="preserve"> بابت(1) بودجه ساير ادارات</t>
  </si>
  <si>
    <t xml:space="preserve"> حساب وجوه مصرف نشده سنوات قبل</t>
  </si>
  <si>
    <t xml:space="preserve"> دريافتي بابت درآمد</t>
  </si>
  <si>
    <t>شرح</t>
  </si>
  <si>
    <t>تارخ سند</t>
  </si>
  <si>
    <t xml:space="preserve">جمع به يورو </t>
  </si>
  <si>
    <t>سند</t>
  </si>
  <si>
    <t>رايزن فرهنگي:</t>
  </si>
  <si>
    <t>هزينه بانكي(كارمزد)</t>
  </si>
  <si>
    <t>معادل به يورو</t>
  </si>
  <si>
    <t>هزينه آب برق گاز و ساير سوخت ها</t>
  </si>
  <si>
    <t>تعمير و نگهداري خودرو</t>
  </si>
  <si>
    <t>ترميم و نگهداري جزئي ساختمان</t>
  </si>
  <si>
    <t>حمل و نقل و ارتباطات</t>
  </si>
  <si>
    <t>تلفن،فاكس و اينترنت</t>
  </si>
  <si>
    <t>كمك هزينه درمان و بيمه كاركنان</t>
  </si>
  <si>
    <t>هزينه هاي پيش بيني نشده</t>
  </si>
  <si>
    <t>نرخ تسعير:</t>
  </si>
  <si>
    <t>حقوق،بازخريدي و...كاركنان بومي</t>
  </si>
  <si>
    <t>هزينه بانكي</t>
  </si>
  <si>
    <t>تلفن ، فاكس و اينترنت</t>
  </si>
  <si>
    <t>برگزاري جشن نوروز</t>
  </si>
  <si>
    <t>هزينه جاري:بانكي(كارمزد)</t>
  </si>
  <si>
    <t>هزينه جاري:حقوق، بازخريدي و...كاركنان بومي</t>
  </si>
  <si>
    <t>هزينه جاري:هزينه آب برق گاز و ساير سوخت ها</t>
  </si>
  <si>
    <t>هزينه جاري:تعمير و نگهداري خودرو</t>
  </si>
  <si>
    <t>هزينه جاري:ترميم و نگهداري جزئي ساختمان</t>
  </si>
  <si>
    <t>هزينه جاري:حمل و نقل و ارتباطات</t>
  </si>
  <si>
    <t>هزينه جاري:تلفن،فاكس و اينترنت</t>
  </si>
  <si>
    <t>هزينه جاري:كمك هزينه درمان و بيمه كاركنان</t>
  </si>
  <si>
    <t>هزينه هاي جاري: خارج از مصوب و تخصيص</t>
  </si>
  <si>
    <t>هزينه هاي جاري: پيش بيني نشده</t>
  </si>
  <si>
    <t>هزينه يك:برگزاري جشن نوروز</t>
  </si>
  <si>
    <t>هزينه فرهنگي يك: برگزاري جشن نوروز</t>
  </si>
  <si>
    <t>حقوق،بازخريدي و...كاركنان بومي کد برنامه:                فروردین سال</t>
  </si>
  <si>
    <t xml:space="preserve">نمایندگی فرهنگی ج.ا.ایران در </t>
  </si>
  <si>
    <t>حقوق،بازخريدي و...كاركنان بومي      کد برنامه:                فروردین سال</t>
  </si>
  <si>
    <t>حقوق،بازخريدي و...كاركنان بومي      کد برنامه:               اردیبهست سال</t>
  </si>
  <si>
    <t>حقوق،بازخريدي و...كاركنان بومي      کد برنامه:               خرداد سال</t>
  </si>
  <si>
    <t>حقوق،بازخريدي و...كاركنان بومي      کد برنامه:               تیر سال</t>
  </si>
  <si>
    <t>حقوق،بازخريدي و...كاركنان بومي      کد برنامه:               مرداد سال</t>
  </si>
  <si>
    <t>حقوق،بازخريدي و...كاركنان بومي      کد برنامه:               شهریور سال</t>
  </si>
  <si>
    <t>حقوق،بازخريدي و...كاركنان بومي      کد برنامه:               مهر سال</t>
  </si>
  <si>
    <t>حقوق،بازخريدي و...كاركنان بومي      کد برنامه:               آبان سال</t>
  </si>
  <si>
    <t>حقوق،بازخريدي و...كاركنان بومي      کد برنامه:               اسفند سال</t>
  </si>
  <si>
    <t>حقوق،بازخريدي و...كاركنان بومي      کد برنامه:               آذر سال</t>
  </si>
  <si>
    <t>حقوق،بازخريدي و...كاركنان بومي      کد برنامه:               دی سال</t>
  </si>
  <si>
    <t>حقوق،بازخريدي و...كاركنان بومي      کد برنامه:               بهمن سال</t>
  </si>
  <si>
    <t>ردیف</t>
  </si>
  <si>
    <t>نام و نام خانوادگی</t>
  </si>
  <si>
    <t>شغل</t>
  </si>
  <si>
    <t>ساعت اضافه کار</t>
  </si>
  <si>
    <t>توضیحات</t>
  </si>
  <si>
    <t>حقوق ماهانه به یورو</t>
  </si>
  <si>
    <t>حقوق ماهانه به ارز محل</t>
  </si>
  <si>
    <t>جمع کل پرداختی به یورو</t>
  </si>
  <si>
    <t>بدینوسیله گواهی میشود مبلغ          یورو بابت حقوق فروردین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</si>
  <si>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جمع کل:</t>
  </si>
  <si>
    <t>کارشناس فرهنگی</t>
  </si>
  <si>
    <t>مهر و امضاء رایزنی فرهنگی</t>
  </si>
  <si>
    <t>نرخ تسعیر:</t>
  </si>
  <si>
    <t>مبلغ اضافه کار به یورو</t>
  </si>
  <si>
    <t>حقوق،بازخريدي و...كاركنان بومي کد برنامه:                اردیبهشت سال</t>
  </si>
  <si>
    <t>بدینوسیله گواهی میشود مبلغ          یورو بابت حقوق اردیبهشت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</si>
  <si>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بدینوسیله گواهی میشود مبلغ          یورو بابت حقوق اسفند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</si>
  <si>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بدینوسیله گواهی میشود مبلغ          یورو بابت حقوق بهمن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</si>
  <si>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بدینوسیله گواهی میشود مبلغ          یورو بابت حقوق دی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</si>
  <si>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دی ماه سال</t>
  </si>
  <si>
    <t>حقوق،بازخريدي و...كاركنان بومي کد برنامه:                بهمن ماه سال</t>
  </si>
  <si>
    <t>حقوق،بازخريدي و...كاركنان بومي کد برنامه:                اسفند ماه سال</t>
  </si>
  <si>
    <t>بدینوسیله گواهی میشود مبلغ          یورو بابت حقوق آذر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</si>
  <si>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آذر ماه سال</t>
  </si>
  <si>
    <t>بدینوسیله گواهی میشود مبلغ          یورو بابت حقوق آبان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</si>
  <si>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آبان ماه سال</t>
  </si>
  <si>
    <t>بدینوسیله گواهی میشود مبلغ          یورو بابت حقوق مهر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</si>
  <si>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مهر ماه سال</t>
  </si>
  <si>
    <t>بدینوسیله گواهی میشود مبلغ          یورو بابت حقوق شهریور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</si>
  <si>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شهریور ماه سال</t>
  </si>
  <si>
    <t>بدینوسیله گواهی میشود مبلغ          یورو بابت حقوق مرداد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</si>
  <si>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مرداد ماه سال</t>
  </si>
  <si>
    <t>بدینوسیله گواهی میشود مبلغ          یورو بابت حقوق تیر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</si>
  <si>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تیر ماه سال</t>
  </si>
  <si>
    <t>بدینوسیله گواهی میشود مبلغ          یورو بابت حقوق خرداد ماه  و مبلغ           یورو بابت اضافه کاری جمعآ به مبلغ          یورو به تعداد      نفر از کارکنان محلی رایزنی فرهنگی ج. ا.ایران در کشور          از محل بودجه برنامه مصوب پرداخت گردیده است. صحن مندرجات مورد تأئید می باشد.</t>
  </si>
  <si>
    <t>حقوق،بازخريدي و...كاركنان بومي کد برنامه:                خرداد ماه سال</t>
  </si>
  <si>
    <t>شرح هزینه</t>
  </si>
  <si>
    <t>اضافه کاری یورو</t>
  </si>
  <si>
    <t>حقوق یورو</t>
  </si>
  <si>
    <t>جمع کل به یورو</t>
  </si>
  <si>
    <t xml:space="preserve">نمایندگی فرهنگی سفارت ج.ا.ایران در </t>
  </si>
  <si>
    <t>روکش لیست هزینه های حقوق بازخریدی و پاداش کارکنان محلی</t>
  </si>
  <si>
    <t>کد برنامه مصوب:</t>
  </si>
  <si>
    <t>حسابرس اعزامی</t>
  </si>
  <si>
    <t>رایزنی فرهنگی</t>
  </si>
  <si>
    <t>بدینوسیله گواهی میشود مبلغ     ارز محل (     ) با نرخ تسعیر      برابر     یورو و احتساب مبلغ     هزینه یورویی جمعأ به مبلغ     یورو از تاریخ      لغایت     از محل بودجه برنامه مصوب هزینه گردیه است.</t>
  </si>
  <si>
    <t>جمع یوروئی</t>
  </si>
  <si>
    <t xml:space="preserve">  حقوق و اضافه کاری فروردین ماه سال</t>
  </si>
  <si>
    <t xml:space="preserve">  حقوق و اضافه کاری اردیبهشت ماه سال</t>
  </si>
  <si>
    <t xml:space="preserve">  حقوق و اضافه کاری خرداد ماه سال</t>
  </si>
  <si>
    <t xml:space="preserve">  حقوق و اضافه کاری تیر ماه سال</t>
  </si>
  <si>
    <t xml:space="preserve">  حقوق و اضافه کاری مرداد ماه سال</t>
  </si>
  <si>
    <t xml:space="preserve">  حقوق و اضافه کاری شهریور ماه سال</t>
  </si>
  <si>
    <t xml:space="preserve">  حقوق و اضافه کاری مهر ماه سال</t>
  </si>
  <si>
    <t xml:space="preserve">  حقوق و اضافه کاری آبان ماه سال</t>
  </si>
  <si>
    <t xml:space="preserve">  حقوق و اضافه کاری آذر ماه سال</t>
  </si>
  <si>
    <t xml:space="preserve">  حقوق و اضافه کاری دی ماه سال</t>
  </si>
  <si>
    <t xml:space="preserve">  حقوق و اضافه کاری بهمن ماه سال</t>
  </si>
  <si>
    <t xml:space="preserve">  حقوق و اضافه کاری اسفند ماه سال</t>
  </si>
  <si>
    <t xml:space="preserve">  هزینه یک:</t>
  </si>
  <si>
    <t xml:space="preserve">  هزینه دو:</t>
  </si>
  <si>
    <t xml:space="preserve">  هزینه پنج:</t>
  </si>
  <si>
    <t xml:space="preserve">  هزینه چهار:</t>
  </si>
  <si>
    <t xml:space="preserve">  هزینه سه:</t>
  </si>
  <si>
    <t>فهرست وجوه ارسالي از سازمان فرهنگ و ارتباطات اسلامي</t>
  </si>
  <si>
    <t>ارقام: به يورو</t>
  </si>
  <si>
    <t>شماره سند</t>
  </si>
  <si>
    <t>شماره حواله</t>
  </si>
  <si>
    <t>تاريخ حواله</t>
  </si>
  <si>
    <t>بودجه ارسالي</t>
  </si>
  <si>
    <t>بودجه واريز شده به حساب</t>
  </si>
  <si>
    <t>كارمزد بانكي</t>
  </si>
  <si>
    <t xml:space="preserve">جمع كل </t>
  </si>
  <si>
    <t xml:space="preserve"> حساب ارز محل(1) به شماره</t>
  </si>
  <si>
    <t xml:space="preserve"> حساب ارز محل(2) به شماره</t>
  </si>
  <si>
    <t xml:space="preserve"> حساب يوروئي(2) به شماره </t>
  </si>
  <si>
    <t xml:space="preserve"> موجودي صندوق</t>
  </si>
  <si>
    <t xml:space="preserve"> مانده موجودي نقل از دوره قبل(صندوق+بانك)</t>
  </si>
  <si>
    <t xml:space="preserve">  حساب(جاري1) ارز محل به شماره</t>
  </si>
  <si>
    <t xml:space="preserve">  حساب(جاري2) ارز محل به شماره</t>
  </si>
  <si>
    <t xml:space="preserve">  موجودي صندوق ارز محل</t>
  </si>
  <si>
    <t xml:space="preserve">  مانده موجودي نقل از دوره قبل(صندوق+بانك)</t>
  </si>
  <si>
    <t xml:space="preserve">  حساب(جاري1) يورويي به شماره</t>
  </si>
  <si>
    <t xml:space="preserve">  حساب(جاري2) يورويي به شماره</t>
  </si>
  <si>
    <t xml:space="preserve">  موجودي صندوق</t>
  </si>
  <si>
    <t xml:space="preserve">  بابت(1)علي الحساب دريافتي از مركز...</t>
  </si>
  <si>
    <t>مصوب</t>
  </si>
  <si>
    <t>انحراف</t>
  </si>
  <si>
    <t>شرح برنامه</t>
  </si>
  <si>
    <t xml:space="preserve">  سه: پيش پرداخت</t>
  </si>
  <si>
    <t xml:space="preserve">ردیف </t>
  </si>
  <si>
    <t xml:space="preserve">کد برنامه </t>
  </si>
  <si>
    <t xml:space="preserve">عنوان هزینه </t>
  </si>
  <si>
    <t xml:space="preserve">بودجه </t>
  </si>
  <si>
    <t xml:space="preserve">هزینه </t>
  </si>
  <si>
    <t>معادل</t>
  </si>
  <si>
    <t>هزینه</t>
  </si>
  <si>
    <t>جمع عملکرد</t>
  </si>
  <si>
    <t>بودجه</t>
  </si>
  <si>
    <t>یوروئی هزینه</t>
  </si>
  <si>
    <t xml:space="preserve">به یورو </t>
  </si>
  <si>
    <t xml:space="preserve">هزینه  </t>
  </si>
  <si>
    <t>تخصیص</t>
  </si>
  <si>
    <t xml:space="preserve">هزینه های پیش بینی نشده در امور فرهنگی و جاری </t>
  </si>
  <si>
    <t>هزينه های تعمير و نگهداري اماكن و وسايل اداري</t>
  </si>
  <si>
    <t>هزینه های  تعمير و نگهداري خودرو</t>
  </si>
  <si>
    <t xml:space="preserve">هزينه آب؛برق؛گاز؛وسایر سوختها </t>
  </si>
  <si>
    <t xml:space="preserve">هزینه های بانکی و پست </t>
  </si>
  <si>
    <t xml:space="preserve">خرید اقلام مصرفی و پذیرائی </t>
  </si>
  <si>
    <t xml:space="preserve">حمل نقل و ارتباطات </t>
  </si>
  <si>
    <t xml:space="preserve">کمک هزینه درمان وبیمه کارکنان </t>
  </si>
  <si>
    <t xml:space="preserve">حقوق اعزامی از مرکز </t>
  </si>
  <si>
    <t xml:space="preserve">علی الحساب حقوق کارکنان محلی </t>
  </si>
  <si>
    <t xml:space="preserve">هزینه اجاره ساختمان مرکز آموزش </t>
  </si>
  <si>
    <t xml:space="preserve">علی الحساب حقوق کارکنان اعزامی  </t>
  </si>
  <si>
    <t xml:space="preserve">جمع کل هزینه های جاری و حقوق </t>
  </si>
  <si>
    <t xml:space="preserve">به ارز محل </t>
  </si>
  <si>
    <t>رایزن فرهنگی جمهوری اسلامی ایران در تركمنستان</t>
  </si>
  <si>
    <t>تعداد سند به برگ</t>
  </si>
  <si>
    <t>هزینه تلفن ؛ فکس ؛ واينترنت</t>
  </si>
  <si>
    <t>تسعير:</t>
  </si>
  <si>
    <t>هزينه جاري:خريد اقلام مصرفي و پذیرائی</t>
  </si>
  <si>
    <t>خريد اقلام مصرفي و پذیرائی</t>
  </si>
  <si>
    <t>92/1/30</t>
  </si>
  <si>
    <t>92/3/28</t>
  </si>
  <si>
    <t>هزينه جاري: کمک هزینه تحصیلی فرزندان</t>
  </si>
  <si>
    <t>کمک هزینه تحصیلی فرزندان</t>
  </si>
  <si>
    <t>هزينه سه: تعمیر و تجهیز مساجد</t>
  </si>
  <si>
    <t>هزينه فرهنگي سه: تعمیر و تجهیز مساجد</t>
  </si>
  <si>
    <t>هزينه چهار:برگزاری همایش امام رضاع</t>
  </si>
  <si>
    <t>هزينه فرهنگي چهار:برگزاری همایش امام رضاع</t>
  </si>
  <si>
    <t>هزينه شش:ترجمه وانتشار نهج البلاغه</t>
  </si>
  <si>
    <t>هزينه فرهنگي شش:ترجمه وانتشار نهج البلاغه</t>
  </si>
  <si>
    <t>هزينه هفت:حمايت از فعاليتهاي ديني وتبليغي</t>
  </si>
  <si>
    <t>هزينه فرهنگي هفت:حمايت از فعاليتهاي ديني وتبليغي</t>
  </si>
  <si>
    <t>رايزني فرهنگي ج.ا.ايران در: ترکمنستان</t>
  </si>
  <si>
    <t xml:space="preserve">هزينه نه:برگزاري 4 دوره (ترم) آموزش زبان فارسي </t>
  </si>
  <si>
    <t xml:space="preserve">هزينه فرهنگي نه:برگزاري 4 دوره (ترم) آموزش زبان فارسي </t>
  </si>
  <si>
    <t>هزينه ده:برگزاري مراسم و مناسبت هاي ديني و مذهبي</t>
  </si>
  <si>
    <t>هزينه فرهنگي ده:برگزاري مراسم و مناسبت هاي ديني و مذهبي</t>
  </si>
  <si>
    <t>رايزني فرهنگي ج.ا.ايران در:ترکمنستان</t>
  </si>
  <si>
    <t>رايزني فرهنگي ج.ا.ايران در::ترکمنستان</t>
  </si>
  <si>
    <t xml:space="preserve">     رايزني فرهنگي جمهوري اسلامي ايران در : ترکمنستان</t>
  </si>
  <si>
    <t>هزينه:حقوق، بازخريدي و...كاركنان بومي</t>
  </si>
  <si>
    <t>هزينه:خريد اقلام مصرفي و پذیرائی</t>
  </si>
  <si>
    <t>هزينه:هزينه آب برق گاز و ساير سوخت ها</t>
  </si>
  <si>
    <t>هزينه:تعمير و نگهداري خودرو</t>
  </si>
  <si>
    <t>هزينه: کمک هزینه تحصیلی فرزندان</t>
  </si>
  <si>
    <t xml:space="preserve">       حسابرس اعزامي:  سعید حقانی</t>
  </si>
  <si>
    <t xml:space="preserve">               حسابرس اعزامي: سعید حقانی</t>
  </si>
  <si>
    <t>حسابرس اعزامي: سعید حقانی</t>
  </si>
  <si>
    <t>رايزن فرهنگي:  آقای اسماعیل زاده</t>
  </si>
  <si>
    <t xml:space="preserve">حسابرس اعزامي: سعید حقانی </t>
  </si>
  <si>
    <t>رايزن فرهنگي: آقای اسماعیل زاده</t>
  </si>
  <si>
    <t>آقای اسماعیل زاده</t>
  </si>
  <si>
    <t>مبلغ دلار</t>
  </si>
  <si>
    <t>سعید حقانی</t>
  </si>
  <si>
    <t>رايزني فرهنگي ج .ا.ا: آقای اسماعیل زاده</t>
  </si>
  <si>
    <t>تبديلي به: منات</t>
  </si>
  <si>
    <t>تبديلي به: دلار</t>
  </si>
  <si>
    <t xml:space="preserve">     حسابرس اعزامي: سعید حقانی</t>
  </si>
  <si>
    <t>رايزني فرهنگي ج.ا.ايران در ترکمنستان</t>
  </si>
  <si>
    <t>جاری و فرهنگی</t>
  </si>
  <si>
    <t>حسابرس اعزامي از مركز: سعید حقانی</t>
  </si>
  <si>
    <t>رايزن فرهنگي ج.ا. ايران در ترکمستان</t>
  </si>
  <si>
    <t>از تاريخ 91/7/28 لغايت 91/12/29</t>
  </si>
  <si>
    <t>نمايندگي فرهنگي سفارت ج.ا.ايران در ترکمنستان</t>
  </si>
  <si>
    <t xml:space="preserve">          بدينوسيله گواهي مي شود مبالغ فوق الذكر بابت بودجه جاري و فرهنگي تحویلی به نمايندگي فرهنگی ج .ا.ایران در ترکمنستان</t>
  </si>
  <si>
    <t xml:space="preserve">         مراتب مورد تاييد است.</t>
  </si>
  <si>
    <t xml:space="preserve">حقوق کارکنان محلی و بازخریدی رایزنی </t>
  </si>
  <si>
    <t xml:space="preserve">کمک هزینه تحصیلی فرزندان کارکنان اعزامی مرکز </t>
  </si>
  <si>
    <t>برگزاری جشن نوروز</t>
  </si>
  <si>
    <t>برگزاری مراسم مردمی سالگرد ارتحال امام ره</t>
  </si>
  <si>
    <t>برگزاری مراسم ویژه برزگداشت نیمه شعبان</t>
  </si>
  <si>
    <t>انتشار 4 شماره از نشریه دوره ای خاوران</t>
  </si>
  <si>
    <t>برگزاری هفته فرهنگی</t>
  </si>
  <si>
    <t>برگزاری روزهای دوستی کودکان و نوجوانان ایران و ترکمنستان</t>
  </si>
  <si>
    <t>برگزاری نمایشگاه قرآنی در ماه مبارک رمضان</t>
  </si>
  <si>
    <r>
      <t>برگزاري همايش امام رضا (ع) در مرو</t>
    </r>
    <r>
      <rPr>
        <b/>
        <sz val="12"/>
        <color rgb="FF000080"/>
        <rFont val="Tahoma"/>
        <family val="2"/>
      </rPr>
      <t xml:space="preserve"> </t>
    </r>
  </si>
  <si>
    <r>
      <t>برگزاري مراسم مردمي روز قدس</t>
    </r>
    <r>
      <rPr>
        <b/>
        <sz val="12"/>
        <color rgb="FF000080"/>
        <rFont val="Tahoma"/>
        <family val="2"/>
      </rPr>
      <t xml:space="preserve"> </t>
    </r>
  </si>
  <si>
    <r>
      <t>حمايت از فعاليت هاي ديني و تبليغي بومي</t>
    </r>
    <r>
      <rPr>
        <b/>
        <sz val="12"/>
        <color rgb="FF000080"/>
        <rFont val="Tahoma"/>
        <family val="2"/>
      </rPr>
      <t xml:space="preserve"> </t>
    </r>
  </si>
  <si>
    <r>
      <t>حمايت از برگزاري نشست علمي"اخلاق و معنويت در اشعار مختومقلي"</t>
    </r>
    <r>
      <rPr>
        <b/>
        <sz val="12"/>
        <color rgb="FF000080"/>
        <rFont val="Tahoma"/>
        <family val="2"/>
      </rPr>
      <t xml:space="preserve"> </t>
    </r>
  </si>
  <si>
    <r>
      <t>حمايت از چاپ مقاله در مطبوعات محلي</t>
    </r>
    <r>
      <rPr>
        <b/>
        <sz val="12"/>
        <color rgb="FF000080"/>
        <rFont val="Tahoma"/>
        <family val="2"/>
      </rPr>
      <t xml:space="preserve"> </t>
    </r>
  </si>
  <si>
    <r>
      <t>ترجمه و انتشار کتاب سيره نبوي شهيد مطهري</t>
    </r>
    <r>
      <rPr>
        <b/>
        <sz val="12"/>
        <color rgb="FF000080"/>
        <rFont val="Tahoma"/>
        <family val="2"/>
      </rPr>
      <t xml:space="preserve"> </t>
    </r>
  </si>
  <si>
    <r>
      <t>ترجمه و چاپ کتاب انسان و ايمان شهيد مطهري</t>
    </r>
    <r>
      <rPr>
        <b/>
        <sz val="12"/>
        <color rgb="FF000080"/>
        <rFont val="Tahoma"/>
        <family val="2"/>
      </rPr>
      <t xml:space="preserve"> </t>
    </r>
  </si>
  <si>
    <r>
      <t>ترجمه و انتشار کتاب " آنچه يک مسلمان بايد بداند " رضا استادي</t>
    </r>
    <r>
      <rPr>
        <b/>
        <sz val="12"/>
        <color rgb="FF000080"/>
        <rFont val="Tahoma"/>
        <family val="2"/>
      </rPr>
      <t xml:space="preserve"> </t>
    </r>
  </si>
  <si>
    <r>
      <t>ترجمه و انتشار کتاب " پس از پنجاه سال (قيام امام حسين ع ) اثر دکتر شهيدي</t>
    </r>
    <r>
      <rPr>
        <b/>
        <sz val="12"/>
        <color rgb="FF000080"/>
        <rFont val="Tahoma"/>
        <family val="2"/>
      </rPr>
      <t xml:space="preserve"> </t>
    </r>
  </si>
  <si>
    <r>
      <t>ترجمه و انتشار کتابي در باره امام رضا (ع)</t>
    </r>
    <r>
      <rPr>
        <b/>
        <sz val="12"/>
        <color rgb="FF000080"/>
        <rFont val="Tahoma"/>
        <family val="2"/>
      </rPr>
      <t xml:space="preserve"> </t>
    </r>
  </si>
  <si>
    <r>
      <t>تاسيس کتابخانه در مسجد پيروان اهل بيت(ع) شهر ترکمنباشي</t>
    </r>
    <r>
      <rPr>
        <b/>
        <sz val="12"/>
        <color rgb="FF000080"/>
        <rFont val="Tahoma"/>
        <family val="2"/>
      </rPr>
      <t xml:space="preserve"> </t>
    </r>
  </si>
  <si>
    <r>
      <t>تجهيز و توسعه حسينيه امام خميني(ره) مرو</t>
    </r>
    <r>
      <rPr>
        <b/>
        <sz val="12"/>
        <color rgb="FF000080"/>
        <rFont val="Tahoma"/>
        <family val="2"/>
      </rPr>
      <t xml:space="preserve"> </t>
    </r>
  </si>
  <si>
    <r>
      <t>تعمير و تجهيز مساجد پيروان اهل بيت(ع) شهرهاي عشق آباد - بايرامعلي- کاخکا- باقر</t>
    </r>
    <r>
      <rPr>
        <b/>
        <sz val="12"/>
        <color rgb="FF000080"/>
        <rFont val="Tahoma"/>
        <family val="2"/>
      </rPr>
      <t xml:space="preserve"> </t>
    </r>
  </si>
  <si>
    <r>
      <t>برگزاري 4 دوره (ترم) آموزش زبان فارسي در 4 سطح ابتدايي- متوسطه- پيشرفته- عالي</t>
    </r>
    <r>
      <rPr>
        <b/>
        <sz val="12"/>
        <color rgb="FF000080"/>
        <rFont val="Tahoma"/>
        <family val="2"/>
      </rPr>
      <t xml:space="preserve"> </t>
    </r>
  </si>
  <si>
    <r>
      <t>برگزاري 3 اردوي علمي و آموزشي براي فارسي آموزان رايزني</t>
    </r>
    <r>
      <rPr>
        <b/>
        <sz val="12"/>
        <color rgb="FF000080"/>
        <rFont val="Tahoma"/>
        <family val="2"/>
      </rPr>
      <t xml:space="preserve"> </t>
    </r>
  </si>
  <si>
    <r>
      <t>حمايت از خادمين زبان و ادبيات فارسي</t>
    </r>
    <r>
      <rPr>
        <b/>
        <sz val="12"/>
        <color rgb="FF000080"/>
        <rFont val="Tahoma"/>
        <family val="2"/>
      </rPr>
      <t xml:space="preserve"> </t>
    </r>
  </si>
  <si>
    <r>
      <t>تبادل هيئت هاي دانشگاهي</t>
    </r>
    <r>
      <rPr>
        <b/>
        <sz val="12"/>
        <color rgb="FF000080"/>
        <rFont val="Tahoma"/>
        <family val="2"/>
      </rPr>
      <t xml:space="preserve"> </t>
    </r>
  </si>
  <si>
    <r>
      <t>اعزام افراد و گروههاي فرهنگي و ديني به مشهد مقدس</t>
    </r>
    <r>
      <rPr>
        <b/>
        <sz val="12"/>
        <color rgb="FF000080"/>
        <rFont val="Tahoma"/>
        <family val="2"/>
      </rPr>
      <t xml:space="preserve"> </t>
    </r>
  </si>
  <si>
    <r>
      <t>بررسي و تحقيق در باره فعاليت هاي فرهنگي کشورهاي ديگر</t>
    </r>
    <r>
      <rPr>
        <b/>
        <sz val="12"/>
        <color rgb="FF000080"/>
        <rFont val="Tahoma"/>
        <family val="2"/>
      </rPr>
      <t xml:space="preserve"> </t>
    </r>
  </si>
  <si>
    <r>
      <t>پژوهشي در آثار تاريخي ايراني - اسلامي در ترکمنستان</t>
    </r>
    <r>
      <rPr>
        <b/>
        <sz val="12"/>
        <color rgb="FF000080"/>
        <rFont val="Tahoma"/>
        <family val="2"/>
      </rPr>
      <t xml:space="preserve"> </t>
    </r>
  </si>
  <si>
    <r>
      <t>بررسي اصول و جهت گيري هاي ديني و فرهنگي دولت ترکمنستان</t>
    </r>
    <r>
      <rPr>
        <b/>
        <sz val="12"/>
        <color rgb="FF000080"/>
        <rFont val="Tahoma"/>
        <family val="2"/>
      </rPr>
      <t xml:space="preserve"> </t>
    </r>
  </si>
  <si>
    <r>
      <t>ترجمه و انتشار نهج البلاغه</t>
    </r>
    <r>
      <rPr>
        <b/>
        <sz val="12"/>
        <color rgb="FF000080"/>
        <rFont val="Tahoma"/>
        <family val="2"/>
      </rPr>
      <t xml:space="preserve"> </t>
    </r>
  </si>
  <si>
    <r>
      <t>ترجمه قرآن كريم به زبان تركمني</t>
    </r>
    <r>
      <rPr>
        <b/>
        <sz val="12"/>
        <color rgb="FF000080"/>
        <rFont val="Tahoma"/>
        <family val="2"/>
      </rPr>
      <t xml:space="preserve"> </t>
    </r>
  </si>
  <si>
    <t>نمایندگی ج.ا.ایران در ترکمنستان</t>
  </si>
  <si>
    <t>تیر</t>
  </si>
  <si>
    <t>مرداد</t>
  </si>
  <si>
    <t>شهریور</t>
  </si>
  <si>
    <t>مهر</t>
  </si>
  <si>
    <t>آبان</t>
  </si>
  <si>
    <t>دی</t>
  </si>
  <si>
    <t>بهمن</t>
  </si>
  <si>
    <t>اسفند</t>
  </si>
  <si>
    <t>رسول اسماعیل زاده</t>
  </si>
  <si>
    <t>نعمتی زاده</t>
  </si>
  <si>
    <t>میرمحمدی</t>
  </si>
  <si>
    <t>فروردین</t>
  </si>
  <si>
    <t>اردیبهشت</t>
  </si>
  <si>
    <t>خرداد</t>
  </si>
  <si>
    <t>آذر</t>
  </si>
  <si>
    <t>جمع کل</t>
  </si>
  <si>
    <t xml:space="preserve">جمع کل : </t>
  </si>
  <si>
    <t>رایزنی فرهنگی ج.ا.ایران در ترکمنستان :</t>
  </si>
  <si>
    <t xml:space="preserve">           رسول اسماعیل زاده</t>
  </si>
  <si>
    <t>تنظیم کننده : سعید حقانی</t>
  </si>
  <si>
    <t>جمع پرداخت شده به تفکیک افراد</t>
  </si>
  <si>
    <t>تاریخ</t>
  </si>
  <si>
    <t>یورو</t>
  </si>
  <si>
    <t>تبدیل شده به دلار</t>
  </si>
  <si>
    <t>تسعیر دلار</t>
  </si>
  <si>
    <t>تسعیر منات</t>
  </si>
  <si>
    <t>تبدیل شده به منات</t>
  </si>
  <si>
    <t>رايزن فرهنگي ج .ا.ا: آقای اسماعیل زاده</t>
  </si>
  <si>
    <t xml:space="preserve">هزينه فرهنگي دو: انتشار 4 شماره از نشريه دوره اي خاوران </t>
  </si>
  <si>
    <t xml:space="preserve">هزينه دو:انتشار 4 شماره از نشريه دوره اي خاوران </t>
  </si>
  <si>
    <t xml:space="preserve">انتشار 4 شماره از نشريه دوره اي خاوران </t>
  </si>
  <si>
    <t>آزاد</t>
  </si>
  <si>
    <t>بدون رسید و یا فیش</t>
  </si>
  <si>
    <t xml:space="preserve">  يك:علي الحساب جک امانی آقای ناصری</t>
  </si>
  <si>
    <t xml:space="preserve">  دو: تعهدات پرداخت نشده(چک آقای ناصری</t>
  </si>
  <si>
    <t xml:space="preserve"> يك:علي الحساب جک امانی آقای ناصری</t>
  </si>
  <si>
    <t>دو: تعهدات پرداخت نشده(چک آقای ناصری</t>
  </si>
  <si>
    <t>اضافه کار نعمتی زاده</t>
  </si>
  <si>
    <r>
      <rPr>
        <b/>
        <sz val="12"/>
        <color theme="1"/>
        <rFont val="Calibri"/>
        <family val="2"/>
        <scheme val="minor"/>
      </rPr>
      <t>ارقام :</t>
    </r>
    <r>
      <rPr>
        <b/>
        <sz val="12"/>
        <color rgb="FFFF0000"/>
        <rFont val="Calibri"/>
        <family val="2"/>
        <scheme val="minor"/>
      </rPr>
      <t xml:space="preserve"> یورو</t>
    </r>
  </si>
  <si>
    <t xml:space="preserve">هزینه حقوق: پرسنلی اعزامی از مرکز </t>
  </si>
  <si>
    <t>بنزین خودروهای رایزنی در سال 92</t>
  </si>
  <si>
    <t xml:space="preserve">کد: </t>
  </si>
  <si>
    <t>2 ماه</t>
  </si>
  <si>
    <t xml:space="preserve">2 ماه </t>
  </si>
  <si>
    <t>کد: 9213214156</t>
  </si>
  <si>
    <t>92/10/20</t>
  </si>
  <si>
    <t>ترجمه نهج البلاغه</t>
  </si>
  <si>
    <t>92/1/20</t>
  </si>
  <si>
    <t>ترجمه مستندات محل اقامت امام رضاع مجله 39-38</t>
  </si>
  <si>
    <t>92/6/1</t>
  </si>
  <si>
    <t>ترجمه مقالات مجله 39-38</t>
  </si>
  <si>
    <t>92/5/15</t>
  </si>
  <si>
    <t>92/11/23</t>
  </si>
  <si>
    <t>چاپ رنگی سی دی مجله 39-38</t>
  </si>
  <si>
    <t>طراحی مجله 39-38</t>
  </si>
  <si>
    <t>ترجمه مقالات مجله خاوران 39-38</t>
  </si>
  <si>
    <t>کد: 9213214117</t>
  </si>
  <si>
    <t>کد:921321415</t>
  </si>
  <si>
    <t>هزینه درمان آقای نعمتی زاده</t>
  </si>
  <si>
    <t>92/2/23</t>
  </si>
  <si>
    <t>92/2/30</t>
  </si>
  <si>
    <t xml:space="preserve">هزینه تلفن رایزنی فروردین </t>
  </si>
  <si>
    <t>تلفن اردیبهشت</t>
  </si>
  <si>
    <t>92/5/7</t>
  </si>
  <si>
    <t>تلفن خرداد</t>
  </si>
  <si>
    <t>آبونمان تلفن 92</t>
  </si>
  <si>
    <t>تلفن تیر</t>
  </si>
  <si>
    <t>اینترنت فروردین</t>
  </si>
  <si>
    <t>اینترنت اردیبهشت</t>
  </si>
  <si>
    <t>اینترنت خرداد</t>
  </si>
  <si>
    <t>اینترنت تیر</t>
  </si>
  <si>
    <t>تلفن مرداد</t>
  </si>
  <si>
    <t>تلفن شهریور</t>
  </si>
  <si>
    <t>اینترنت شهریور</t>
  </si>
  <si>
    <t>اینترنت مرداد</t>
  </si>
  <si>
    <t>اینترنت مهر</t>
  </si>
  <si>
    <t>تلفن مهر</t>
  </si>
  <si>
    <t>تلفن آبان</t>
  </si>
  <si>
    <t>تلفن آذر</t>
  </si>
  <si>
    <t>تلفن دی</t>
  </si>
  <si>
    <t>اینترنت آبان</t>
  </si>
  <si>
    <t>اینترنت آذر</t>
  </si>
  <si>
    <t>کد:9213214157</t>
  </si>
  <si>
    <t xml:space="preserve">کد: 921321412 </t>
  </si>
  <si>
    <t>کد:</t>
  </si>
  <si>
    <t>92/3/30</t>
  </si>
  <si>
    <t>92/4/30</t>
  </si>
  <si>
    <t>92/5/30</t>
  </si>
  <si>
    <t>حقوق کارکنان در فروردین</t>
  </si>
  <si>
    <t>حقوق کارکنان در اردیبهشت</t>
  </si>
  <si>
    <t>حقوق کارکنان در خرداد</t>
  </si>
  <si>
    <t>حقوق کارکنان در تیر</t>
  </si>
  <si>
    <t>اضافه کار سه ماهه اول سال</t>
  </si>
  <si>
    <t>حقوق کارکنان در مرداد</t>
  </si>
  <si>
    <t>حقوق در شهریور</t>
  </si>
  <si>
    <t>حقوق در مهر</t>
  </si>
  <si>
    <t>اضافه کاری سه ماهه دوم</t>
  </si>
  <si>
    <t>حقوق در آبان</t>
  </si>
  <si>
    <t>کد: 9213214143</t>
  </si>
  <si>
    <t>هزينه فرهنگي پنج: اجرای برنامه های مبادلات فرهنگی</t>
  </si>
  <si>
    <t>هزينه پنج: اجرای برنامه های مبادلات فرهنگی</t>
  </si>
  <si>
    <t xml:space="preserve">کد:      9213214138  </t>
  </si>
  <si>
    <t>92/10/26</t>
  </si>
  <si>
    <t>92/10/27</t>
  </si>
  <si>
    <t>92/1030</t>
  </si>
  <si>
    <t>92/11/1</t>
  </si>
  <si>
    <t>92/11/4</t>
  </si>
  <si>
    <t>خرید اقلام بدون فاکتور(آقای زیرک</t>
  </si>
  <si>
    <t>خرید غذا</t>
  </si>
  <si>
    <t>خریدغدا</t>
  </si>
  <si>
    <t>هزینه مترجم در جلسات(دلاز</t>
  </si>
  <si>
    <t>هزينه ده:برگزاري مراسم و مناسبت هاي ديني و مذهبي. محرم رمضان و ولادتهاو..</t>
  </si>
  <si>
    <t>هزینه هشت: ترجمه و چاپ کتاب آموزش زبان فارسی اول به ترکمنی</t>
  </si>
  <si>
    <t>هزینه 11: برگزاری مراسم ارتحال سالگرد امام ره</t>
  </si>
  <si>
    <t>هزینه 12: برگزاری مراسم نیمه شعبان</t>
  </si>
  <si>
    <t>هزینه 13:ترجمه و انتشار کتاب ادعیه و سوره ها همراه با آونگاری آذری</t>
  </si>
  <si>
    <t>هزینه 14:تجهیز اتاق ایران</t>
  </si>
  <si>
    <t>هزینه:15 برگزاری 3 اردوی علمی آموزشی فارسی آموزان</t>
  </si>
  <si>
    <t>هزینه16: ترجمه چاپ نامه امام علی ع به مالک به زبان ترکمنی</t>
  </si>
  <si>
    <t>هزینه17: چاپ کتاب صحیفه سجادیه به زبان ترکمنی</t>
  </si>
  <si>
    <t>هزینه18: ترجمه قرآن به زبان ترکمنی</t>
  </si>
  <si>
    <t>هزینه15 : برگزاری 3 اردوی علمی آموزشی فارسی آموزان</t>
  </si>
  <si>
    <r>
      <t xml:space="preserve">ليست كلي هزينه هاي </t>
    </r>
    <r>
      <rPr>
        <b/>
        <sz val="12"/>
        <color rgb="FFFF0000"/>
        <rFont val="Calibri"/>
        <family val="2"/>
        <scheme val="minor"/>
      </rPr>
      <t>جاري</t>
    </r>
    <r>
      <rPr>
        <b/>
        <sz val="12"/>
        <color theme="1"/>
        <rFont val="Calibri"/>
        <family val="2"/>
        <scheme val="minor"/>
      </rPr>
      <t xml:space="preserve"> رايزني فرهنگي ج.ا.ايران در ترکمنستان -عشق آباد</t>
    </r>
  </si>
  <si>
    <r>
      <t xml:space="preserve">ليست كلي هزينه هاي </t>
    </r>
    <r>
      <rPr>
        <b/>
        <sz val="12"/>
        <color rgb="FFFF0000"/>
        <rFont val="Calibri"/>
        <family val="2"/>
        <scheme val="minor"/>
      </rPr>
      <t>فرهنگي</t>
    </r>
    <r>
      <rPr>
        <b/>
        <sz val="12"/>
        <color theme="1"/>
        <rFont val="Calibri"/>
        <family val="2"/>
        <scheme val="minor"/>
      </rPr>
      <t xml:space="preserve"> رايزني فرهنگي ج.ا.ايران در ترکمنستان -عشق آباد</t>
    </r>
  </si>
  <si>
    <t>بدين وسيله صحت ارقام در ترازنامه نمايندگي به شرح فوق از تاريخ 92/1/1 لغايت 92/12/29 مورد تأئيد است.</t>
  </si>
  <si>
    <t xml:space="preserve">  نمايندگي فرهنگي سفارت ج.ا.ايران در ترکمنستان</t>
  </si>
  <si>
    <t xml:space="preserve">     تراز عمليات تلفيقي (حساب ارز محل و يورو)</t>
  </si>
  <si>
    <t>سال 1392/1/1 لغایت 92/12/29</t>
  </si>
  <si>
    <t>کد: 9213214151</t>
  </si>
  <si>
    <t>92/9/23</t>
  </si>
  <si>
    <t>92/10/7</t>
  </si>
  <si>
    <t>طراحی جلد کتاب</t>
  </si>
  <si>
    <t>دیزاین و صفحه آرایی کتاب</t>
  </si>
  <si>
    <t>اقلام بدون فاکتور</t>
  </si>
  <si>
    <t>کد:9213214154</t>
  </si>
  <si>
    <t>92/3/16</t>
  </si>
  <si>
    <t>92/3/18</t>
  </si>
  <si>
    <t>92/9/10</t>
  </si>
  <si>
    <t>92/10/4</t>
  </si>
  <si>
    <t>92/9/19</t>
  </si>
  <si>
    <t>92/9/27</t>
  </si>
  <si>
    <t>92/6/4</t>
  </si>
  <si>
    <t>92/6/14</t>
  </si>
  <si>
    <t>92/11/14</t>
  </si>
  <si>
    <t>هزینه جوشکاری لوله های تأسیسات</t>
  </si>
  <si>
    <t>سرویس و تعمیر دو عدد اسپیلت</t>
  </si>
  <si>
    <t>تعمیر درب باز کن برقی پارکینگ</t>
  </si>
  <si>
    <t>لوازم تأسیسات(وقه ی فلزی ..</t>
  </si>
  <si>
    <t>پیچ و رول پلاک</t>
  </si>
  <si>
    <t>قفل درب باز کن</t>
  </si>
  <si>
    <t xml:space="preserve">چسب پهن و باطری قلمی </t>
  </si>
  <si>
    <t>خرید رنگ چوب</t>
  </si>
  <si>
    <t>خرید لاک و تینر</t>
  </si>
  <si>
    <t>خرید سنگ مرمر کف کلاس</t>
  </si>
  <si>
    <t>خرید آزبست برای دیگ شوفاژ</t>
  </si>
  <si>
    <t>خرید قلم رنگ زنی</t>
  </si>
  <si>
    <t>کد: 9213214160</t>
  </si>
  <si>
    <t>92/4/10</t>
  </si>
  <si>
    <t>92/5/4</t>
  </si>
  <si>
    <t>92/6/24</t>
  </si>
  <si>
    <t>92/6/26</t>
  </si>
  <si>
    <t>92/6/27</t>
  </si>
  <si>
    <t>92/7/19</t>
  </si>
  <si>
    <t>هزینه حمل اقلام برای مساجد</t>
  </si>
  <si>
    <t>بلیط هواپیمای رایزن از مرو به عشق آباد</t>
  </si>
  <si>
    <t>کرایه اتوبوس میهمانان همایش(روسلان</t>
  </si>
  <si>
    <t>کرایه اتوبوس مهمانان(مالک</t>
  </si>
  <si>
    <t>کرایه اتوبوس میهمانان(رمضان</t>
  </si>
  <si>
    <t>کرایه اتوبوس میهمانان(اشرف</t>
  </si>
  <si>
    <t>کرایه اتوبوس میهمانان(حسین اف</t>
  </si>
  <si>
    <t>هزینه حمل بار آقای میر محمدی به ایران(دلار</t>
  </si>
  <si>
    <t>92/1/3</t>
  </si>
  <si>
    <t>92/1/2</t>
  </si>
  <si>
    <t>91/12/28</t>
  </si>
  <si>
    <t>91/12/30</t>
  </si>
  <si>
    <t>91/12/29</t>
  </si>
  <si>
    <t>92/1/5</t>
  </si>
  <si>
    <t>91/12/23</t>
  </si>
  <si>
    <t>92/1/19</t>
  </si>
  <si>
    <t>91/12/25</t>
  </si>
  <si>
    <t>92/2/12</t>
  </si>
  <si>
    <t>حق الزحمه ودود موذن زاده</t>
  </si>
  <si>
    <t>حق الزحمه سقلی</t>
  </si>
  <si>
    <t>چاپ بنر کتاب نوروز</t>
  </si>
  <si>
    <t>غذای راننده ها در جشن نوروز</t>
  </si>
  <si>
    <t xml:space="preserve">شارژ تلفن راننده ها در جشن نوروز </t>
  </si>
  <si>
    <t xml:space="preserve">کارگر بار کامیون کانون </t>
  </si>
  <si>
    <t>خرید آلاچیق</t>
  </si>
  <si>
    <t>هزینه شارژ تلفن همکاران</t>
  </si>
  <si>
    <t>تهیه و تنظیم مدارک ترخیص بار کامیون</t>
  </si>
  <si>
    <t>تعمیر و سرویس کامپیوتر</t>
  </si>
  <si>
    <t>طراحی بنر رونمایی کتاب</t>
  </si>
  <si>
    <t>ترجمه و ویرایش نوروزنامه(اتایف</t>
  </si>
  <si>
    <t>طراحی جلد کتاب نوروز نامه(دلار</t>
  </si>
  <si>
    <t>حق الزحمه همکاری در برگزاری جشن نوروز (دلار</t>
  </si>
  <si>
    <t>تهیه و تنظیم مدارک ترخیص بار کامیون(دلار</t>
  </si>
  <si>
    <t>کد: 9213214114</t>
  </si>
  <si>
    <t>جمع سند</t>
  </si>
  <si>
    <t>92/3/14</t>
  </si>
  <si>
    <t>کرایه حمل جایگاه از مسجد امام رضاع</t>
  </si>
  <si>
    <t>کرایه میز و صندلی</t>
  </si>
  <si>
    <t>خرید اقلام مراسم(بدون فاکتور</t>
  </si>
  <si>
    <t>جمع ستد</t>
  </si>
  <si>
    <t>کد:9213214115</t>
  </si>
  <si>
    <t>کد:921321413</t>
  </si>
  <si>
    <t>بازخریدی اقای  پرویز</t>
  </si>
  <si>
    <t>92/10/2</t>
  </si>
  <si>
    <t>92/4/2</t>
  </si>
  <si>
    <t>خرید آب میوه و کیک مراسم</t>
  </si>
  <si>
    <t>خرید اقلام شام</t>
  </si>
  <si>
    <t>حق الزحمه گروه سرود(دلار</t>
  </si>
  <si>
    <t>کد:    9213214139</t>
  </si>
  <si>
    <t>حقوق معلمان از فروردین تا بهمن</t>
  </si>
  <si>
    <t xml:space="preserve">حقوق سه نفر در بخش آموزش </t>
  </si>
  <si>
    <t>اضافه کاری سه نفر در بخش آموزش</t>
  </si>
  <si>
    <t>کد:9213214116</t>
  </si>
  <si>
    <t>حقوق آذر</t>
  </si>
  <si>
    <t>اضافه کار سه ماهه سوم</t>
  </si>
  <si>
    <t>حقوق دی</t>
  </si>
  <si>
    <t>حقوق بهمن</t>
  </si>
  <si>
    <t>921321412       921321413</t>
  </si>
  <si>
    <t>کد:9213214159</t>
  </si>
  <si>
    <t xml:space="preserve">کلیه ی هزینه ها </t>
  </si>
  <si>
    <t>خرید گوشی تلفن(دلاری</t>
  </si>
  <si>
    <t>105ضزب 2.86تسعیر=300.3منات</t>
  </si>
  <si>
    <t>کد:9213214133</t>
  </si>
  <si>
    <t>کمک به برنامه ها رمضان ترکمن باشی</t>
  </si>
  <si>
    <t>کمک به مراسم شهادت حضرت علی در مرو</t>
  </si>
  <si>
    <t>هزینه 100 دلاری مراسم مرو</t>
  </si>
  <si>
    <t>هزینه 2700دلاری جامعه روحانیت</t>
  </si>
  <si>
    <t>هزینه 100دلاری عید غدیر</t>
  </si>
  <si>
    <t>200دلاری عید قربان</t>
  </si>
  <si>
    <t xml:space="preserve">300دلاری حمایت از تبلیغات دینی </t>
  </si>
  <si>
    <t>462دلاری حمایت دینی سهراب</t>
  </si>
  <si>
    <t>337دلاری حمایت رستم</t>
  </si>
  <si>
    <t>200دلاری حمایت عبداله اف</t>
  </si>
  <si>
    <t>100*2.86=285</t>
  </si>
  <si>
    <t>2700*2.86=7722</t>
  </si>
  <si>
    <t>200*2.86=572</t>
  </si>
  <si>
    <t>300*2.86=858</t>
  </si>
  <si>
    <t>462*2.86=1321.32</t>
  </si>
  <si>
    <t>337*2.86=963.82</t>
  </si>
  <si>
    <t>همکاری در مراسم عید فطر</t>
  </si>
  <si>
    <t>همکاری در مراسم نیمه شعبان</t>
  </si>
  <si>
    <t>کلیه ی هزینه ها</t>
  </si>
  <si>
    <t>کد:9213214130</t>
  </si>
  <si>
    <t xml:space="preserve">کلیه هزینه های مناتی </t>
  </si>
  <si>
    <t>هزینه دلاری558</t>
  </si>
  <si>
    <t>558*2.86=1595.88</t>
  </si>
  <si>
    <t>کد: 9213214120</t>
  </si>
  <si>
    <t>کد:9213214155</t>
  </si>
  <si>
    <r>
      <t>18681.52/4948=</t>
    </r>
    <r>
      <rPr>
        <b/>
        <sz val="14"/>
        <color rgb="FFFF0000"/>
        <rFont val="Calibri"/>
        <family val="2"/>
        <scheme val="minor"/>
      </rPr>
      <t>3.755</t>
    </r>
    <r>
      <rPr>
        <b/>
        <sz val="14"/>
        <color theme="1"/>
        <rFont val="Calibri"/>
        <family val="2"/>
        <scheme val="minor"/>
      </rPr>
      <t xml:space="preserve"> رقم تسعیر منات به یورو</t>
    </r>
  </si>
  <si>
    <t>حقوق آقای اسماعیل زاده</t>
  </si>
  <si>
    <t>حقوق آقای نعمتی زاده</t>
  </si>
  <si>
    <t>حقوق آقای میرمحمدی</t>
  </si>
  <si>
    <t xml:space="preserve">اعزام مبلغ </t>
  </si>
  <si>
    <t>دهه ی فجر</t>
  </si>
  <si>
    <t xml:space="preserve">طول مدت </t>
  </si>
  <si>
    <t xml:space="preserve">       از تاريخ 92/1/1 لغايت 92/11/30  </t>
  </si>
  <si>
    <t xml:space="preserve">      از تاريخ 92/1/1 لغايت 92/11/30 </t>
  </si>
  <si>
    <t xml:space="preserve">    از تاريخ 92/1/1 لغايت 92/11/30   </t>
  </si>
  <si>
    <t xml:space="preserve">    از تاريخ 92/1/1 لغايت 92/11/30  </t>
  </si>
  <si>
    <t>سال 1392/1/1 لغایت 92/11/30</t>
  </si>
  <si>
    <t>رايزني فرهنگي ج.ا.ا:ترکمنستان</t>
  </si>
  <si>
    <t xml:space="preserve">   تراز عمليات مالي حساب هاي يوروئي از تاريخ   92/1/1  لغايت  92/11/30                       ارقام به: يورو  </t>
  </si>
  <si>
    <t xml:space="preserve">تراز عمليات مالي حساب هاي ارز محل از تاريخ  92/1/1      لغايت  92/11/30    ارقام به :ارز محل  </t>
  </si>
  <si>
    <t>بدين وسيله صحت ارقام در ترازنامه نمايندگي به شرح فوق از تاريخ 92/1/1 لغايت 92/11/30 مورد تأئيد است.</t>
  </si>
  <si>
    <t xml:space="preserve">     از تاريخ92/1/1 لغايت92/11/30 نرخ ميانگين تسعير:</t>
  </si>
  <si>
    <t xml:space="preserve">     حسابرس اعزامي:سعید حقانی</t>
  </si>
  <si>
    <t xml:space="preserve">  بدين وسيله صحت ارقام در ترازنامه نمايندگي به شرح فوق از تاريخ  92/1/1 لغايت 92/11/30 با نرخ ميانگين تسعير:   3.775</t>
  </si>
  <si>
    <r>
      <t xml:space="preserve">صورت خلاصه هزینه های </t>
    </r>
    <r>
      <rPr>
        <b/>
        <sz val="20"/>
        <color rgb="FFFF0000"/>
        <rFont val="B Nazanin"/>
        <charset val="178"/>
      </rPr>
      <t>جاری</t>
    </r>
    <r>
      <rPr>
        <b/>
        <sz val="20"/>
        <rFont val="B Nazanin"/>
        <charset val="178"/>
      </rPr>
      <t xml:space="preserve"> نمایندگی فرهنگی جمهوری اسلامی ایران در تركمنستان از تاریخ 1392/1/1لغایت 1392/11/30</t>
    </r>
  </si>
  <si>
    <r>
      <t xml:space="preserve">صورت خلاصه هزینه های </t>
    </r>
    <r>
      <rPr>
        <b/>
        <sz val="20"/>
        <color rgb="FFFF0000"/>
        <rFont val="B Nazanin"/>
        <charset val="178"/>
      </rPr>
      <t>فرهنگی</t>
    </r>
    <r>
      <rPr>
        <b/>
        <sz val="20"/>
        <rFont val="B Nazanin"/>
        <charset val="178"/>
      </rPr>
      <t xml:space="preserve"> نمایندگی فرهنگی جمهوری اسلامی ایران در تركمنستان از تاریخ 1392/1/1لغایت 1392/11/30</t>
    </r>
  </si>
  <si>
    <t>کلیه ی هزینه ها منات</t>
  </si>
  <si>
    <t>دلاری 100</t>
  </si>
  <si>
    <t>200دلارضرب2.86تسعیر=572منات</t>
  </si>
  <si>
    <t>100*2.86=286</t>
  </si>
  <si>
    <t>350ضرب2.86تسعیر=1001منات</t>
  </si>
  <si>
    <t>150ضرب2.86تسعیر=429منات</t>
  </si>
  <si>
    <t>120ضرب2.86تسعیر=343.2منات</t>
  </si>
  <si>
    <t>350دلار ضرب2.86تسعیر =1001منات</t>
  </si>
  <si>
    <t>300ضزب2.86سعیر=858منات</t>
  </si>
  <si>
    <t>کد:9213214152</t>
  </si>
  <si>
    <t>کد:9213214129</t>
  </si>
  <si>
    <t>هزینه مناتی</t>
  </si>
  <si>
    <t>هزینه های دلار</t>
  </si>
  <si>
    <t>5173*2.86=14794.78منات</t>
  </si>
  <si>
    <t>کد:9213214140</t>
  </si>
  <si>
    <t>خرید کلیه اقلام</t>
  </si>
  <si>
    <t>برگزاری مناسبتهای دینی و مذهبی(رمضان محرم ولادتها و وفاتهاو...</t>
  </si>
  <si>
    <t>اجرای برنامه های مبادلات فرهنگی</t>
  </si>
  <si>
    <t>ترجمه و چاپ کتاب آموزش زبان فارسی کتاب اول</t>
  </si>
</sst>
</file>

<file path=xl/styles.xml><?xml version="1.0" encoding="utf-8"?>
<styleSheet xmlns="http://schemas.openxmlformats.org/spreadsheetml/2006/main">
  <numFmts count="6">
    <numFmt numFmtId="164" formatCode="#,##0.0"/>
    <numFmt numFmtId="165" formatCode="#,##0.0000"/>
    <numFmt numFmtId="166" formatCode="0.0"/>
    <numFmt numFmtId="167" formatCode="0.000"/>
    <numFmt numFmtId="168" formatCode="0.0000"/>
    <numFmt numFmtId="169" formatCode="#,##0.000"/>
  </numFmts>
  <fonts count="49">
    <font>
      <sz val="11"/>
      <color theme="1"/>
      <name val="Calibri"/>
      <family val="2"/>
      <charset val="178"/>
      <scheme val="minor"/>
    </font>
    <font>
      <sz val="11"/>
      <color theme="1"/>
      <name val="Calibri"/>
      <family val="2"/>
      <scheme val="minor"/>
    </font>
    <font>
      <b/>
      <sz val="15"/>
      <color theme="1"/>
      <name val="Calibri"/>
      <family val="2"/>
      <scheme val="minor"/>
    </font>
    <font>
      <b/>
      <sz val="11"/>
      <color theme="1"/>
      <name val="Calibri"/>
      <family val="2"/>
      <scheme val="minor"/>
    </font>
    <font>
      <b/>
      <sz val="12"/>
      <color theme="1"/>
      <name val="Calibri"/>
      <family val="2"/>
      <scheme val="minor"/>
    </font>
    <font>
      <b/>
      <sz val="13"/>
      <color theme="1"/>
      <name val="Calibri"/>
      <family val="2"/>
      <scheme val="minor"/>
    </font>
    <font>
      <sz val="13"/>
      <color theme="1"/>
      <name val="Calibri"/>
      <family val="2"/>
      <scheme val="minor"/>
    </font>
    <font>
      <b/>
      <sz val="10"/>
      <color theme="1"/>
      <name val="Calibri"/>
      <family val="2"/>
      <scheme val="minor"/>
    </font>
    <font>
      <sz val="14"/>
      <color theme="1"/>
      <name val="Calibri"/>
      <family val="2"/>
      <scheme val="minor"/>
    </font>
    <font>
      <sz val="11"/>
      <color theme="1"/>
      <name val="Calibri"/>
      <family val="2"/>
      <scheme val="minor"/>
    </font>
    <font>
      <u/>
      <sz val="11"/>
      <color theme="10"/>
      <name val="Calibri"/>
      <family val="2"/>
      <charset val="178"/>
    </font>
    <font>
      <b/>
      <sz val="11"/>
      <color theme="10"/>
      <name val="Calibri"/>
      <family val="2"/>
    </font>
    <font>
      <b/>
      <sz val="11"/>
      <color theme="1"/>
      <name val="Calibri"/>
      <family val="2"/>
    </font>
    <font>
      <b/>
      <sz val="11"/>
      <color theme="1"/>
      <name val="Calibri"/>
      <family val="2"/>
      <charset val="178"/>
      <scheme val="minor"/>
    </font>
    <font>
      <sz val="11"/>
      <color theme="1"/>
      <name val="Calibri"/>
      <family val="2"/>
    </font>
    <font>
      <b/>
      <sz val="10"/>
      <color theme="1"/>
      <name val="B Nazanin"/>
      <charset val="178"/>
    </font>
    <font>
      <b/>
      <sz val="11"/>
      <color theme="1"/>
      <name val="B Nazanin"/>
      <charset val="178"/>
    </font>
    <font>
      <sz val="11"/>
      <color theme="1"/>
      <name val="B Nazanin"/>
      <charset val="178"/>
    </font>
    <font>
      <b/>
      <sz val="10.5"/>
      <color theme="1"/>
      <name val="Calibri"/>
      <family val="2"/>
      <scheme val="minor"/>
    </font>
    <font>
      <b/>
      <sz val="8"/>
      <color indexed="81"/>
      <name val="Tahoma"/>
      <charset val="178"/>
    </font>
    <font>
      <b/>
      <sz val="8"/>
      <color indexed="81"/>
      <name val="Tahoma"/>
      <family val="2"/>
    </font>
    <font>
      <b/>
      <sz val="8"/>
      <color indexed="81"/>
      <name val="Tahoma"/>
    </font>
    <font>
      <sz val="11"/>
      <color theme="1"/>
      <name val="Calibri"/>
      <family val="2"/>
      <charset val="178"/>
      <scheme val="minor"/>
    </font>
    <font>
      <sz val="11"/>
      <color rgb="FF006100"/>
      <name val="Calibri"/>
      <family val="2"/>
      <scheme val="minor"/>
    </font>
    <font>
      <b/>
      <sz val="20"/>
      <name val="B Nazanin"/>
      <charset val="178"/>
    </font>
    <font>
      <b/>
      <sz val="15"/>
      <name val="B Nazanin"/>
      <charset val="178"/>
    </font>
    <font>
      <b/>
      <sz val="14"/>
      <name val="B Nazanin"/>
      <charset val="178"/>
    </font>
    <font>
      <b/>
      <sz val="18"/>
      <name val="B Nazanin"/>
      <charset val="178"/>
    </font>
    <font>
      <sz val="11"/>
      <name val="Calibri"/>
      <family val="2"/>
      <scheme val="minor"/>
    </font>
    <font>
      <sz val="14"/>
      <name val="B Nazanin"/>
      <charset val="178"/>
    </font>
    <font>
      <b/>
      <sz val="20"/>
      <color rgb="FFFF0000"/>
      <name val="B Nazanin"/>
      <charset val="178"/>
    </font>
    <font>
      <b/>
      <sz val="14"/>
      <color theme="1"/>
      <name val="B Nazanin"/>
      <charset val="178"/>
    </font>
    <font>
      <b/>
      <sz val="12"/>
      <color theme="1"/>
      <name val="Nazanin"/>
    </font>
    <font>
      <b/>
      <sz val="12"/>
      <color theme="1"/>
      <name val="Calibri"/>
      <family val="2"/>
      <charset val="178"/>
      <scheme val="minor"/>
    </font>
    <font>
      <b/>
      <sz val="14"/>
      <color theme="1"/>
      <name val="Calibri"/>
      <family val="2"/>
      <scheme val="minor"/>
    </font>
    <font>
      <b/>
      <sz val="14"/>
      <color theme="1"/>
      <name val="Calibri"/>
      <family val="2"/>
      <charset val="178"/>
      <scheme val="minor"/>
    </font>
    <font>
      <sz val="15"/>
      <color theme="1"/>
      <name val="Calibri"/>
      <family val="2"/>
      <charset val="178"/>
      <scheme val="minor"/>
    </font>
    <font>
      <b/>
      <sz val="15"/>
      <color theme="1"/>
      <name val="Calibri"/>
      <family val="2"/>
      <charset val="178"/>
      <scheme val="minor"/>
    </font>
    <font>
      <b/>
      <sz val="15"/>
      <name val="Calibri"/>
      <family val="2"/>
      <scheme val="minor"/>
    </font>
    <font>
      <b/>
      <sz val="12"/>
      <name val="Tahoma"/>
      <family val="2"/>
    </font>
    <font>
      <b/>
      <sz val="12"/>
      <color theme="1"/>
      <name val="Tahoma"/>
      <family val="2"/>
    </font>
    <font>
      <b/>
      <sz val="12"/>
      <color rgb="FF000000"/>
      <name val="Tahoma"/>
      <family val="2"/>
    </font>
    <font>
      <b/>
      <sz val="12"/>
      <color rgb="FF000080"/>
      <name val="Tahoma"/>
      <family val="2"/>
    </font>
    <font>
      <sz val="12"/>
      <color theme="1"/>
      <name val="Calibri"/>
      <family val="2"/>
      <scheme val="minor"/>
    </font>
    <font>
      <b/>
      <sz val="14"/>
      <color rgb="FFFF0000"/>
      <name val="Calibri"/>
      <family val="2"/>
      <scheme val="minor"/>
    </font>
    <font>
      <b/>
      <sz val="12"/>
      <color theme="1"/>
      <name val="Calibri"/>
      <family val="2"/>
    </font>
    <font>
      <b/>
      <sz val="12"/>
      <color rgb="FFFF0000"/>
      <name val="Calibri"/>
      <family val="2"/>
      <scheme val="minor"/>
    </font>
    <font>
      <sz val="12"/>
      <color theme="1"/>
      <name val="Calibri"/>
      <family val="2"/>
      <charset val="178"/>
      <scheme val="minor"/>
    </font>
    <font>
      <b/>
      <sz val="12"/>
      <color theme="10"/>
      <name val="Calibri"/>
      <family val="2"/>
    </font>
  </fonts>
  <fills count="2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6" tint="0.79998168889431442"/>
        <bgColor indexed="64"/>
      </patternFill>
    </fill>
    <fill>
      <patternFill patternType="solid">
        <fgColor theme="0"/>
        <bgColor indexed="64"/>
      </patternFill>
    </fill>
    <fill>
      <patternFill patternType="solid">
        <fgColor rgb="FFFF8F8F"/>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C6EFCE"/>
      </patternFill>
    </fill>
    <fill>
      <patternFill patternType="solid">
        <fgColor rgb="FFFFFFCC"/>
      </patternFill>
    </fill>
    <fill>
      <patternFill patternType="solid">
        <fgColor theme="5" tint="0.79998168889431442"/>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8"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theme="5" tint="0.79998168889431442"/>
        <bgColor indexed="64"/>
      </patternFill>
    </fill>
    <fill>
      <patternFill patternType="solid">
        <fgColor theme="9" tint="0.39997558519241921"/>
        <bgColor indexed="64"/>
      </patternFill>
    </fill>
    <fill>
      <patternFill patternType="solid">
        <fgColor theme="4" tint="0.79998168889431442"/>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
      <left style="medium">
        <color indexed="64"/>
      </left>
      <right/>
      <top style="thin">
        <color indexed="64"/>
      </top>
      <bottom style="thin">
        <color indexed="64"/>
      </bottom>
      <diagonal/>
    </border>
    <border>
      <left style="thin">
        <color indexed="64"/>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top/>
      <bottom/>
      <diagonal/>
    </border>
    <border>
      <left/>
      <right/>
      <top/>
      <bottom style="medium">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medium">
        <color indexed="64"/>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diagonal/>
    </border>
  </borders>
  <cellStyleXfs count="9">
    <xf numFmtId="0" fontId="0" fillId="0" borderId="0"/>
    <xf numFmtId="0" fontId="10" fillId="0" borderId="0" applyNumberFormat="0" applyFill="0" applyBorder="0" applyAlignment="0" applyProtection="0">
      <alignment vertical="top"/>
      <protection locked="0"/>
    </xf>
    <xf numFmtId="0" fontId="23" fillId="9" borderId="0" applyNumberFormat="0" applyBorder="0" applyAlignment="0" applyProtection="0"/>
    <xf numFmtId="0" fontId="22" fillId="10" borderId="44" applyNumberFormat="0" applyFont="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cellStyleXfs>
  <cellXfs count="562">
    <xf numFmtId="0" fontId="0" fillId="0" borderId="0" xfId="0"/>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xf numFmtId="0" fontId="0" fillId="0" borderId="0" xfId="0" applyAlignment="1">
      <alignment readingOrder="2"/>
    </xf>
    <xf numFmtId="0" fontId="3" fillId="0" borderId="0" xfId="0" applyFont="1" applyAlignment="1">
      <alignment horizontal="left" readingOrder="2"/>
    </xf>
    <xf numFmtId="0" fontId="3" fillId="0" borderId="0" xfId="0" applyFont="1" applyAlignment="1">
      <alignment readingOrder="2"/>
    </xf>
    <xf numFmtId="0" fontId="3" fillId="0" borderId="0" xfId="0" applyFont="1" applyAlignment="1">
      <alignment horizontal="center" vertical="center"/>
    </xf>
    <xf numFmtId="0" fontId="6" fillId="0" borderId="0" xfId="0" applyFont="1" applyAlignment="1">
      <alignment horizontal="right"/>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6" xfId="0" applyFont="1" applyFill="1" applyBorder="1" applyAlignment="1">
      <alignment horizontal="center" vertical="center" wrapText="1" readingOrder="2"/>
    </xf>
    <xf numFmtId="0" fontId="4" fillId="2" borderId="7" xfId="0" applyFont="1" applyFill="1" applyBorder="1" applyAlignment="1">
      <alignment horizontal="center" vertical="center" wrapText="1"/>
    </xf>
    <xf numFmtId="0" fontId="3" fillId="0" borderId="9" xfId="0" applyFont="1" applyBorder="1"/>
    <xf numFmtId="0" fontId="3" fillId="0" borderId="10" xfId="0" applyFont="1" applyBorder="1"/>
    <xf numFmtId="0" fontId="3" fillId="0" borderId="0" xfId="0" applyFont="1" applyAlignment="1">
      <alignment horizontal="center" vertical="center" readingOrder="2"/>
    </xf>
    <xf numFmtId="0" fontId="3" fillId="0" borderId="1" xfId="0" applyFont="1" applyBorder="1" applyAlignment="1">
      <alignment horizontal="center" vertical="center" readingOrder="2"/>
    </xf>
    <xf numFmtId="0" fontId="3" fillId="0" borderId="0" xfId="0" applyFont="1" applyAlignment="1">
      <alignment horizontal="center" vertical="center"/>
    </xf>
    <xf numFmtId="0" fontId="5" fillId="0" borderId="0" xfId="0" applyFont="1" applyBorder="1" applyAlignment="1">
      <alignment horizontal="right" vertical="top"/>
    </xf>
    <xf numFmtId="0" fontId="4" fillId="2" borderId="5" xfId="0" applyFont="1" applyFill="1" applyBorder="1" applyAlignment="1">
      <alignment horizontal="center" vertical="center" readingOrder="2"/>
    </xf>
    <xf numFmtId="0" fontId="4" fillId="2" borderId="6" xfId="0" applyFont="1" applyFill="1" applyBorder="1" applyAlignment="1">
      <alignment horizontal="center" vertical="center" readingOrder="2"/>
    </xf>
    <xf numFmtId="0" fontId="4" fillId="2" borderId="7" xfId="0" applyFont="1" applyFill="1" applyBorder="1" applyAlignment="1">
      <alignment horizontal="center" vertical="center" readingOrder="2"/>
    </xf>
    <xf numFmtId="0" fontId="3" fillId="0" borderId="19" xfId="0" applyFont="1" applyBorder="1" applyAlignment="1">
      <alignment horizontal="center" vertical="center"/>
    </xf>
    <xf numFmtId="0" fontId="3" fillId="0" borderId="9" xfId="0" applyFont="1" applyBorder="1" applyAlignment="1">
      <alignment horizontal="center" vertical="center"/>
    </xf>
    <xf numFmtId="0" fontId="0" fillId="0" borderId="1" xfId="0" applyBorder="1" applyAlignment="1">
      <alignment readingOrder="2"/>
    </xf>
    <xf numFmtId="0" fontId="4" fillId="2" borderId="8" xfId="0" applyFont="1" applyFill="1" applyBorder="1" applyAlignment="1">
      <alignment horizontal="right" vertical="center"/>
    </xf>
    <xf numFmtId="0" fontId="7" fillId="0" borderId="8" xfId="0" applyFont="1" applyBorder="1" applyAlignment="1">
      <alignment horizontal="right" vertical="center"/>
    </xf>
    <xf numFmtId="0" fontId="7" fillId="2" borderId="8" xfId="0" applyFont="1" applyFill="1" applyBorder="1" applyAlignment="1">
      <alignment horizontal="right" vertical="center"/>
    </xf>
    <xf numFmtId="0" fontId="4" fillId="2" borderId="21" xfId="0" applyFont="1" applyFill="1" applyBorder="1" applyAlignment="1">
      <alignment horizontal="right" vertical="center"/>
    </xf>
    <xf numFmtId="0" fontId="4" fillId="5" borderId="0" xfId="0" applyFont="1" applyFill="1" applyBorder="1" applyAlignment="1">
      <alignment horizontal="right" vertical="center" readingOrder="2"/>
    </xf>
    <xf numFmtId="0" fontId="3" fillId="0" borderId="0" xfId="0" applyFont="1" applyAlignment="1">
      <alignment horizontal="right" vertical="center"/>
    </xf>
    <xf numFmtId="0" fontId="5" fillId="2" borderId="1" xfId="0" applyFont="1" applyFill="1" applyBorder="1" applyAlignment="1">
      <alignment horizontal="center" vertical="center" readingOrder="2"/>
    </xf>
    <xf numFmtId="0" fontId="5" fillId="2" borderId="9" xfId="0" applyFont="1" applyFill="1" applyBorder="1" applyAlignment="1">
      <alignment horizontal="center" vertical="center" readingOrder="2"/>
    </xf>
    <xf numFmtId="0" fontId="3" fillId="0" borderId="9" xfId="0" applyFont="1" applyBorder="1" applyAlignment="1">
      <alignment horizontal="center" vertical="center" readingOrder="2"/>
    </xf>
    <xf numFmtId="0" fontId="3" fillId="2" borderId="1" xfId="0" applyFont="1" applyFill="1" applyBorder="1" applyAlignment="1">
      <alignment horizontal="center" vertical="center" readingOrder="2"/>
    </xf>
    <xf numFmtId="0" fontId="3" fillId="2" borderId="9" xfId="0" applyFont="1" applyFill="1" applyBorder="1" applyAlignment="1">
      <alignment horizontal="center" vertical="center" readingOrder="2"/>
    </xf>
    <xf numFmtId="0" fontId="0" fillId="0" borderId="0" xfId="0" applyBorder="1" applyAlignment="1">
      <alignment horizontal="right" vertical="center" readingOrder="2"/>
    </xf>
    <xf numFmtId="0" fontId="3" fillId="2" borderId="8" xfId="0" applyFont="1" applyFill="1" applyBorder="1" applyAlignment="1">
      <alignment horizontal="right" vertical="center"/>
    </xf>
    <xf numFmtId="0" fontId="3" fillId="0" borderId="8" xfId="0" applyFont="1" applyBorder="1" applyAlignment="1">
      <alignment horizontal="right" vertical="center"/>
    </xf>
    <xf numFmtId="0" fontId="2" fillId="2" borderId="11" xfId="0" applyFont="1" applyFill="1" applyBorder="1" applyAlignment="1">
      <alignment horizontal="right" vertical="center"/>
    </xf>
    <xf numFmtId="0" fontId="7" fillId="0" borderId="35" xfId="0" applyFont="1" applyFill="1" applyBorder="1" applyAlignment="1">
      <alignment horizontal="right" vertical="center"/>
    </xf>
    <xf numFmtId="4" fontId="3" fillId="4" borderId="9" xfId="0" applyNumberFormat="1" applyFont="1" applyFill="1" applyBorder="1" applyAlignment="1">
      <alignment horizontal="center" vertical="center" readingOrder="2"/>
    </xf>
    <xf numFmtId="4" fontId="3" fillId="4" borderId="15" xfId="0" applyNumberFormat="1" applyFont="1" applyFill="1" applyBorder="1" applyAlignment="1">
      <alignment horizontal="center" vertical="center" readingOrder="2"/>
    </xf>
    <xf numFmtId="0" fontId="3" fillId="2" borderId="6" xfId="0" applyFont="1" applyFill="1" applyBorder="1" applyAlignment="1">
      <alignment horizontal="center" vertical="center" readingOrder="2"/>
    </xf>
    <xf numFmtId="0" fontId="3" fillId="4" borderId="1" xfId="0" applyFont="1" applyFill="1" applyBorder="1" applyAlignment="1">
      <alignment horizontal="center" vertical="center" readingOrder="2"/>
    </xf>
    <xf numFmtId="0" fontId="7" fillId="2" borderId="1" xfId="0" applyFont="1" applyFill="1" applyBorder="1" applyAlignment="1">
      <alignment horizontal="center" vertical="center" readingOrder="2"/>
    </xf>
    <xf numFmtId="0" fontId="7" fillId="2" borderId="9" xfId="0" applyFont="1" applyFill="1" applyBorder="1" applyAlignment="1">
      <alignment horizontal="center" vertical="center" readingOrder="2"/>
    </xf>
    <xf numFmtId="0" fontId="3" fillId="0" borderId="25" xfId="0" applyFont="1" applyBorder="1" applyAlignment="1">
      <alignment horizontal="right" vertical="center" readingOrder="2"/>
    </xf>
    <xf numFmtId="0" fontId="3" fillId="0" borderId="0" xfId="0" applyFont="1" applyAlignment="1">
      <alignment horizontal="right" vertical="center" readingOrder="2"/>
    </xf>
    <xf numFmtId="0" fontId="3" fillId="0" borderId="0" xfId="0" applyFont="1" applyAlignment="1">
      <alignment horizontal="center" vertical="center" readingOrder="2"/>
    </xf>
    <xf numFmtId="0" fontId="14" fillId="0" borderId="0" xfId="0" applyFont="1"/>
    <xf numFmtId="0" fontId="12" fillId="0" borderId="0" xfId="0" applyFont="1" applyAlignment="1">
      <alignment horizontal="right" vertical="center"/>
    </xf>
    <xf numFmtId="0" fontId="13" fillId="0" borderId="0" xfId="0" applyFont="1" applyAlignment="1">
      <alignment horizontal="right" vertical="center"/>
    </xf>
    <xf numFmtId="0" fontId="14" fillId="0" borderId="0" xfId="0" applyFont="1" applyAlignment="1">
      <alignment readingOrder="2"/>
    </xf>
    <xf numFmtId="0" fontId="12" fillId="0" borderId="15" xfId="0" applyFont="1" applyBorder="1" applyAlignment="1">
      <alignment horizontal="center" vertical="center" readingOrder="2"/>
    </xf>
    <xf numFmtId="0" fontId="12" fillId="0" borderId="1" xfId="0" applyFont="1" applyBorder="1" applyAlignment="1">
      <alignment horizontal="center" vertical="center" readingOrder="2"/>
    </xf>
    <xf numFmtId="0" fontId="12" fillId="0" borderId="9" xfId="0" applyFont="1" applyBorder="1" applyAlignment="1">
      <alignment horizontal="center" vertical="center" readingOrder="2"/>
    </xf>
    <xf numFmtId="0" fontId="12" fillId="4" borderId="14" xfId="0" applyFont="1" applyFill="1" applyBorder="1" applyAlignment="1">
      <alignment horizontal="center" vertical="center" readingOrder="2"/>
    </xf>
    <xf numFmtId="0" fontId="12" fillId="2" borderId="5" xfId="0" applyFont="1" applyFill="1" applyBorder="1" applyAlignment="1">
      <alignment horizontal="center" vertical="center" readingOrder="2"/>
    </xf>
    <xf numFmtId="0" fontId="12" fillId="2" borderId="6" xfId="0" applyFont="1" applyFill="1" applyBorder="1" applyAlignment="1">
      <alignment horizontal="center" vertical="center" readingOrder="2"/>
    </xf>
    <xf numFmtId="0" fontId="12" fillId="2" borderId="6" xfId="0" applyFont="1" applyFill="1" applyBorder="1" applyAlignment="1">
      <alignment horizontal="center" vertical="center" wrapText="1" readingOrder="2"/>
    </xf>
    <xf numFmtId="0" fontId="12" fillId="2" borderId="7" xfId="0" applyFont="1" applyFill="1" applyBorder="1" applyAlignment="1">
      <alignment horizontal="center" vertical="center" readingOrder="2"/>
    </xf>
    <xf numFmtId="0" fontId="3" fillId="0" borderId="1" xfId="0" applyFont="1" applyBorder="1" applyAlignment="1">
      <alignment horizontal="right" vertical="center" readingOrder="2"/>
    </xf>
    <xf numFmtId="0" fontId="3" fillId="2" borderId="5" xfId="0" applyFont="1" applyFill="1" applyBorder="1" applyAlignment="1">
      <alignment horizontal="center" vertical="center" readingOrder="2"/>
    </xf>
    <xf numFmtId="0" fontId="3" fillId="2" borderId="7" xfId="0" applyFont="1" applyFill="1" applyBorder="1" applyAlignment="1">
      <alignment horizontal="center" vertical="center" readingOrder="2"/>
    </xf>
    <xf numFmtId="0" fontId="3" fillId="0" borderId="0" xfId="0" applyFont="1" applyBorder="1" applyAlignment="1">
      <alignment horizontal="center" vertical="center" readingOrder="2"/>
    </xf>
    <xf numFmtId="0" fontId="15" fillId="0" borderId="0" xfId="0" applyFont="1" applyAlignment="1">
      <alignment horizontal="center" readingOrder="2"/>
    </xf>
    <xf numFmtId="0" fontId="15" fillId="0" borderId="0" xfId="0" applyFont="1" applyAlignment="1">
      <alignment horizontal="center"/>
    </xf>
    <xf numFmtId="0" fontId="15" fillId="0" borderId="0" xfId="0" applyFont="1" applyAlignment="1">
      <alignment horizontal="center" vertical="center" readingOrder="2"/>
    </xf>
    <xf numFmtId="0" fontId="3" fillId="7" borderId="39" xfId="0" applyFont="1" applyFill="1" applyBorder="1" applyAlignment="1">
      <alignment horizontal="center" vertical="center" readingOrder="2"/>
    </xf>
    <xf numFmtId="0" fontId="3" fillId="7" borderId="40" xfId="0" applyFont="1" applyFill="1" applyBorder="1" applyAlignment="1">
      <alignment horizontal="center" vertical="center"/>
    </xf>
    <xf numFmtId="0" fontId="3" fillId="7" borderId="40" xfId="0" applyFont="1" applyFill="1" applyBorder="1" applyAlignment="1">
      <alignment horizontal="center" vertical="center" readingOrder="2"/>
    </xf>
    <xf numFmtId="0" fontId="7" fillId="7" borderId="40" xfId="0" applyFont="1" applyFill="1" applyBorder="1" applyAlignment="1">
      <alignment horizontal="center" vertical="center" readingOrder="2"/>
    </xf>
    <xf numFmtId="0" fontId="3" fillId="7" borderId="41" xfId="0" applyFont="1" applyFill="1" applyBorder="1" applyAlignment="1">
      <alignment horizontal="center" vertical="center" readingOrder="2"/>
    </xf>
    <xf numFmtId="0" fontId="0" fillId="0" borderId="0" xfId="0" applyFont="1" applyAlignment="1">
      <alignment readingOrder="2"/>
    </xf>
    <xf numFmtId="0" fontId="0" fillId="0" borderId="0" xfId="0" applyFont="1"/>
    <xf numFmtId="0" fontId="0" fillId="0" borderId="0" xfId="0" applyFont="1" applyAlignment="1">
      <alignment vertical="center" readingOrder="2"/>
    </xf>
    <xf numFmtId="0" fontId="17" fillId="0" borderId="0" xfId="0" applyFont="1" applyAlignment="1">
      <alignment vertical="center" readingOrder="2"/>
    </xf>
    <xf numFmtId="0" fontId="18" fillId="0" borderId="8" xfId="0" applyFont="1" applyBorder="1" applyAlignment="1">
      <alignment horizontal="right" vertical="center"/>
    </xf>
    <xf numFmtId="0" fontId="4" fillId="8" borderId="8" xfId="0" applyFont="1" applyFill="1" applyBorder="1" applyAlignment="1">
      <alignment horizontal="right" vertical="center"/>
    </xf>
    <xf numFmtId="0" fontId="3" fillId="0" borderId="0" xfId="0" applyFont="1" applyAlignment="1">
      <alignment horizontal="center" vertical="center"/>
    </xf>
    <xf numFmtId="4" fontId="0" fillId="0" borderId="0" xfId="0" applyNumberFormat="1"/>
    <xf numFmtId="4" fontId="3" fillId="8" borderId="1" xfId="0" applyNumberFormat="1" applyFont="1" applyFill="1" applyBorder="1" applyAlignment="1">
      <alignment horizontal="center" vertical="center" readingOrder="2"/>
    </xf>
    <xf numFmtId="4" fontId="3" fillId="8" borderId="9" xfId="0" applyNumberFormat="1" applyFont="1" applyFill="1" applyBorder="1" applyAlignment="1">
      <alignment horizontal="center" vertical="center" readingOrder="2"/>
    </xf>
    <xf numFmtId="0" fontId="28" fillId="0" borderId="0" xfId="0" applyFont="1" applyBorder="1"/>
    <xf numFmtId="0" fontId="26" fillId="0" borderId="0" xfId="0" applyFont="1" applyBorder="1" applyAlignment="1">
      <alignment horizontal="center" vertical="center"/>
    </xf>
    <xf numFmtId="0" fontId="29" fillId="0" borderId="0" xfId="0" applyFont="1" applyBorder="1"/>
    <xf numFmtId="0" fontId="12" fillId="16" borderId="8" xfId="0" applyFont="1" applyFill="1" applyBorder="1" applyAlignment="1">
      <alignment horizontal="center" vertical="center" readingOrder="2"/>
    </xf>
    <xf numFmtId="0" fontId="3" fillId="16" borderId="8" xfId="0" applyFont="1" applyFill="1" applyBorder="1" applyAlignment="1">
      <alignment horizontal="center" vertical="center" wrapText="1"/>
    </xf>
    <xf numFmtId="0" fontId="3" fillId="16" borderId="8" xfId="0" applyFont="1" applyFill="1" applyBorder="1" applyAlignment="1">
      <alignment horizontal="center" vertical="center" readingOrder="2"/>
    </xf>
    <xf numFmtId="164" fontId="3" fillId="4" borderId="9" xfId="0" applyNumberFormat="1" applyFont="1" applyFill="1" applyBorder="1" applyAlignment="1">
      <alignment horizontal="center" vertical="center" readingOrder="2"/>
    </xf>
    <xf numFmtId="0" fontId="32" fillId="0" borderId="1" xfId="0" applyFont="1" applyBorder="1" applyAlignment="1">
      <alignment horizontal="center" vertical="center" wrapText="1"/>
    </xf>
    <xf numFmtId="0" fontId="32" fillId="0" borderId="1" xfId="0" applyFont="1" applyBorder="1" applyAlignment="1">
      <alignment horizontal="right" vertical="top" wrapText="1" readingOrder="2"/>
    </xf>
    <xf numFmtId="0" fontId="4" fillId="0" borderId="36" xfId="0" applyFont="1" applyBorder="1" applyAlignment="1">
      <alignment horizontal="center" vertical="center" readingOrder="2"/>
    </xf>
    <xf numFmtId="0" fontId="4" fillId="0" borderId="1" xfId="0" applyFont="1" applyBorder="1" applyAlignment="1">
      <alignment horizontal="center" vertical="center" readingOrder="2"/>
    </xf>
    <xf numFmtId="0" fontId="32" fillId="0" borderId="1" xfId="0" applyFont="1" applyBorder="1" applyAlignment="1">
      <alignment horizontal="right" vertical="center" wrapText="1" readingOrder="2"/>
    </xf>
    <xf numFmtId="0" fontId="4" fillId="0" borderId="1" xfId="0" applyFont="1" applyBorder="1" applyAlignment="1">
      <alignment horizontal="right" vertical="center" readingOrder="2"/>
    </xf>
    <xf numFmtId="0" fontId="32" fillId="0" borderId="1" xfId="0" applyFont="1" applyBorder="1" applyAlignment="1">
      <alignment vertical="center" wrapText="1"/>
    </xf>
    <xf numFmtId="0" fontId="32" fillId="0" borderId="1" xfId="0" applyFont="1" applyBorder="1" applyAlignment="1">
      <alignment vertical="center" wrapText="1" readingOrder="2"/>
    </xf>
    <xf numFmtId="0" fontId="32" fillId="0" borderId="1" xfId="0" applyFont="1" applyBorder="1" applyAlignment="1">
      <alignment vertical="center"/>
    </xf>
    <xf numFmtId="164" fontId="3" fillId="4" borderId="1" xfId="0" applyNumberFormat="1" applyFont="1" applyFill="1" applyBorder="1" applyAlignment="1">
      <alignment horizontal="center" vertical="center" readingOrder="2"/>
    </xf>
    <xf numFmtId="0" fontId="3" fillId="0" borderId="0" xfId="0" applyFont="1" applyAlignment="1">
      <alignment horizontal="center" vertical="center" readingOrder="2"/>
    </xf>
    <xf numFmtId="0" fontId="32" fillId="0" borderId="1" xfId="0" applyFont="1" applyBorder="1" applyAlignment="1">
      <alignment horizontal="right"/>
    </xf>
    <xf numFmtId="0" fontId="4" fillId="0" borderId="16" xfId="0" applyFont="1" applyBorder="1" applyAlignment="1">
      <alignment horizontal="center" vertical="center" readingOrder="2"/>
    </xf>
    <xf numFmtId="4" fontId="4" fillId="4" borderId="1" xfId="0" applyNumberFormat="1" applyFont="1" applyFill="1" applyBorder="1" applyAlignment="1">
      <alignment horizontal="center" vertical="center" readingOrder="2"/>
    </xf>
    <xf numFmtId="4" fontId="4" fillId="4" borderId="9" xfId="0" applyNumberFormat="1" applyFont="1" applyFill="1" applyBorder="1" applyAlignment="1">
      <alignment horizontal="center" vertical="center" readingOrder="2"/>
    </xf>
    <xf numFmtId="2" fontId="4" fillId="0" borderId="1" xfId="0" applyNumberFormat="1" applyFont="1" applyBorder="1" applyAlignment="1">
      <alignment horizontal="center" vertical="center" readingOrder="2"/>
    </xf>
    <xf numFmtId="0" fontId="4" fillId="4" borderId="14" xfId="0" applyFont="1" applyFill="1" applyBorder="1" applyAlignment="1">
      <alignment horizontal="center" vertical="center" readingOrder="2"/>
    </xf>
    <xf numFmtId="4" fontId="4" fillId="4" borderId="14" xfId="0" applyNumberFormat="1" applyFont="1" applyFill="1" applyBorder="1" applyAlignment="1">
      <alignment horizontal="center" vertical="center" readingOrder="2"/>
    </xf>
    <xf numFmtId="164" fontId="4" fillId="4" borderId="1" xfId="0" applyNumberFormat="1" applyFont="1" applyFill="1" applyBorder="1" applyAlignment="1">
      <alignment horizontal="center" vertical="center" readingOrder="2"/>
    </xf>
    <xf numFmtId="164" fontId="4" fillId="4" borderId="9" xfId="0" applyNumberFormat="1" applyFont="1" applyFill="1" applyBorder="1" applyAlignment="1">
      <alignment horizontal="center" vertical="center" readingOrder="2"/>
    </xf>
    <xf numFmtId="164" fontId="4" fillId="0" borderId="1" xfId="0" applyNumberFormat="1" applyFont="1" applyBorder="1" applyAlignment="1">
      <alignment horizontal="center" vertical="center" readingOrder="2"/>
    </xf>
    <xf numFmtId="164" fontId="4" fillId="0" borderId="2" xfId="0" applyNumberFormat="1" applyFont="1" applyBorder="1" applyAlignment="1">
      <alignment horizontal="center" vertical="center" readingOrder="2"/>
    </xf>
    <xf numFmtId="164" fontId="4" fillId="4" borderId="14" xfId="0" applyNumberFormat="1" applyFont="1" applyFill="1" applyBorder="1" applyAlignment="1">
      <alignment horizontal="center" vertical="center" readingOrder="2"/>
    </xf>
    <xf numFmtId="164" fontId="4" fillId="4" borderId="15" xfId="0" applyNumberFormat="1" applyFont="1" applyFill="1" applyBorder="1" applyAlignment="1">
      <alignment horizontal="center" vertical="center" readingOrder="2"/>
    </xf>
    <xf numFmtId="2" fontId="4" fillId="4" borderId="14" xfId="0" applyNumberFormat="1" applyFont="1" applyFill="1" applyBorder="1" applyAlignment="1">
      <alignment horizontal="center" vertical="center" readingOrder="2"/>
    </xf>
    <xf numFmtId="166" fontId="4" fillId="4" borderId="14" xfId="0" applyNumberFormat="1" applyFont="1" applyFill="1" applyBorder="1" applyAlignment="1">
      <alignment horizontal="center" vertical="center" readingOrder="2"/>
    </xf>
    <xf numFmtId="4" fontId="33" fillId="4" borderId="9" xfId="0" applyNumberFormat="1" applyFont="1" applyFill="1" applyBorder="1" applyAlignment="1">
      <alignment horizontal="center" vertical="center" readingOrder="2"/>
    </xf>
    <xf numFmtId="164" fontId="33" fillId="4" borderId="9" xfId="0" applyNumberFormat="1" applyFont="1" applyFill="1" applyBorder="1" applyAlignment="1">
      <alignment horizontal="center" vertical="center" readingOrder="2"/>
    </xf>
    <xf numFmtId="3" fontId="4" fillId="0" borderId="1" xfId="0" applyNumberFormat="1" applyFont="1" applyBorder="1" applyAlignment="1">
      <alignment horizontal="center" vertical="center" readingOrder="2"/>
    </xf>
    <xf numFmtId="3" fontId="4" fillId="4" borderId="14" xfId="0" applyNumberFormat="1" applyFont="1" applyFill="1" applyBorder="1" applyAlignment="1">
      <alignment horizontal="center" vertical="center" readingOrder="2"/>
    </xf>
    <xf numFmtId="4" fontId="4" fillId="4" borderId="15" xfId="0" applyNumberFormat="1" applyFont="1" applyFill="1" applyBorder="1" applyAlignment="1">
      <alignment horizontal="center" vertical="center" readingOrder="2"/>
    </xf>
    <xf numFmtId="3" fontId="4" fillId="0" borderId="1" xfId="0" applyNumberFormat="1" applyFont="1" applyBorder="1" applyAlignment="1">
      <alignment horizontal="center" vertical="center" wrapText="1" readingOrder="2"/>
    </xf>
    <xf numFmtId="4" fontId="4" fillId="4" borderId="1" xfId="0" applyNumberFormat="1" applyFont="1" applyFill="1" applyBorder="1" applyAlignment="1">
      <alignment horizontal="center" vertical="center" wrapText="1" readingOrder="2"/>
    </xf>
    <xf numFmtId="164" fontId="4" fillId="0" borderId="1" xfId="0" applyNumberFormat="1" applyFont="1" applyBorder="1" applyAlignment="1">
      <alignment horizontal="center" vertical="center" wrapText="1" readingOrder="2"/>
    </xf>
    <xf numFmtId="3" fontId="4" fillId="0" borderId="2" xfId="0" applyNumberFormat="1" applyFont="1" applyBorder="1" applyAlignment="1">
      <alignment horizontal="center" vertical="center" wrapText="1" readingOrder="2"/>
    </xf>
    <xf numFmtId="4" fontId="4" fillId="4" borderId="2" xfId="0" applyNumberFormat="1" applyFont="1" applyFill="1" applyBorder="1" applyAlignment="1">
      <alignment horizontal="center" vertical="center" wrapText="1" readingOrder="2"/>
    </xf>
    <xf numFmtId="164" fontId="4" fillId="0" borderId="2" xfId="0" applyNumberFormat="1" applyFont="1" applyBorder="1" applyAlignment="1">
      <alignment horizontal="center" vertical="center" wrapText="1" readingOrder="2"/>
    </xf>
    <xf numFmtId="3" fontId="4" fillId="4" borderId="1" xfId="0" applyNumberFormat="1" applyFont="1" applyFill="1" applyBorder="1" applyAlignment="1">
      <alignment horizontal="center" vertical="center" wrapText="1" readingOrder="2"/>
    </xf>
    <xf numFmtId="4" fontId="4" fillId="0" borderId="1" xfId="0" applyNumberFormat="1" applyFont="1" applyBorder="1" applyAlignment="1">
      <alignment horizontal="center" vertical="center" wrapText="1" readingOrder="2"/>
    </xf>
    <xf numFmtId="4" fontId="3" fillId="4" borderId="1" xfId="0" applyNumberFormat="1" applyFont="1" applyFill="1" applyBorder="1" applyAlignment="1">
      <alignment horizontal="center" vertical="center" readingOrder="2"/>
    </xf>
    <xf numFmtId="4" fontId="4" fillId="3" borderId="1" xfId="0" applyNumberFormat="1" applyFont="1" applyFill="1" applyBorder="1" applyAlignment="1">
      <alignment horizontal="center" vertical="center" wrapText="1" readingOrder="2"/>
    </xf>
    <xf numFmtId="4" fontId="4" fillId="4" borderId="17" xfId="0" applyNumberFormat="1" applyFont="1" applyFill="1" applyBorder="1" applyAlignment="1">
      <alignment horizontal="center" vertical="center" readingOrder="2"/>
    </xf>
    <xf numFmtId="164" fontId="4" fillId="4" borderId="17" xfId="0" applyNumberFormat="1" applyFont="1" applyFill="1" applyBorder="1" applyAlignment="1">
      <alignment horizontal="center" vertical="center" readingOrder="2"/>
    </xf>
    <xf numFmtId="165" fontId="4" fillId="4" borderId="1" xfId="0" applyNumberFormat="1" applyFont="1" applyFill="1" applyBorder="1" applyAlignment="1">
      <alignment horizontal="center" vertical="center" wrapText="1" readingOrder="2"/>
    </xf>
    <xf numFmtId="3" fontId="4" fillId="4" borderId="17" xfId="0" applyNumberFormat="1" applyFont="1" applyFill="1" applyBorder="1" applyAlignment="1">
      <alignment horizontal="center" vertical="center" readingOrder="2"/>
    </xf>
    <xf numFmtId="4" fontId="4" fillId="4" borderId="17" xfId="0" applyNumberFormat="1" applyFont="1" applyFill="1" applyBorder="1" applyAlignment="1">
      <alignment horizontal="center" readingOrder="2"/>
    </xf>
    <xf numFmtId="0" fontId="32" fillId="0" borderId="0" xfId="0" applyFont="1" applyBorder="1" applyAlignment="1">
      <alignment horizontal="right" vertical="center" wrapText="1"/>
    </xf>
    <xf numFmtId="167" fontId="4" fillId="0" borderId="0" xfId="0" applyNumberFormat="1" applyFont="1" applyBorder="1" applyAlignment="1">
      <alignment horizontal="center" vertical="center" readingOrder="2"/>
    </xf>
    <xf numFmtId="0" fontId="32" fillId="0" borderId="6" xfId="0" applyFont="1" applyBorder="1" applyAlignment="1">
      <alignment horizontal="right" vertical="top" wrapText="1" readingOrder="2"/>
    </xf>
    <xf numFmtId="0" fontId="4" fillId="0" borderId="6" xfId="0" applyFont="1" applyBorder="1" applyAlignment="1">
      <alignment horizontal="center" vertical="center" readingOrder="2"/>
    </xf>
    <xf numFmtId="4" fontId="4" fillId="4" borderId="6" xfId="0" applyNumberFormat="1" applyFont="1" applyFill="1" applyBorder="1" applyAlignment="1">
      <alignment horizontal="center" vertical="center" readingOrder="2"/>
    </xf>
    <xf numFmtId="4" fontId="4" fillId="4" borderId="7" xfId="0" applyNumberFormat="1" applyFont="1" applyFill="1" applyBorder="1" applyAlignment="1">
      <alignment horizontal="center" vertical="center" readingOrder="2"/>
    </xf>
    <xf numFmtId="164" fontId="33" fillId="4" borderId="15" xfId="0" applyNumberFormat="1" applyFont="1" applyFill="1" applyBorder="1" applyAlignment="1">
      <alignment horizontal="center" vertical="center" readingOrder="2"/>
    </xf>
    <xf numFmtId="0" fontId="32" fillId="0" borderId="0" xfId="0" applyFont="1" applyBorder="1" applyAlignment="1">
      <alignment horizontal="right"/>
    </xf>
    <xf numFmtId="0" fontId="32" fillId="0" borderId="0" xfId="0" applyFont="1" applyBorder="1" applyAlignment="1">
      <alignment horizontal="center" vertical="center" wrapText="1"/>
    </xf>
    <xf numFmtId="2" fontId="4" fillId="0" borderId="6" xfId="0" applyNumberFormat="1" applyFont="1" applyBorder="1" applyAlignment="1">
      <alignment horizontal="center" vertical="center" readingOrder="2"/>
    </xf>
    <xf numFmtId="0" fontId="3" fillId="0" borderId="6" xfId="0" applyFont="1" applyBorder="1" applyAlignment="1">
      <alignment horizontal="center" vertical="center" readingOrder="2"/>
    </xf>
    <xf numFmtId="0" fontId="3" fillId="0" borderId="1" xfId="0" applyFont="1" applyBorder="1" applyAlignment="1">
      <alignment horizontal="center" vertical="center"/>
    </xf>
    <xf numFmtId="0" fontId="3" fillId="16" borderId="23" xfId="0" applyFont="1" applyFill="1" applyBorder="1" applyAlignment="1">
      <alignment horizontal="center" vertical="center" readingOrder="2"/>
    </xf>
    <xf numFmtId="0" fontId="3" fillId="0" borderId="5" xfId="0" applyFont="1" applyBorder="1" applyAlignment="1">
      <alignment horizontal="right" vertical="center"/>
    </xf>
    <xf numFmtId="0" fontId="3" fillId="0" borderId="21" xfId="0" applyFont="1" applyBorder="1" applyAlignment="1">
      <alignment horizontal="right" vertical="center"/>
    </xf>
    <xf numFmtId="0" fontId="3" fillId="0" borderId="14" xfId="0" applyFont="1" applyBorder="1" applyAlignment="1">
      <alignment horizontal="center" vertical="center" readingOrder="2"/>
    </xf>
    <xf numFmtId="14" fontId="3" fillId="0" borderId="14" xfId="0" applyNumberFormat="1" applyFont="1" applyBorder="1" applyAlignment="1">
      <alignment horizontal="center" vertical="center" readingOrder="2"/>
    </xf>
    <xf numFmtId="3" fontId="3" fillId="0" borderId="6" xfId="0" applyNumberFormat="1" applyFont="1" applyBorder="1" applyAlignment="1">
      <alignment horizontal="center" vertical="center" readingOrder="2"/>
    </xf>
    <xf numFmtId="3" fontId="3" fillId="4" borderId="7" xfId="0" applyNumberFormat="1" applyFont="1" applyFill="1" applyBorder="1" applyAlignment="1">
      <alignment horizontal="center" vertical="center" readingOrder="2"/>
    </xf>
    <xf numFmtId="3" fontId="3" fillId="0" borderId="1" xfId="0" applyNumberFormat="1" applyFont="1" applyBorder="1" applyAlignment="1">
      <alignment horizontal="center" vertical="center" readingOrder="2"/>
    </xf>
    <xf numFmtId="3" fontId="3" fillId="4" borderId="9" xfId="0" applyNumberFormat="1" applyFont="1" applyFill="1" applyBorder="1" applyAlignment="1">
      <alignment horizontal="center" vertical="center" readingOrder="2"/>
    </xf>
    <xf numFmtId="3" fontId="3" fillId="0" borderId="14" xfId="0" applyNumberFormat="1" applyFont="1" applyBorder="1" applyAlignment="1">
      <alignment horizontal="center" vertical="center" readingOrder="2"/>
    </xf>
    <xf numFmtId="3" fontId="3" fillId="4" borderId="15" xfId="0" applyNumberFormat="1" applyFont="1" applyFill="1" applyBorder="1" applyAlignment="1">
      <alignment horizontal="center" vertical="center" readingOrder="2"/>
    </xf>
    <xf numFmtId="3" fontId="3" fillId="4" borderId="17" xfId="0" applyNumberFormat="1" applyFont="1" applyFill="1" applyBorder="1" applyAlignment="1">
      <alignment horizontal="center" vertical="center" readingOrder="2"/>
    </xf>
    <xf numFmtId="3" fontId="3" fillId="4" borderId="17" xfId="0" applyNumberFormat="1" applyFont="1" applyFill="1" applyBorder="1" applyAlignment="1">
      <alignment horizontal="center" vertical="center" wrapText="1" readingOrder="2"/>
    </xf>
    <xf numFmtId="3" fontId="3" fillId="4" borderId="19" xfId="0" applyNumberFormat="1" applyFont="1" applyFill="1" applyBorder="1" applyAlignment="1">
      <alignment horizontal="center" vertical="center" readingOrder="2"/>
    </xf>
    <xf numFmtId="164" fontId="26" fillId="4" borderId="1" xfId="5" applyNumberFormat="1" applyFont="1" applyFill="1" applyBorder="1" applyAlignment="1">
      <alignment horizontal="center" vertical="center"/>
    </xf>
    <xf numFmtId="3" fontId="26" fillId="5" borderId="9" xfId="2" applyNumberFormat="1" applyFont="1" applyFill="1" applyBorder="1" applyAlignment="1">
      <alignment horizontal="center" vertical="center"/>
    </xf>
    <xf numFmtId="3" fontId="26" fillId="5" borderId="10" xfId="2" applyNumberFormat="1" applyFont="1" applyFill="1" applyBorder="1" applyAlignment="1">
      <alignment horizontal="center" vertical="center"/>
    </xf>
    <xf numFmtId="0" fontId="27" fillId="3" borderId="0" xfId="0" applyFont="1" applyFill="1" applyBorder="1" applyAlignment="1">
      <alignment horizontal="center" vertical="center"/>
    </xf>
    <xf numFmtId="0" fontId="31" fillId="3" borderId="0" xfId="0" applyFont="1" applyFill="1" applyBorder="1" applyAlignment="1">
      <alignment horizontal="center" vertical="center" wrapText="1"/>
    </xf>
    <xf numFmtId="3" fontId="26" fillId="18" borderId="41" xfId="2" applyNumberFormat="1" applyFont="1" applyFill="1" applyBorder="1" applyAlignment="1">
      <alignment horizontal="center" vertical="center"/>
    </xf>
    <xf numFmtId="3" fontId="26" fillId="5" borderId="42" xfId="2" applyNumberFormat="1" applyFont="1" applyFill="1" applyBorder="1" applyAlignment="1">
      <alignment horizontal="center" vertical="center"/>
    </xf>
    <xf numFmtId="0" fontId="26" fillId="2" borderId="6" xfId="7" applyFont="1" applyFill="1" applyBorder="1" applyAlignment="1">
      <alignment horizontal="center" vertical="center"/>
    </xf>
    <xf numFmtId="0" fontId="26" fillId="2" borderId="6" xfId="0" applyFont="1" applyFill="1" applyBorder="1" applyAlignment="1">
      <alignment horizontal="center" vertical="center"/>
    </xf>
    <xf numFmtId="0" fontId="26" fillId="2" borderId="6" xfId="5" applyFont="1" applyFill="1" applyBorder="1" applyAlignment="1">
      <alignment horizontal="center" vertical="center"/>
    </xf>
    <xf numFmtId="0" fontId="26" fillId="2" borderId="6" xfId="8" applyFont="1" applyFill="1" applyBorder="1" applyAlignment="1">
      <alignment horizontal="center" vertical="center"/>
    </xf>
    <xf numFmtId="0" fontId="26" fillId="2" borderId="6" xfId="3" applyFont="1" applyFill="1" applyBorder="1" applyAlignment="1">
      <alignment horizontal="center" vertical="center"/>
    </xf>
    <xf numFmtId="0" fontId="26" fillId="2" borderId="6" xfId="4" applyFont="1" applyFill="1" applyBorder="1" applyAlignment="1">
      <alignment horizontal="center" vertical="center"/>
    </xf>
    <xf numFmtId="0" fontId="26" fillId="2" borderId="14" xfId="7" applyFont="1" applyFill="1" applyBorder="1" applyAlignment="1">
      <alignment horizontal="center" vertical="center"/>
    </xf>
    <xf numFmtId="0" fontId="26" fillId="2" borderId="14" xfId="0" applyFont="1" applyFill="1" applyBorder="1" applyAlignment="1">
      <alignment horizontal="center" vertical="center"/>
    </xf>
    <xf numFmtId="0" fontId="26" fillId="2" borderId="14" xfId="5" applyFont="1" applyFill="1" applyBorder="1" applyAlignment="1">
      <alignment horizontal="center" vertical="center"/>
    </xf>
    <xf numFmtId="0" fontId="26" fillId="2" borderId="14" xfId="8" applyFont="1" applyFill="1" applyBorder="1" applyAlignment="1">
      <alignment horizontal="center" vertical="center"/>
    </xf>
    <xf numFmtId="0" fontId="26" fillId="2" borderId="14" xfId="3" applyFont="1" applyFill="1" applyBorder="1" applyAlignment="1">
      <alignment horizontal="center" vertical="center"/>
    </xf>
    <xf numFmtId="0" fontId="26" fillId="2" borderId="14" xfId="4" applyFont="1" applyFill="1" applyBorder="1" applyAlignment="1">
      <alignment horizontal="center" vertical="center"/>
    </xf>
    <xf numFmtId="0" fontId="26" fillId="14" borderId="52" xfId="7" applyFont="1" applyBorder="1" applyAlignment="1">
      <alignment horizontal="center" vertical="center"/>
    </xf>
    <xf numFmtId="0" fontId="26" fillId="14" borderId="53" xfId="7" applyFont="1" applyBorder="1" applyAlignment="1">
      <alignment horizontal="center" vertical="center"/>
    </xf>
    <xf numFmtId="0" fontId="26" fillId="14" borderId="51" xfId="7" applyFont="1" applyBorder="1" applyAlignment="1">
      <alignment horizontal="center" vertical="center"/>
    </xf>
    <xf numFmtId="164" fontId="26" fillId="20" borderId="40" xfId="3" applyNumberFormat="1" applyFont="1" applyFill="1" applyBorder="1" applyAlignment="1">
      <alignment horizontal="center" vertical="center"/>
    </xf>
    <xf numFmtId="3" fontId="25" fillId="5" borderId="3" xfId="7" applyNumberFormat="1" applyFont="1" applyFill="1" applyBorder="1" applyAlignment="1">
      <alignment horizontal="center" vertical="center"/>
    </xf>
    <xf numFmtId="3" fontId="25" fillId="0" borderId="3" xfId="0" applyNumberFormat="1" applyFont="1" applyBorder="1" applyAlignment="1">
      <alignment horizontal="center" vertical="center"/>
    </xf>
    <xf numFmtId="3" fontId="25" fillId="4" borderId="3" xfId="5" applyNumberFormat="1" applyFont="1" applyFill="1" applyBorder="1" applyAlignment="1">
      <alignment horizontal="center" vertical="center"/>
    </xf>
    <xf numFmtId="3" fontId="25" fillId="5" borderId="3" xfId="8" applyNumberFormat="1" applyFont="1" applyFill="1" applyBorder="1" applyAlignment="1">
      <alignment horizontal="center" vertical="center"/>
    </xf>
    <xf numFmtId="3" fontId="25" fillId="4" borderId="3" xfId="3" applyNumberFormat="1" applyFont="1" applyFill="1" applyBorder="1" applyAlignment="1">
      <alignment horizontal="center" vertical="center"/>
    </xf>
    <xf numFmtId="3" fontId="25" fillId="4" borderId="3" xfId="4" applyNumberFormat="1" applyFont="1" applyFill="1" applyBorder="1" applyAlignment="1">
      <alignment horizontal="center" vertical="center"/>
    </xf>
    <xf numFmtId="3" fontId="25" fillId="5" borderId="42" xfId="2" applyNumberFormat="1" applyFont="1" applyFill="1" applyBorder="1" applyAlignment="1">
      <alignment horizontal="center" vertical="center"/>
    </xf>
    <xf numFmtId="3" fontId="25" fillId="5" borderId="1" xfId="7" applyNumberFormat="1" applyFont="1" applyFill="1" applyBorder="1" applyAlignment="1">
      <alignment horizontal="center" vertical="center"/>
    </xf>
    <xf numFmtId="3" fontId="25" fillId="0" borderId="1" xfId="0" applyNumberFormat="1" applyFont="1" applyBorder="1" applyAlignment="1">
      <alignment horizontal="center" vertical="center"/>
    </xf>
    <xf numFmtId="3" fontId="25" fillId="5" borderId="1" xfId="8" applyNumberFormat="1" applyFont="1" applyFill="1" applyBorder="1" applyAlignment="1">
      <alignment horizontal="center" vertical="center"/>
    </xf>
    <xf numFmtId="3" fontId="25" fillId="4" borderId="1" xfId="3" applyNumberFormat="1" applyFont="1" applyFill="1" applyBorder="1" applyAlignment="1">
      <alignment horizontal="center" vertical="center"/>
    </xf>
    <xf numFmtId="3" fontId="25" fillId="4" borderId="1" xfId="4" applyNumberFormat="1" applyFont="1" applyFill="1" applyBorder="1" applyAlignment="1">
      <alignment horizontal="center" vertical="center"/>
    </xf>
    <xf numFmtId="3" fontId="25" fillId="5" borderId="9" xfId="2" applyNumberFormat="1" applyFont="1" applyFill="1" applyBorder="1" applyAlignment="1">
      <alignment horizontal="center" vertical="center"/>
    </xf>
    <xf numFmtId="3" fontId="25" fillId="4" borderId="1" xfId="5" applyNumberFormat="1" applyFont="1" applyFill="1" applyBorder="1" applyAlignment="1">
      <alignment horizontal="center" vertical="center"/>
    </xf>
    <xf numFmtId="0" fontId="36" fillId="0" borderId="1" xfId="0" applyFont="1" applyBorder="1"/>
    <xf numFmtId="0" fontId="2" fillId="4" borderId="1" xfId="0" applyFont="1" applyFill="1" applyBorder="1" applyAlignment="1">
      <alignment horizontal="center" vertical="center"/>
    </xf>
    <xf numFmtId="0" fontId="37" fillId="4" borderId="1" xfId="0" applyFont="1" applyFill="1" applyBorder="1" applyAlignment="1">
      <alignment horizontal="center" vertical="center"/>
    </xf>
    <xf numFmtId="0" fontId="36" fillId="0" borderId="9" xfId="0" applyFont="1" applyBorder="1"/>
    <xf numFmtId="3" fontId="25" fillId="5" borderId="2" xfId="7" applyNumberFormat="1" applyFont="1" applyFill="1" applyBorder="1" applyAlignment="1">
      <alignment horizontal="center" vertical="center"/>
    </xf>
    <xf numFmtId="3" fontId="25" fillId="0" borderId="2" xfId="0" applyNumberFormat="1" applyFont="1" applyBorder="1" applyAlignment="1">
      <alignment horizontal="center" vertical="center"/>
    </xf>
    <xf numFmtId="3" fontId="25" fillId="4" borderId="2" xfId="5" applyNumberFormat="1" applyFont="1" applyFill="1" applyBorder="1" applyAlignment="1">
      <alignment horizontal="center" vertical="center"/>
    </xf>
    <xf numFmtId="3" fontId="25" fillId="5" borderId="2" xfId="8" applyNumberFormat="1" applyFont="1" applyFill="1" applyBorder="1" applyAlignment="1">
      <alignment horizontal="center" vertical="center"/>
    </xf>
    <xf numFmtId="3" fontId="25" fillId="4" borderId="2" xfId="3" applyNumberFormat="1" applyFont="1" applyFill="1" applyBorder="1" applyAlignment="1">
      <alignment horizontal="center" vertical="center"/>
    </xf>
    <xf numFmtId="3" fontId="25" fillId="4" borderId="2" xfId="4" applyNumberFormat="1" applyFont="1" applyFill="1" applyBorder="1" applyAlignment="1">
      <alignment horizontal="center" vertical="center"/>
    </xf>
    <xf numFmtId="3" fontId="25" fillId="5" borderId="10" xfId="2" applyNumberFormat="1" applyFont="1" applyFill="1" applyBorder="1" applyAlignment="1">
      <alignment horizontal="center" vertical="center"/>
    </xf>
    <xf numFmtId="3" fontId="25" fillId="18" borderId="40" xfId="7" applyNumberFormat="1" applyFont="1" applyFill="1" applyBorder="1" applyAlignment="1">
      <alignment horizontal="center" vertical="center"/>
    </xf>
    <xf numFmtId="3" fontId="25" fillId="18" borderId="40" xfId="0" applyNumberFormat="1" applyFont="1" applyFill="1" applyBorder="1" applyAlignment="1">
      <alignment horizontal="center" vertical="center"/>
    </xf>
    <xf numFmtId="3" fontId="25" fillId="18" borderId="40" xfId="5" applyNumberFormat="1" applyFont="1" applyFill="1" applyBorder="1" applyAlignment="1">
      <alignment horizontal="center" vertical="center"/>
    </xf>
    <xf numFmtId="3" fontId="25" fillId="18" borderId="40" xfId="8" applyNumberFormat="1" applyFont="1" applyFill="1" applyBorder="1" applyAlignment="1">
      <alignment horizontal="center" vertical="center"/>
    </xf>
    <xf numFmtId="3" fontId="25" fillId="20" borderId="40" xfId="3" applyNumberFormat="1" applyFont="1" applyFill="1" applyBorder="1" applyAlignment="1">
      <alignment horizontal="center" vertical="center"/>
    </xf>
    <xf numFmtId="3" fontId="25" fillId="19" borderId="40" xfId="0" applyNumberFormat="1" applyFont="1" applyFill="1" applyBorder="1" applyAlignment="1">
      <alignment horizontal="center" vertical="center"/>
    </xf>
    <xf numFmtId="3" fontId="25" fillId="19" borderId="40" xfId="4" applyNumberFormat="1" applyFont="1" applyFill="1" applyBorder="1" applyAlignment="1">
      <alignment horizontal="center" vertical="center"/>
    </xf>
    <xf numFmtId="3" fontId="25" fillId="18" borderId="41" xfId="2" applyNumberFormat="1" applyFont="1" applyFill="1" applyBorder="1" applyAlignment="1">
      <alignment horizontal="center" vertical="center"/>
    </xf>
    <xf numFmtId="0" fontId="2" fillId="0" borderId="48" xfId="0" applyFont="1" applyBorder="1" applyAlignment="1">
      <alignment horizontal="center" vertical="center" wrapText="1" readingOrder="2"/>
    </xf>
    <xf numFmtId="0" fontId="25" fillId="0" borderId="3" xfId="0" applyFont="1" applyBorder="1" applyAlignment="1">
      <alignment horizontal="right" vertical="center"/>
    </xf>
    <xf numFmtId="0" fontId="2" fillId="0" borderId="16" xfId="0" applyFont="1" applyBorder="1" applyAlignment="1">
      <alignment horizontal="center" vertical="center" readingOrder="2"/>
    </xf>
    <xf numFmtId="0" fontId="25" fillId="0" borderId="1" xfId="0" applyFont="1" applyBorder="1" applyAlignment="1">
      <alignment horizontal="right" vertical="center"/>
    </xf>
    <xf numFmtId="0" fontId="36" fillId="0" borderId="16" xfId="0" applyFont="1" applyBorder="1"/>
    <xf numFmtId="0" fontId="38" fillId="5" borderId="16" xfId="4" applyFont="1" applyFill="1" applyBorder="1" applyAlignment="1">
      <alignment horizontal="center" vertical="center"/>
    </xf>
    <xf numFmtId="0" fontId="38" fillId="5" borderId="49" xfId="4" applyFont="1" applyFill="1" applyBorder="1" applyAlignment="1">
      <alignment horizontal="center" vertical="center"/>
    </xf>
    <xf numFmtId="0" fontId="25" fillId="0" borderId="2" xfId="0" applyFont="1" applyBorder="1" applyAlignment="1">
      <alignment horizontal="right" vertical="center"/>
    </xf>
    <xf numFmtId="0" fontId="2" fillId="0" borderId="16" xfId="0" applyFont="1" applyBorder="1" applyAlignment="1">
      <alignment horizontal="center" vertical="center"/>
    </xf>
    <xf numFmtId="164" fontId="26" fillId="4" borderId="3" xfId="5" applyNumberFormat="1" applyFont="1" applyFill="1" applyBorder="1" applyAlignment="1">
      <alignment horizontal="center" vertical="center"/>
    </xf>
    <xf numFmtId="164" fontId="34" fillId="4" borderId="1" xfId="0" applyNumberFormat="1" applyFont="1" applyFill="1" applyBorder="1" applyAlignment="1">
      <alignment horizontal="center" vertical="center"/>
    </xf>
    <xf numFmtId="0" fontId="26" fillId="14" borderId="52" xfId="7" applyFont="1" applyBorder="1" applyAlignment="1">
      <alignment horizontal="right" vertical="center"/>
    </xf>
    <xf numFmtId="0" fontId="0" fillId="0" borderId="0" xfId="0" applyAlignment="1">
      <alignment horizontal="right"/>
    </xf>
    <xf numFmtId="0" fontId="26" fillId="14" borderId="53" xfId="7" applyFont="1" applyBorder="1" applyAlignment="1">
      <alignment horizontal="right" vertical="center"/>
    </xf>
    <xf numFmtId="0" fontId="39" fillId="0" borderId="3" xfId="0" applyFont="1" applyBorder="1" applyAlignment="1">
      <alignment horizontal="right" vertical="center"/>
    </xf>
    <xf numFmtId="0" fontId="39" fillId="0" borderId="1" xfId="0" applyFont="1" applyBorder="1" applyAlignment="1">
      <alignment horizontal="right" vertical="center"/>
    </xf>
    <xf numFmtId="0" fontId="39" fillId="0" borderId="1" xfId="0" applyFont="1" applyBorder="1" applyAlignment="1">
      <alignment horizontal="right" vertical="center" wrapText="1"/>
    </xf>
    <xf numFmtId="0" fontId="40" fillId="0" borderId="1" xfId="0" applyFont="1" applyBorder="1" applyAlignment="1">
      <alignment horizontal="right" vertical="center"/>
    </xf>
    <xf numFmtId="0" fontId="39" fillId="0" borderId="2" xfId="0" applyFont="1" applyBorder="1" applyAlignment="1">
      <alignment horizontal="right" vertical="center"/>
    </xf>
    <xf numFmtId="0" fontId="41" fillId="0" borderId="1" xfId="0" applyFont="1" applyBorder="1" applyAlignment="1">
      <alignment horizontal="right" vertical="center"/>
    </xf>
    <xf numFmtId="0" fontId="41" fillId="0" borderId="1" xfId="0" applyFont="1" applyBorder="1" applyAlignment="1">
      <alignment horizontal="right" vertical="center" wrapText="1"/>
    </xf>
    <xf numFmtId="164" fontId="26" fillId="5" borderId="3" xfId="7" applyNumberFormat="1" applyFont="1" applyFill="1" applyBorder="1" applyAlignment="1">
      <alignment horizontal="center" vertical="center"/>
    </xf>
    <xf numFmtId="164" fontId="26" fillId="5" borderId="3" xfId="8" applyNumberFormat="1" applyFont="1" applyFill="1" applyBorder="1" applyAlignment="1">
      <alignment horizontal="center" vertical="center"/>
    </xf>
    <xf numFmtId="164" fontId="26" fillId="4" borderId="3" xfId="3" applyNumberFormat="1" applyFont="1" applyFill="1" applyBorder="1" applyAlignment="1">
      <alignment horizontal="center" vertical="center"/>
    </xf>
    <xf numFmtId="164" fontId="26" fillId="4" borderId="3" xfId="4" applyNumberFormat="1" applyFont="1" applyFill="1" applyBorder="1" applyAlignment="1">
      <alignment horizontal="center" vertical="center"/>
    </xf>
    <xf numFmtId="164" fontId="26" fillId="5" borderId="1" xfId="7" applyNumberFormat="1" applyFont="1" applyFill="1" applyBorder="1" applyAlignment="1">
      <alignment horizontal="center" vertical="center"/>
    </xf>
    <xf numFmtId="164" fontId="26" fillId="0" borderId="1" xfId="0" applyNumberFormat="1" applyFont="1" applyBorder="1" applyAlignment="1">
      <alignment horizontal="center" vertical="center"/>
    </xf>
    <xf numFmtId="164" fontId="26" fillId="5" borderId="1" xfId="8" applyNumberFormat="1" applyFont="1" applyFill="1" applyBorder="1" applyAlignment="1">
      <alignment horizontal="center" vertical="center"/>
    </xf>
    <xf numFmtId="164" fontId="26" fillId="4" borderId="1" xfId="3" applyNumberFormat="1" applyFont="1" applyFill="1" applyBorder="1" applyAlignment="1">
      <alignment horizontal="center" vertical="center"/>
    </xf>
    <xf numFmtId="164" fontId="26" fillId="4" borderId="1" xfId="4" applyNumberFormat="1" applyFont="1" applyFill="1" applyBorder="1" applyAlignment="1">
      <alignment horizontal="center" vertical="center"/>
    </xf>
    <xf numFmtId="164" fontId="35" fillId="4" borderId="1" xfId="0" applyNumberFormat="1" applyFont="1" applyFill="1" applyBorder="1" applyAlignment="1">
      <alignment horizontal="center" vertical="center"/>
    </xf>
    <xf numFmtId="164" fontId="26" fillId="5" borderId="2" xfId="7" applyNumberFormat="1" applyFont="1" applyFill="1" applyBorder="1" applyAlignment="1">
      <alignment horizontal="center" vertical="center"/>
    </xf>
    <xf numFmtId="164" fontId="26" fillId="0" borderId="2" xfId="0" applyNumberFormat="1" applyFont="1" applyBorder="1" applyAlignment="1">
      <alignment horizontal="center" vertical="center"/>
    </xf>
    <xf numFmtId="164" fontId="26" fillId="18" borderId="40" xfId="0" applyNumberFormat="1" applyFont="1" applyFill="1" applyBorder="1" applyAlignment="1">
      <alignment horizontal="center" vertical="center"/>
    </xf>
    <xf numFmtId="164" fontId="26" fillId="18" borderId="40" xfId="5" applyNumberFormat="1" applyFont="1" applyFill="1" applyBorder="1" applyAlignment="1">
      <alignment horizontal="center" vertical="center"/>
    </xf>
    <xf numFmtId="164" fontId="26" fillId="19" borderId="40" xfId="4" applyNumberFormat="1" applyFont="1" applyFill="1" applyBorder="1" applyAlignment="1">
      <alignment horizontal="center" vertical="center"/>
    </xf>
    <xf numFmtId="164" fontId="35" fillId="0" borderId="1" xfId="0" applyNumberFormat="1" applyFont="1" applyBorder="1" applyAlignment="1">
      <alignment horizontal="center"/>
    </xf>
    <xf numFmtId="164" fontId="35" fillId="0" borderId="1" xfId="0" applyNumberFormat="1" applyFont="1" applyBorder="1" applyAlignment="1">
      <alignment horizontal="center" vertical="center"/>
    </xf>
    <xf numFmtId="3" fontId="35" fillId="0" borderId="9" xfId="0" applyNumberFormat="1" applyFont="1" applyBorder="1" applyAlignment="1">
      <alignment horizontal="center" vertical="center"/>
    </xf>
    <xf numFmtId="0" fontId="0" fillId="0" borderId="9" xfId="0" applyBorder="1"/>
    <xf numFmtId="0" fontId="0" fillId="0" borderId="15" xfId="0" applyBorder="1"/>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1" borderId="8" xfId="0" applyFont="1" applyFill="1" applyBorder="1" applyAlignment="1">
      <alignment horizontal="center" vertical="center"/>
    </xf>
    <xf numFmtId="0" fontId="3" fillId="2" borderId="5" xfId="0" applyFont="1" applyFill="1" applyBorder="1" applyAlignment="1">
      <alignment horizontal="center" vertical="center" textRotation="90"/>
    </xf>
    <xf numFmtId="0" fontId="3" fillId="2" borderId="6" xfId="0" applyFont="1" applyFill="1" applyBorder="1" applyAlignment="1">
      <alignment horizontal="center" vertical="center" wrapText="1"/>
    </xf>
    <xf numFmtId="0" fontId="3" fillId="20" borderId="1" xfId="0" applyFont="1" applyFill="1" applyBorder="1" applyAlignment="1">
      <alignment horizontal="center" vertical="center"/>
    </xf>
    <xf numFmtId="0" fontId="0" fillId="0" borderId="8" xfId="0" applyBorder="1" applyAlignment="1">
      <alignment readingOrder="2"/>
    </xf>
    <xf numFmtId="0" fontId="0" fillId="0" borderId="21" xfId="0" applyBorder="1" applyAlignment="1">
      <alignment readingOrder="2"/>
    </xf>
    <xf numFmtId="0" fontId="0" fillId="0" borderId="14" xfId="0" applyBorder="1" applyAlignment="1">
      <alignment readingOrder="2"/>
    </xf>
    <xf numFmtId="0" fontId="0" fillId="0" borderId="3" xfId="0" applyBorder="1" applyAlignment="1">
      <alignment readingOrder="2"/>
    </xf>
    <xf numFmtId="0" fontId="4" fillId="2" borderId="39" xfId="0" applyFont="1" applyFill="1" applyBorder="1" applyAlignment="1">
      <alignment horizontal="center" vertical="center" readingOrder="2"/>
    </xf>
    <xf numFmtId="0" fontId="4" fillId="2" borderId="40" xfId="0" applyFont="1" applyFill="1" applyBorder="1" applyAlignment="1">
      <alignment horizontal="center" vertical="center" readingOrder="2"/>
    </xf>
    <xf numFmtId="0" fontId="4" fillId="2" borderId="41" xfId="0" applyFont="1" applyFill="1" applyBorder="1" applyAlignment="1">
      <alignment horizontal="center" vertical="center" readingOrder="2"/>
    </xf>
    <xf numFmtId="0" fontId="3" fillId="16" borderId="31" xfId="0" applyFont="1" applyFill="1" applyBorder="1" applyAlignment="1">
      <alignment horizontal="center" vertical="center" wrapText="1" readingOrder="2"/>
    </xf>
    <xf numFmtId="0" fontId="3" fillId="16" borderId="8" xfId="0" applyFont="1" applyFill="1" applyBorder="1" applyAlignment="1">
      <alignment horizontal="center" vertical="center" wrapText="1" readingOrder="2"/>
    </xf>
    <xf numFmtId="3" fontId="4" fillId="0" borderId="3" xfId="0" applyNumberFormat="1" applyFont="1" applyBorder="1" applyAlignment="1">
      <alignment horizontal="center" vertical="center" readingOrder="2"/>
    </xf>
    <xf numFmtId="165" fontId="4" fillId="4" borderId="1" xfId="0" applyNumberFormat="1" applyFont="1" applyFill="1" applyBorder="1" applyAlignment="1">
      <alignment horizontal="center" vertical="center" readingOrder="2"/>
    </xf>
    <xf numFmtId="0" fontId="4" fillId="4" borderId="1" xfId="0" applyFont="1" applyFill="1" applyBorder="1" applyAlignment="1">
      <alignment horizontal="center" vertical="center" readingOrder="2"/>
    </xf>
    <xf numFmtId="0" fontId="4" fillId="0" borderId="9" xfId="0" applyFont="1" applyBorder="1" applyAlignment="1">
      <alignment horizontal="center" vertical="center" wrapText="1"/>
    </xf>
    <xf numFmtId="3" fontId="4" fillId="4" borderId="1" xfId="0" applyNumberFormat="1" applyFont="1" applyFill="1" applyBorder="1" applyAlignment="1">
      <alignment horizontal="center" vertical="center" readingOrder="2"/>
    </xf>
    <xf numFmtId="0" fontId="4" fillId="0" borderId="0" xfId="0" applyFont="1" applyAlignment="1">
      <alignment horizontal="center" vertical="center"/>
    </xf>
    <xf numFmtId="4" fontId="4" fillId="8" borderId="1" xfId="0" applyNumberFormat="1" applyFont="1" applyFill="1" applyBorder="1" applyAlignment="1">
      <alignment horizontal="center" vertical="center" readingOrder="2"/>
    </xf>
    <xf numFmtId="4" fontId="4" fillId="8" borderId="9" xfId="0" applyNumberFormat="1" applyFont="1" applyFill="1" applyBorder="1" applyAlignment="1">
      <alignment horizontal="center" vertical="center" readingOrder="2"/>
    </xf>
    <xf numFmtId="164" fontId="4" fillId="8" borderId="1" xfId="0" applyNumberFormat="1" applyFont="1" applyFill="1" applyBorder="1" applyAlignment="1">
      <alignment horizontal="center" vertical="center" readingOrder="2"/>
    </xf>
    <xf numFmtId="164" fontId="4" fillId="8" borderId="9" xfId="0" applyNumberFormat="1" applyFont="1" applyFill="1" applyBorder="1" applyAlignment="1">
      <alignment horizontal="center" vertical="center" readingOrder="2"/>
    </xf>
    <xf numFmtId="164" fontId="4" fillId="2" borderId="1" xfId="0" applyNumberFormat="1" applyFont="1" applyFill="1" applyBorder="1" applyAlignment="1">
      <alignment horizontal="center" vertical="center" readingOrder="2"/>
    </xf>
    <xf numFmtId="164" fontId="4" fillId="2" borderId="9" xfId="0" applyNumberFormat="1" applyFont="1" applyFill="1" applyBorder="1" applyAlignment="1">
      <alignment horizontal="center" vertical="center" readingOrder="2"/>
    </xf>
    <xf numFmtId="164" fontId="4" fillId="5" borderId="1" xfId="0" applyNumberFormat="1" applyFont="1" applyFill="1" applyBorder="1" applyAlignment="1">
      <alignment horizontal="center" vertical="center" readingOrder="2"/>
    </xf>
    <xf numFmtId="164" fontId="4" fillId="0" borderId="9" xfId="0" applyNumberFormat="1" applyFont="1" applyBorder="1" applyAlignment="1">
      <alignment horizontal="center" vertical="center" readingOrder="2"/>
    </xf>
    <xf numFmtId="164" fontId="4" fillId="8" borderId="20" xfId="0" applyNumberFormat="1" applyFont="1" applyFill="1" applyBorder="1" applyAlignment="1">
      <alignment horizontal="center" vertical="center" readingOrder="2"/>
    </xf>
    <xf numFmtId="164" fontId="4" fillId="4" borderId="3" xfId="0" applyNumberFormat="1" applyFont="1" applyFill="1" applyBorder="1" applyAlignment="1">
      <alignment horizontal="center" vertical="center" readingOrder="2"/>
    </xf>
    <xf numFmtId="164" fontId="4" fillId="6" borderId="9" xfId="0" applyNumberFormat="1" applyFont="1" applyFill="1" applyBorder="1" applyAlignment="1">
      <alignment horizontal="center" vertical="center" readingOrder="2"/>
    </xf>
    <xf numFmtId="164" fontId="43" fillId="8" borderId="1" xfId="0" applyNumberFormat="1" applyFont="1" applyFill="1" applyBorder="1" applyAlignment="1">
      <alignment readingOrder="2"/>
    </xf>
    <xf numFmtId="164" fontId="43" fillId="0" borderId="9" xfId="0" applyNumberFormat="1" applyFont="1" applyBorder="1" applyAlignment="1">
      <alignment readingOrder="2"/>
    </xf>
    <xf numFmtId="164" fontId="43" fillId="2" borderId="9" xfId="0" applyNumberFormat="1" applyFont="1" applyFill="1" applyBorder="1" applyAlignment="1">
      <alignment horizontal="center" vertical="center" readingOrder="2"/>
    </xf>
    <xf numFmtId="164" fontId="4" fillId="6" borderId="1" xfId="0" applyNumberFormat="1" applyFont="1" applyFill="1" applyBorder="1" applyAlignment="1">
      <alignment horizontal="center" vertical="center" readingOrder="2"/>
    </xf>
    <xf numFmtId="164" fontId="4" fillId="8" borderId="16" xfId="0" applyNumberFormat="1" applyFont="1" applyFill="1" applyBorder="1" applyAlignment="1">
      <alignment horizontal="center" vertical="center" readingOrder="2"/>
    </xf>
    <xf numFmtId="3" fontId="4" fillId="4" borderId="9" xfId="0" applyNumberFormat="1" applyFont="1" applyFill="1" applyBorder="1" applyAlignment="1">
      <alignment horizontal="center" vertical="center" readingOrder="2"/>
    </xf>
    <xf numFmtId="3" fontId="4" fillId="4" borderId="15" xfId="0" applyNumberFormat="1" applyFont="1" applyFill="1" applyBorder="1" applyAlignment="1">
      <alignment horizontal="center" vertical="center" readingOrder="2"/>
    </xf>
    <xf numFmtId="4" fontId="4" fillId="0" borderId="9" xfId="0" applyNumberFormat="1" applyFont="1" applyBorder="1" applyAlignment="1">
      <alignment horizontal="center" vertical="center" wrapText="1" readingOrder="2"/>
    </xf>
    <xf numFmtId="0" fontId="3" fillId="16" borderId="35" xfId="0" applyFont="1" applyFill="1" applyBorder="1" applyAlignment="1">
      <alignment horizontal="center" vertical="center" wrapText="1" readingOrder="2"/>
    </xf>
    <xf numFmtId="0" fontId="0" fillId="0" borderId="2" xfId="0" applyBorder="1" applyAlignment="1">
      <alignment readingOrder="2"/>
    </xf>
    <xf numFmtId="3" fontId="4" fillId="0" borderId="2" xfId="0" applyNumberFormat="1" applyFont="1" applyBorder="1" applyAlignment="1">
      <alignment horizontal="center" vertical="center" readingOrder="2"/>
    </xf>
    <xf numFmtId="165" fontId="4" fillId="4" borderId="2" xfId="0" applyNumberFormat="1" applyFont="1" applyFill="1" applyBorder="1" applyAlignment="1">
      <alignment horizontal="center" vertical="center" readingOrder="2"/>
    </xf>
    <xf numFmtId="0" fontId="4" fillId="4" borderId="2" xfId="0" applyFont="1" applyFill="1" applyBorder="1" applyAlignment="1">
      <alignment horizontal="center" vertical="center" readingOrder="2"/>
    </xf>
    <xf numFmtId="0" fontId="4" fillId="0" borderId="10" xfId="0" applyFont="1" applyBorder="1" applyAlignment="1">
      <alignment horizontal="center" vertical="center" wrapText="1"/>
    </xf>
    <xf numFmtId="3" fontId="4" fillId="4" borderId="6" xfId="0" applyNumberFormat="1" applyFont="1" applyFill="1" applyBorder="1" applyAlignment="1">
      <alignment horizontal="center" vertical="center" wrapText="1" readingOrder="2"/>
    </xf>
    <xf numFmtId="168" fontId="4" fillId="3" borderId="6" xfId="0" applyNumberFormat="1" applyFont="1" applyFill="1" applyBorder="1" applyAlignment="1">
      <alignment horizontal="center" vertical="center" readingOrder="2"/>
    </xf>
    <xf numFmtId="3" fontId="4" fillId="4" borderId="6" xfId="0" applyNumberFormat="1" applyFont="1" applyFill="1" applyBorder="1" applyAlignment="1">
      <alignment horizontal="center" vertical="center" readingOrder="2"/>
    </xf>
    <xf numFmtId="0" fontId="4" fillId="3" borderId="6" xfId="0" applyFont="1" applyFill="1" applyBorder="1" applyAlignment="1">
      <alignment horizontal="center" vertical="center" wrapText="1" readingOrder="2"/>
    </xf>
    <xf numFmtId="4" fontId="4" fillId="4" borderId="7" xfId="0" applyNumberFormat="1" applyFont="1" applyFill="1" applyBorder="1" applyAlignment="1">
      <alignment horizontal="center" vertical="center" wrapText="1"/>
    </xf>
    <xf numFmtId="168" fontId="34" fillId="5" borderId="9" xfId="0" applyNumberFormat="1" applyFont="1" applyFill="1" applyBorder="1" applyAlignment="1">
      <alignment horizontal="center" vertical="center" readingOrder="2"/>
    </xf>
    <xf numFmtId="165" fontId="33" fillId="3" borderId="0" xfId="0" applyNumberFormat="1" applyFont="1" applyFill="1" applyAlignment="1">
      <alignment horizontal="center" vertical="center" readingOrder="2"/>
    </xf>
    <xf numFmtId="164" fontId="4" fillId="4" borderId="6" xfId="0" applyNumberFormat="1" applyFont="1" applyFill="1" applyBorder="1" applyAlignment="1">
      <alignment horizontal="center" vertical="center" readingOrder="2"/>
    </xf>
    <xf numFmtId="164" fontId="4" fillId="0" borderId="6" xfId="0" applyNumberFormat="1" applyFont="1" applyBorder="1" applyAlignment="1">
      <alignment horizontal="center" vertical="center" readingOrder="2"/>
    </xf>
    <xf numFmtId="164" fontId="4" fillId="4" borderId="7" xfId="0" applyNumberFormat="1" applyFont="1" applyFill="1" applyBorder="1" applyAlignment="1">
      <alignment horizontal="center" vertical="center" readingOrder="2"/>
    </xf>
    <xf numFmtId="0" fontId="4" fillId="0" borderId="1" xfId="0" applyFont="1" applyBorder="1" applyAlignment="1">
      <alignment horizontal="center" vertical="center" wrapText="1" readingOrder="2"/>
    </xf>
    <xf numFmtId="3" fontId="4" fillId="4" borderId="10" xfId="0" applyNumberFormat="1" applyFont="1" applyFill="1" applyBorder="1" applyAlignment="1">
      <alignment horizontal="center" vertical="center" readingOrder="2"/>
    </xf>
    <xf numFmtId="165" fontId="4" fillId="3" borderId="0" xfId="0" applyNumberFormat="1" applyFont="1" applyFill="1" applyAlignment="1">
      <alignment horizontal="center" vertical="center" readingOrder="2"/>
    </xf>
    <xf numFmtId="0" fontId="45" fillId="2" borderId="32" xfId="0" applyFont="1" applyFill="1" applyBorder="1" applyAlignment="1">
      <alignment horizontal="center" vertical="center" wrapText="1" readingOrder="2"/>
    </xf>
    <xf numFmtId="164" fontId="45" fillId="4" borderId="36" xfId="0" applyNumberFormat="1" applyFont="1" applyFill="1" applyBorder="1" applyAlignment="1">
      <alignment horizontal="center" vertical="center" readingOrder="2"/>
    </xf>
    <xf numFmtId="164" fontId="45" fillId="4" borderId="37" xfId="0" applyNumberFormat="1" applyFont="1" applyFill="1" applyBorder="1" applyAlignment="1">
      <alignment horizontal="center" vertical="center" readingOrder="2"/>
    </xf>
    <xf numFmtId="4" fontId="45" fillId="4" borderId="36" xfId="0" applyNumberFormat="1" applyFont="1" applyFill="1" applyBorder="1" applyAlignment="1">
      <alignment horizontal="center" vertical="center" readingOrder="2"/>
    </xf>
    <xf numFmtId="4" fontId="45" fillId="4" borderId="37" xfId="0" applyNumberFormat="1" applyFont="1" applyFill="1" applyBorder="1" applyAlignment="1">
      <alignment horizontal="center" vertical="center" readingOrder="2"/>
    </xf>
    <xf numFmtId="164" fontId="45" fillId="2" borderId="32" xfId="0" applyNumberFormat="1" applyFont="1" applyFill="1" applyBorder="1" applyAlignment="1">
      <alignment horizontal="center" vertical="center" wrapText="1" readingOrder="2"/>
    </xf>
    <xf numFmtId="0" fontId="4" fillId="0" borderId="1" xfId="0" applyFont="1" applyBorder="1" applyAlignment="1">
      <alignment horizontal="center" vertical="center" wrapText="1"/>
    </xf>
    <xf numFmtId="0" fontId="4" fillId="0" borderId="9" xfId="0" applyFont="1" applyBorder="1" applyAlignment="1">
      <alignment horizontal="center" vertical="center"/>
    </xf>
    <xf numFmtId="0" fontId="7" fillId="0" borderId="24" xfId="0" applyFont="1" applyBorder="1" applyAlignment="1">
      <alignment vertical="center"/>
    </xf>
    <xf numFmtId="3" fontId="4" fillId="0" borderId="1" xfId="0" applyNumberFormat="1" applyFont="1" applyBorder="1" applyAlignment="1">
      <alignment horizontal="center" vertical="center"/>
    </xf>
    <xf numFmtId="0" fontId="4" fillId="0" borderId="1" xfId="0" applyFont="1" applyBorder="1" applyAlignment="1">
      <alignment horizontal="center" vertical="center"/>
    </xf>
    <xf numFmtId="3" fontId="4" fillId="4" borderId="14" xfId="0" applyNumberFormat="1" applyFont="1" applyFill="1" applyBorder="1" applyAlignment="1">
      <alignment horizontal="center" vertical="center"/>
    </xf>
    <xf numFmtId="0" fontId="3" fillId="2" borderId="38" xfId="0" applyFont="1" applyFill="1" applyBorder="1" applyAlignment="1">
      <alignment horizontal="center" vertical="center" wrapText="1"/>
    </xf>
    <xf numFmtId="0" fontId="46" fillId="0" borderId="0" xfId="0" applyFont="1" applyAlignment="1">
      <alignment horizontal="center" vertical="center"/>
    </xf>
    <xf numFmtId="0" fontId="47" fillId="0" borderId="0" xfId="0" applyFont="1" applyAlignment="1">
      <alignment readingOrder="2"/>
    </xf>
    <xf numFmtId="0" fontId="33" fillId="0" borderId="0" xfId="0" applyFont="1" applyAlignment="1">
      <alignment horizontal="center" vertical="center" readingOrder="2"/>
    </xf>
    <xf numFmtId="0" fontId="33" fillId="2" borderId="6" xfId="0" applyFont="1" applyFill="1" applyBorder="1" applyAlignment="1">
      <alignment horizontal="center" vertical="center" readingOrder="2"/>
    </xf>
    <xf numFmtId="0" fontId="33" fillId="2" borderId="7" xfId="0" applyFont="1" applyFill="1" applyBorder="1" applyAlignment="1">
      <alignment horizontal="center" vertical="center" readingOrder="2"/>
    </xf>
    <xf numFmtId="0" fontId="4" fillId="0" borderId="8" xfId="0" applyFont="1" applyBorder="1" applyAlignment="1">
      <alignment horizontal="center" vertical="center" readingOrder="2"/>
    </xf>
    <xf numFmtId="16" fontId="4" fillId="0" borderId="1" xfId="0" applyNumberFormat="1" applyFont="1" applyBorder="1" applyAlignment="1">
      <alignment horizontal="center" vertical="center" readingOrder="2"/>
    </xf>
    <xf numFmtId="0" fontId="43" fillId="0" borderId="0" xfId="0" applyFont="1" applyAlignment="1">
      <alignment readingOrder="2"/>
    </xf>
    <xf numFmtId="0" fontId="4" fillId="2" borderId="30" xfId="0" applyFont="1" applyFill="1" applyBorder="1" applyAlignment="1">
      <alignment horizontal="center" vertical="center"/>
    </xf>
    <xf numFmtId="0" fontId="4" fillId="2" borderId="45" xfId="0" applyFont="1" applyFill="1" applyBorder="1" applyAlignment="1">
      <alignment horizontal="center" vertical="center" readingOrder="2"/>
    </xf>
    <xf numFmtId="0" fontId="4" fillId="2" borderId="46" xfId="0" applyFont="1" applyFill="1" applyBorder="1" applyAlignment="1">
      <alignment horizontal="center" vertical="center" readingOrder="2"/>
    </xf>
    <xf numFmtId="0" fontId="4" fillId="0" borderId="5" xfId="0" applyFont="1" applyBorder="1" applyAlignment="1">
      <alignment horizontal="center" vertical="center"/>
    </xf>
    <xf numFmtId="0" fontId="4" fillId="0" borderId="6" xfId="0" applyFont="1" applyBorder="1" applyAlignment="1">
      <alignment horizontal="center" vertical="center" wrapText="1" readingOrder="2"/>
    </xf>
    <xf numFmtId="0" fontId="4" fillId="0" borderId="8" xfId="0" applyFont="1" applyBorder="1" applyAlignment="1">
      <alignment horizontal="center" vertical="center"/>
    </xf>
    <xf numFmtId="0" fontId="32" fillId="0" borderId="1" xfId="0" applyFont="1" applyBorder="1" applyAlignment="1">
      <alignment horizontal="center" vertical="center" wrapText="1" readingOrder="2"/>
    </xf>
    <xf numFmtId="16" fontId="4" fillId="0" borderId="36" xfId="0" applyNumberFormat="1" applyFont="1" applyBorder="1" applyAlignment="1">
      <alignment horizontal="center" vertical="center" readingOrder="2"/>
    </xf>
    <xf numFmtId="0" fontId="4" fillId="0" borderId="0" xfId="0" applyFont="1" applyAlignment="1">
      <alignment readingOrder="2"/>
    </xf>
    <xf numFmtId="0" fontId="4" fillId="2" borderId="5" xfId="0" applyFont="1" applyFill="1" applyBorder="1" applyAlignment="1">
      <alignment horizontal="center" vertical="center"/>
    </xf>
    <xf numFmtId="0" fontId="4" fillId="0" borderId="3" xfId="0" applyFont="1" applyBorder="1" applyAlignment="1">
      <alignment horizontal="center" vertical="center" readingOrder="2"/>
    </xf>
    <xf numFmtId="0" fontId="33" fillId="2" borderId="45" xfId="0" applyFont="1" applyFill="1" applyBorder="1" applyAlignment="1">
      <alignment horizontal="center" vertical="center" readingOrder="2"/>
    </xf>
    <xf numFmtId="0" fontId="33" fillId="2" borderId="46" xfId="0" applyFont="1" applyFill="1" applyBorder="1" applyAlignment="1">
      <alignment horizontal="center" vertical="center" readingOrder="2"/>
    </xf>
    <xf numFmtId="0" fontId="4" fillId="0" borderId="32" xfId="0" applyFont="1" applyBorder="1" applyAlignment="1">
      <alignment horizontal="center" vertical="center" readingOrder="2"/>
    </xf>
    <xf numFmtId="0" fontId="4" fillId="0" borderId="34" xfId="0" applyFont="1" applyBorder="1" applyAlignment="1">
      <alignment horizontal="center" vertical="center" readingOrder="2"/>
    </xf>
    <xf numFmtId="0" fontId="4" fillId="0" borderId="3" xfId="0" applyFont="1" applyBorder="1" applyAlignment="1">
      <alignment horizontal="left" vertical="center" readingOrder="2"/>
    </xf>
    <xf numFmtId="0" fontId="47" fillId="0" borderId="0" xfId="0" applyFont="1"/>
    <xf numFmtId="0" fontId="32" fillId="0" borderId="1" xfId="0" applyFont="1" applyBorder="1" applyAlignment="1">
      <alignment horizontal="right" vertical="center" wrapText="1"/>
    </xf>
    <xf numFmtId="0" fontId="4" fillId="16" borderId="8" xfId="0" applyFont="1" applyFill="1" applyBorder="1" applyAlignment="1">
      <alignment horizontal="center" vertical="center" readingOrder="2"/>
    </xf>
    <xf numFmtId="0" fontId="4" fillId="0" borderId="0" xfId="0" applyFont="1" applyAlignment="1">
      <alignment horizontal="center" vertical="center"/>
    </xf>
    <xf numFmtId="0" fontId="4" fillId="0" borderId="0" xfId="0" applyFont="1" applyAlignment="1">
      <alignment horizontal="center" vertical="center" readingOrder="2"/>
    </xf>
    <xf numFmtId="0" fontId="4" fillId="5" borderId="0" xfId="0" applyFont="1" applyFill="1" applyBorder="1" applyAlignment="1">
      <alignment horizontal="right" vertical="center" readingOrder="2"/>
    </xf>
    <xf numFmtId="0" fontId="4" fillId="0" borderId="1" xfId="0" applyFont="1" applyBorder="1" applyAlignment="1">
      <alignment horizontal="right" vertical="center" wrapText="1" readingOrder="2"/>
    </xf>
    <xf numFmtId="0" fontId="43" fillId="0" borderId="0" xfId="0" applyFont="1" applyAlignment="1">
      <alignment horizontal="right"/>
    </xf>
    <xf numFmtId="167" fontId="47" fillId="0" borderId="0" xfId="0" applyNumberFormat="1" applyFont="1" applyAlignment="1">
      <alignment readingOrder="2"/>
    </xf>
    <xf numFmtId="0" fontId="4" fillId="16" borderId="5" xfId="0" applyFont="1" applyFill="1" applyBorder="1" applyAlignment="1">
      <alignment horizontal="center" vertical="center"/>
    </xf>
    <xf numFmtId="0" fontId="4" fillId="0" borderId="6" xfId="0" applyFont="1" applyBorder="1" applyAlignment="1">
      <alignment horizontal="right" vertical="center" readingOrder="2"/>
    </xf>
    <xf numFmtId="0" fontId="4" fillId="16" borderId="8" xfId="0" applyFont="1" applyFill="1" applyBorder="1" applyAlignment="1">
      <alignment horizontal="center" vertical="center"/>
    </xf>
    <xf numFmtId="0" fontId="43" fillId="0" borderId="0" xfId="0" applyFont="1"/>
    <xf numFmtId="0" fontId="4" fillId="0" borderId="0" xfId="0" applyFont="1" applyAlignment="1">
      <alignment horizontal="left" vertical="center" readingOrder="2"/>
    </xf>
    <xf numFmtId="0" fontId="45" fillId="0" borderId="1" xfId="1" applyFont="1" applyBorder="1" applyAlignment="1" applyProtection="1">
      <alignment horizontal="center" vertical="center" readingOrder="2"/>
    </xf>
    <xf numFmtId="0" fontId="43" fillId="0" borderId="1" xfId="0" applyFont="1" applyBorder="1" applyAlignment="1">
      <alignment readingOrder="2"/>
    </xf>
    <xf numFmtId="0" fontId="4" fillId="2" borderId="12" xfId="0" applyFont="1" applyFill="1" applyBorder="1" applyAlignment="1">
      <alignment horizontal="right" vertical="center" readingOrder="2"/>
    </xf>
    <xf numFmtId="0" fontId="4" fillId="0" borderId="0" xfId="0" applyFont="1" applyAlignment="1">
      <alignment horizontal="right" vertical="center" readingOrder="2"/>
    </xf>
    <xf numFmtId="0" fontId="43" fillId="0" borderId="0" xfId="0" applyFont="1" applyAlignment="1">
      <alignment horizontal="right" vertical="center" readingOrder="2"/>
    </xf>
    <xf numFmtId="0" fontId="48" fillId="0" borderId="1" xfId="1" applyFont="1" applyBorder="1" applyAlignment="1" applyProtection="1">
      <alignment horizontal="right" vertical="center" readingOrder="2"/>
    </xf>
    <xf numFmtId="0" fontId="45" fillId="0" borderId="1" xfId="1" applyFont="1" applyBorder="1" applyAlignment="1" applyProtection="1">
      <alignment horizontal="right" vertical="center" readingOrder="2"/>
    </xf>
    <xf numFmtId="0" fontId="43" fillId="0" borderId="1" xfId="0" applyFont="1" applyBorder="1" applyAlignment="1">
      <alignment horizontal="center" vertical="center" readingOrder="2"/>
    </xf>
    <xf numFmtId="0" fontId="4" fillId="0" borderId="57" xfId="0" applyFont="1" applyFill="1" applyBorder="1" applyAlignment="1">
      <alignment horizontal="right" vertical="center" readingOrder="2"/>
    </xf>
    <xf numFmtId="0" fontId="4" fillId="5" borderId="0" xfId="0" applyFont="1" applyFill="1" applyBorder="1" applyAlignment="1">
      <alignment horizontal="center" vertical="center" readingOrder="2"/>
    </xf>
    <xf numFmtId="0" fontId="4" fillId="0" borderId="3" xfId="0" applyFont="1" applyBorder="1" applyAlignment="1">
      <alignment horizontal="right" vertical="center" readingOrder="2"/>
    </xf>
    <xf numFmtId="0" fontId="4" fillId="0" borderId="1" xfId="0" applyFont="1" applyBorder="1" applyAlignment="1">
      <alignment horizontal="left" vertical="center" readingOrder="2"/>
    </xf>
    <xf numFmtId="0" fontId="4" fillId="0" borderId="0" xfId="0" applyFont="1" applyAlignment="1">
      <alignment horizontal="center"/>
    </xf>
    <xf numFmtId="0" fontId="4" fillId="0" borderId="0" xfId="0" applyFont="1" applyAlignment="1">
      <alignment horizontal="center" readingOrder="2"/>
    </xf>
    <xf numFmtId="0" fontId="3" fillId="0" borderId="0" xfId="0" applyFont="1" applyFill="1" applyBorder="1" applyAlignment="1">
      <alignment horizontal="right" vertical="center"/>
    </xf>
    <xf numFmtId="0" fontId="47" fillId="0" borderId="1" xfId="0" applyFont="1" applyBorder="1" applyAlignment="1">
      <alignment readingOrder="2"/>
    </xf>
    <xf numFmtId="0" fontId="4" fillId="2" borderId="30" xfId="0" applyFont="1" applyFill="1" applyBorder="1" applyAlignment="1">
      <alignment horizontal="center" vertical="center" readingOrder="2"/>
    </xf>
    <xf numFmtId="0" fontId="4" fillId="0" borderId="5" xfId="0" applyFont="1" applyBorder="1" applyAlignment="1">
      <alignment horizontal="center" vertical="center" readingOrder="2"/>
    </xf>
    <xf numFmtId="3" fontId="4" fillId="0" borderId="6" xfId="0" applyNumberFormat="1" applyFont="1" applyBorder="1" applyAlignment="1">
      <alignment horizontal="center" vertical="center" readingOrder="2"/>
    </xf>
    <xf numFmtId="3" fontId="4" fillId="4" borderId="7" xfId="0" applyNumberFormat="1" applyFont="1" applyFill="1" applyBorder="1" applyAlignment="1">
      <alignment horizontal="center" vertical="center" readingOrder="2"/>
    </xf>
    <xf numFmtId="0" fontId="4" fillId="4" borderId="9" xfId="0" applyFont="1" applyFill="1" applyBorder="1" applyAlignment="1">
      <alignment horizontal="center" vertical="center" readingOrder="2"/>
    </xf>
    <xf numFmtId="0" fontId="4" fillId="0" borderId="1" xfId="0" applyFont="1" applyBorder="1" applyAlignment="1">
      <alignment vertical="center" readingOrder="2"/>
    </xf>
    <xf numFmtId="0" fontId="33" fillId="0" borderId="1" xfId="0" applyFont="1" applyBorder="1" applyAlignment="1">
      <alignment horizontal="center" vertical="center" readingOrder="2"/>
    </xf>
    <xf numFmtId="0" fontId="33" fillId="0" borderId="1" xfId="0" applyFont="1" applyBorder="1" applyAlignment="1">
      <alignment vertical="center" readingOrder="2"/>
    </xf>
    <xf numFmtId="169" fontId="4" fillId="3" borderId="1" xfId="0" applyNumberFormat="1" applyFont="1" applyFill="1" applyBorder="1" applyAlignment="1">
      <alignment horizontal="center" vertical="center" wrapText="1" readingOrder="2"/>
    </xf>
    <xf numFmtId="2" fontId="4" fillId="4" borderId="3" xfId="0" applyNumberFormat="1" applyFont="1" applyFill="1" applyBorder="1" applyAlignment="1">
      <alignment horizontal="center" vertical="center" readingOrder="2"/>
    </xf>
    <xf numFmtId="4" fontId="4" fillId="4" borderId="3" xfId="0" applyNumberFormat="1" applyFont="1" applyFill="1" applyBorder="1" applyAlignment="1">
      <alignment horizontal="center" vertical="center" readingOrder="2"/>
    </xf>
    <xf numFmtId="169" fontId="4" fillId="3" borderId="25" xfId="0" applyNumberFormat="1" applyFont="1" applyFill="1" applyBorder="1" applyAlignment="1">
      <alignment horizontal="center" vertical="center" readingOrder="2"/>
    </xf>
    <xf numFmtId="169" fontId="3" fillId="3" borderId="0" xfId="0" applyNumberFormat="1" applyFont="1" applyFill="1" applyAlignment="1">
      <alignment horizontal="center" vertical="center" readingOrder="2"/>
    </xf>
    <xf numFmtId="167" fontId="4" fillId="3" borderId="0" xfId="0" applyNumberFormat="1" applyFont="1" applyFill="1" applyAlignment="1">
      <alignment horizontal="center" vertical="center" readingOrder="2"/>
    </xf>
    <xf numFmtId="169" fontId="4" fillId="3" borderId="0" xfId="0" applyNumberFormat="1" applyFont="1" applyFill="1" applyBorder="1" applyAlignment="1">
      <alignment horizontal="center" vertical="center" readingOrder="2"/>
    </xf>
    <xf numFmtId="3" fontId="2" fillId="4" borderId="1" xfId="0" applyNumberFormat="1" applyFont="1" applyFill="1" applyBorder="1" applyAlignment="1">
      <alignment horizontal="center" vertical="center"/>
    </xf>
    <xf numFmtId="169" fontId="33" fillId="3" borderId="0" xfId="0" applyNumberFormat="1" applyFont="1" applyFill="1" applyAlignment="1">
      <alignment horizontal="center" vertical="center" readingOrder="2"/>
    </xf>
    <xf numFmtId="169" fontId="4" fillId="3" borderId="0" xfId="0" applyNumberFormat="1" applyFont="1" applyFill="1" applyAlignment="1">
      <alignment horizontal="center" vertical="center" readingOrder="2"/>
    </xf>
    <xf numFmtId="169" fontId="4" fillId="4" borderId="1" xfId="0" applyNumberFormat="1" applyFont="1" applyFill="1" applyBorder="1" applyAlignment="1">
      <alignment horizontal="center" vertical="center" wrapText="1" readingOrder="2"/>
    </xf>
    <xf numFmtId="3" fontId="26" fillId="4" borderId="1" xfId="5" applyNumberFormat="1" applyFont="1" applyFill="1" applyBorder="1" applyAlignment="1">
      <alignment horizontal="center" vertical="center"/>
    </xf>
    <xf numFmtId="3" fontId="26" fillId="5" borderId="1" xfId="8" applyNumberFormat="1" applyFont="1" applyFill="1" applyBorder="1" applyAlignment="1">
      <alignment horizontal="center" vertical="center"/>
    </xf>
    <xf numFmtId="3" fontId="26" fillId="4" borderId="1" xfId="3" applyNumberFormat="1" applyFont="1" applyFill="1" applyBorder="1" applyAlignment="1">
      <alignment horizontal="center" vertical="center"/>
    </xf>
    <xf numFmtId="3" fontId="26" fillId="0" borderId="1" xfId="0" applyNumberFormat="1" applyFont="1" applyBorder="1" applyAlignment="1">
      <alignment horizontal="center" vertical="center"/>
    </xf>
    <xf numFmtId="3" fontId="26" fillId="4" borderId="1" xfId="4" applyNumberFormat="1" applyFont="1" applyFill="1" applyBorder="1" applyAlignment="1">
      <alignment horizontal="center" vertical="center"/>
    </xf>
    <xf numFmtId="3" fontId="34" fillId="4" borderId="1" xfId="0" applyNumberFormat="1" applyFont="1" applyFill="1" applyBorder="1" applyAlignment="1">
      <alignment horizontal="center" vertical="center"/>
    </xf>
    <xf numFmtId="3" fontId="35" fillId="0" borderId="1" xfId="0" applyNumberFormat="1" applyFont="1" applyBorder="1" applyAlignment="1">
      <alignment horizontal="center" vertical="center"/>
    </xf>
    <xf numFmtId="3" fontId="35" fillId="4" borderId="1" xfId="0" applyNumberFormat="1" applyFont="1" applyFill="1" applyBorder="1" applyAlignment="1">
      <alignment horizontal="center" vertical="center"/>
    </xf>
    <xf numFmtId="3" fontId="34" fillId="0" borderId="1" xfId="0" applyNumberFormat="1" applyFont="1" applyBorder="1" applyAlignment="1">
      <alignment horizontal="center" vertical="center"/>
    </xf>
    <xf numFmtId="3" fontId="35" fillId="0" borderId="1" xfId="0" applyNumberFormat="1" applyFont="1" applyBorder="1" applyAlignment="1">
      <alignment horizontal="center"/>
    </xf>
    <xf numFmtId="3" fontId="26" fillId="4" borderId="2" xfId="5" applyNumberFormat="1" applyFont="1" applyFill="1" applyBorder="1" applyAlignment="1">
      <alignment horizontal="center" vertical="center"/>
    </xf>
    <xf numFmtId="3" fontId="26" fillId="5" borderId="2" xfId="8" applyNumberFormat="1" applyFont="1" applyFill="1" applyBorder="1" applyAlignment="1">
      <alignment horizontal="center" vertical="center"/>
    </xf>
    <xf numFmtId="3" fontId="26" fillId="4" borderId="2" xfId="3" applyNumberFormat="1" applyFont="1" applyFill="1" applyBorder="1" applyAlignment="1">
      <alignment horizontal="center" vertical="center"/>
    </xf>
    <xf numFmtId="3" fontId="26" fillId="0" borderId="2" xfId="0" applyNumberFormat="1" applyFont="1" applyBorder="1" applyAlignment="1">
      <alignment horizontal="center" vertical="center"/>
    </xf>
    <xf numFmtId="3" fontId="26" fillId="4" borderId="2" xfId="4" applyNumberFormat="1" applyFont="1" applyFill="1" applyBorder="1" applyAlignment="1">
      <alignment horizontal="center" vertical="center"/>
    </xf>
    <xf numFmtId="3" fontId="26" fillId="18" borderId="40" xfId="8" applyNumberFormat="1" applyFont="1" applyFill="1" applyBorder="1" applyAlignment="1">
      <alignment horizontal="center" vertical="center"/>
    </xf>
    <xf numFmtId="3" fontId="26" fillId="0" borderId="3" xfId="0" applyNumberFormat="1" applyFont="1" applyBorder="1" applyAlignment="1">
      <alignment horizontal="center" vertical="center"/>
    </xf>
    <xf numFmtId="3" fontId="26" fillId="18" borderId="40" xfId="7" applyNumberFormat="1" applyFont="1" applyFill="1" applyBorder="1" applyAlignment="1">
      <alignment horizontal="center" vertical="center"/>
    </xf>
    <xf numFmtId="3" fontId="26" fillId="19" borderId="40" xfId="0" applyNumberFormat="1" applyFont="1" applyFill="1" applyBorder="1" applyAlignment="1">
      <alignment horizontal="center" vertical="center"/>
    </xf>
    <xf numFmtId="169" fontId="4" fillId="4" borderId="17" xfId="0" applyNumberFormat="1" applyFont="1" applyFill="1" applyBorder="1" applyAlignment="1">
      <alignment horizontal="center" readingOrder="2"/>
    </xf>
    <xf numFmtId="0" fontId="3" fillId="0" borderId="0" xfId="0" applyFont="1" applyAlignment="1">
      <alignment horizontal="center" vertical="center"/>
    </xf>
    <xf numFmtId="0" fontId="3" fillId="0" borderId="0" xfId="0" applyFont="1" applyAlignment="1">
      <alignment horizontal="center"/>
    </xf>
    <xf numFmtId="0" fontId="5" fillId="0" borderId="0" xfId="0" applyFont="1" applyAlignment="1">
      <alignment horizontal="right"/>
    </xf>
    <xf numFmtId="0" fontId="5" fillId="0" borderId="0" xfId="0" applyFont="1" applyAlignment="1"/>
    <xf numFmtId="0" fontId="3" fillId="0" borderId="11" xfId="0" applyFont="1" applyBorder="1" applyAlignment="1">
      <alignment horizontal="right" vertical="center"/>
    </xf>
    <xf numFmtId="0" fontId="3" fillId="0" borderId="12" xfId="0" applyFont="1" applyBorder="1" applyAlignment="1">
      <alignment horizontal="right" vertical="center"/>
    </xf>
    <xf numFmtId="0" fontId="3" fillId="0" borderId="13" xfId="0" applyFont="1" applyBorder="1" applyAlignment="1">
      <alignment horizontal="right" vertical="center"/>
    </xf>
    <xf numFmtId="0" fontId="2" fillId="2" borderId="18"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16" xfId="0" applyFont="1" applyFill="1" applyBorder="1" applyAlignment="1">
      <alignment horizontal="center" vertical="center"/>
    </xf>
    <xf numFmtId="0" fontId="3" fillId="0" borderId="18" xfId="0" applyFont="1" applyBorder="1" applyAlignment="1">
      <alignment horizontal="right" vertical="center"/>
    </xf>
    <xf numFmtId="0" fontId="3" fillId="0" borderId="4" xfId="0" applyFont="1" applyBorder="1" applyAlignment="1">
      <alignment horizontal="right" vertical="center"/>
    </xf>
    <xf numFmtId="0" fontId="3" fillId="0" borderId="16" xfId="0" applyFont="1" applyBorder="1" applyAlignment="1">
      <alignment horizontal="right" vertical="center"/>
    </xf>
    <xf numFmtId="0" fontId="34" fillId="4" borderId="5" xfId="0" applyFont="1" applyFill="1" applyBorder="1" applyAlignment="1">
      <alignment horizontal="center" vertical="center" wrapText="1" readingOrder="2"/>
    </xf>
    <xf numFmtId="0" fontId="34" fillId="4" borderId="6" xfId="0" applyFont="1" applyFill="1" applyBorder="1" applyAlignment="1">
      <alignment horizontal="center" vertical="center" wrapText="1" readingOrder="2"/>
    </xf>
    <xf numFmtId="0" fontId="34" fillId="0" borderId="36" xfId="0" applyFont="1" applyBorder="1" applyAlignment="1">
      <alignment horizontal="center" vertical="center" wrapText="1" readingOrder="2"/>
    </xf>
    <xf numFmtId="0" fontId="8" fillId="0" borderId="4" xfId="0" applyFont="1" applyBorder="1" applyAlignment="1">
      <alignment horizontal="center" vertical="center" wrapText="1" readingOrder="2"/>
    </xf>
    <xf numFmtId="0" fontId="0" fillId="0" borderId="4" xfId="0" applyBorder="1" applyAlignment="1">
      <alignment horizontal="center" vertical="center" wrapText="1" readingOrder="2"/>
    </xf>
    <xf numFmtId="0" fontId="0" fillId="0" borderId="16" xfId="0" applyBorder="1" applyAlignment="1">
      <alignment horizontal="center" vertical="center" wrapText="1" readingOrder="2"/>
    </xf>
    <xf numFmtId="0" fontId="4" fillId="0" borderId="0" xfId="0" applyFont="1" applyAlignment="1">
      <alignment horizontal="center" vertical="center" wrapText="1" readingOrder="2"/>
    </xf>
    <xf numFmtId="0" fontId="4" fillId="0" borderId="0" xfId="0" applyFont="1" applyAlignment="1">
      <alignment horizontal="center" vertical="center"/>
    </xf>
    <xf numFmtId="0" fontId="48" fillId="0" borderId="25" xfId="1" applyFont="1" applyBorder="1" applyAlignment="1" applyProtection="1">
      <alignment horizontal="center" vertical="center"/>
    </xf>
    <xf numFmtId="0" fontId="43" fillId="0" borderId="0" xfId="0" applyFont="1" applyAlignment="1">
      <alignment horizontal="center" vertical="center"/>
    </xf>
    <xf numFmtId="0" fontId="4" fillId="2" borderId="11" xfId="0" applyFont="1" applyFill="1" applyBorder="1" applyAlignment="1">
      <alignment horizontal="center" vertical="center"/>
    </xf>
    <xf numFmtId="0" fontId="4" fillId="2" borderId="12" xfId="0" applyFont="1" applyFill="1" applyBorder="1" applyAlignment="1">
      <alignment horizontal="center" vertical="center"/>
    </xf>
    <xf numFmtId="0" fontId="4" fillId="2" borderId="13" xfId="0" applyFont="1" applyFill="1" applyBorder="1" applyAlignment="1">
      <alignment horizontal="center" vertical="center"/>
    </xf>
    <xf numFmtId="0" fontId="4" fillId="0" borderId="0" xfId="0" applyFont="1" applyAlignment="1">
      <alignment horizontal="center"/>
    </xf>
    <xf numFmtId="0" fontId="4" fillId="0" borderId="0" xfId="0" applyFont="1" applyAlignment="1">
      <alignment horizontal="center" readingOrder="2"/>
    </xf>
    <xf numFmtId="0" fontId="47" fillId="0" borderId="0" xfId="0" applyFont="1" applyAlignment="1">
      <alignment horizontal="center" vertical="center"/>
    </xf>
    <xf numFmtId="0" fontId="48" fillId="0" borderId="0" xfId="1" applyFont="1" applyAlignment="1" applyProtection="1">
      <alignment horizontal="center" vertical="center"/>
    </xf>
    <xf numFmtId="0" fontId="4" fillId="0" borderId="0" xfId="0" applyFont="1" applyAlignment="1">
      <alignment horizontal="center" vertical="center" readingOrder="2"/>
    </xf>
    <xf numFmtId="0" fontId="4" fillId="0" borderId="0" xfId="0" applyFont="1" applyAlignment="1">
      <alignment vertical="center" wrapText="1" readingOrder="2"/>
    </xf>
    <xf numFmtId="0" fontId="48" fillId="0" borderId="0" xfId="1" applyFont="1" applyAlignment="1" applyProtection="1">
      <alignment horizontal="right" vertical="center" wrapText="1"/>
    </xf>
    <xf numFmtId="0" fontId="43" fillId="0" borderId="0" xfId="0" applyFont="1" applyAlignment="1">
      <alignment horizontal="right" wrapText="1"/>
    </xf>
    <xf numFmtId="0" fontId="48" fillId="0" borderId="0" xfId="1" applyFont="1" applyAlignment="1" applyProtection="1">
      <alignment horizontal="right" wrapText="1"/>
    </xf>
    <xf numFmtId="0" fontId="48" fillId="5" borderId="0" xfId="1" applyFont="1" applyFill="1" applyBorder="1" applyAlignment="1" applyProtection="1">
      <alignment horizontal="right" vertical="center" wrapText="1" readingOrder="2"/>
    </xf>
    <xf numFmtId="0" fontId="48" fillId="0" borderId="0" xfId="1" applyFont="1" applyAlignment="1" applyProtection="1">
      <alignment horizontal="right" vertical="center"/>
    </xf>
    <xf numFmtId="0" fontId="4" fillId="0" borderId="0" xfId="0" applyFont="1" applyAlignment="1">
      <alignment wrapText="1" readingOrder="2"/>
    </xf>
    <xf numFmtId="0" fontId="4" fillId="0" borderId="0" xfId="0" applyFont="1" applyAlignment="1">
      <alignment horizontal="right" vertical="center" wrapText="1"/>
    </xf>
    <xf numFmtId="0" fontId="43" fillId="0" borderId="0" xfId="0" applyFont="1" applyAlignment="1">
      <alignment wrapText="1"/>
    </xf>
    <xf numFmtId="0" fontId="0" fillId="0" borderId="0" xfId="0" applyAlignment="1">
      <alignment wrapText="1"/>
    </xf>
    <xf numFmtId="0" fontId="43" fillId="0" borderId="0" xfId="0" applyFont="1" applyAlignment="1">
      <alignment horizontal="right" vertical="center" wrapText="1"/>
    </xf>
    <xf numFmtId="0" fontId="3" fillId="0" borderId="0" xfId="0" applyFont="1" applyAlignment="1">
      <alignment horizontal="right" vertical="center" wrapText="1"/>
    </xf>
    <xf numFmtId="0" fontId="3" fillId="21" borderId="21" xfId="0" applyFont="1" applyFill="1" applyBorder="1" applyAlignment="1">
      <alignment horizontal="center" vertical="center" wrapText="1"/>
    </xf>
    <xf numFmtId="0" fontId="0" fillId="0" borderId="14" xfId="0" applyBorder="1" applyAlignment="1">
      <alignment horizontal="center" vertical="center" wrapText="1"/>
    </xf>
    <xf numFmtId="0" fontId="3" fillId="0" borderId="43" xfId="0" applyFont="1" applyBorder="1" applyAlignment="1">
      <alignment vertical="center" wrapText="1"/>
    </xf>
    <xf numFmtId="0" fontId="3" fillId="0" borderId="55" xfId="0" applyFont="1" applyBorder="1" applyAlignment="1">
      <alignment vertical="center" wrapText="1"/>
    </xf>
    <xf numFmtId="3" fontId="4" fillId="8" borderId="43" xfId="0" applyNumberFormat="1" applyFont="1" applyFill="1" applyBorder="1" applyAlignment="1">
      <alignment horizontal="center" vertical="center" wrapText="1"/>
    </xf>
    <xf numFmtId="3" fontId="4" fillId="8" borderId="54" xfId="0" applyNumberFormat="1" applyFont="1" applyFill="1" applyBorder="1" applyAlignment="1">
      <alignment horizontal="center" vertical="center" wrapText="1"/>
    </xf>
    <xf numFmtId="3" fontId="43" fillId="8" borderId="55" xfId="0" applyNumberFormat="1" applyFont="1" applyFill="1" applyBorder="1" applyAlignment="1">
      <alignment horizontal="center" vertical="center" wrapText="1"/>
    </xf>
    <xf numFmtId="0" fontId="4" fillId="0" borderId="0" xfId="0" applyFont="1" applyAlignment="1">
      <alignment horizontal="right" vertical="center" readingOrder="2"/>
    </xf>
    <xf numFmtId="0" fontId="43" fillId="0" borderId="0" xfId="0" applyFont="1" applyAlignment="1">
      <alignment horizontal="right" vertical="center" readingOrder="2"/>
    </xf>
    <xf numFmtId="0" fontId="4" fillId="2" borderId="11" xfId="0" applyFont="1" applyFill="1" applyBorder="1" applyAlignment="1">
      <alignment horizontal="right" vertical="center" readingOrder="2"/>
    </xf>
    <xf numFmtId="0" fontId="4" fillId="2" borderId="12" xfId="0" applyFont="1" applyFill="1" applyBorder="1" applyAlignment="1">
      <alignment horizontal="right" vertical="center" readingOrder="2"/>
    </xf>
    <xf numFmtId="0" fontId="4" fillId="2" borderId="13" xfId="0" applyFont="1" applyFill="1" applyBorder="1" applyAlignment="1">
      <alignment horizontal="right" vertical="center" readingOrder="2"/>
    </xf>
    <xf numFmtId="0" fontId="4" fillId="0" borderId="0" xfId="0" applyFont="1" applyAlignment="1">
      <alignment vertical="center" readingOrder="2"/>
    </xf>
    <xf numFmtId="0" fontId="43" fillId="0" borderId="0" xfId="0" applyFont="1" applyAlignment="1">
      <alignment vertical="center" readingOrder="2"/>
    </xf>
    <xf numFmtId="0" fontId="4" fillId="2" borderId="12" xfId="0" applyFont="1" applyFill="1" applyBorder="1" applyAlignment="1">
      <alignment horizontal="center" vertical="center" wrapText="1" readingOrder="2"/>
    </xf>
    <xf numFmtId="0" fontId="43" fillId="0" borderId="56" xfId="0" applyFont="1" applyBorder="1" applyAlignment="1">
      <alignment horizontal="center" vertical="center" wrapText="1" readingOrder="2"/>
    </xf>
    <xf numFmtId="0" fontId="4" fillId="0" borderId="0" xfId="0" applyFont="1" applyFill="1" applyBorder="1" applyAlignment="1">
      <alignment horizontal="right" vertical="center"/>
    </xf>
    <xf numFmtId="0" fontId="8" fillId="0" borderId="0" xfId="0" applyFont="1" applyBorder="1" applyAlignment="1">
      <alignment horizontal="right" vertical="center"/>
    </xf>
    <xf numFmtId="0" fontId="4" fillId="0" borderId="0" xfId="0" applyFont="1" applyAlignment="1">
      <alignment horizontal="right" vertical="center"/>
    </xf>
    <xf numFmtId="0" fontId="0" fillId="0" borderId="0" xfId="0" applyAlignment="1">
      <alignment horizontal="center" vertical="center" readingOrder="2"/>
    </xf>
    <xf numFmtId="0" fontId="3" fillId="0" borderId="0" xfId="0" applyFont="1" applyAlignment="1">
      <alignment horizontal="right" vertical="center"/>
    </xf>
    <xf numFmtId="0" fontId="4" fillId="5" borderId="0" xfId="0" applyFont="1" applyFill="1" applyBorder="1" applyAlignment="1">
      <alignment horizontal="right" vertical="center" readingOrder="2"/>
    </xf>
    <xf numFmtId="0" fontId="0" fillId="0" borderId="0" xfId="0" applyBorder="1" applyAlignment="1">
      <alignment horizontal="right" vertical="center"/>
    </xf>
    <xf numFmtId="0" fontId="5" fillId="2" borderId="22" xfId="0" applyFont="1" applyFill="1" applyBorder="1" applyAlignment="1">
      <alignment horizontal="center" vertical="center"/>
    </xf>
    <xf numFmtId="0" fontId="0" fillId="2" borderId="24" xfId="0" applyFill="1" applyBorder="1" applyAlignment="1">
      <alignment horizontal="center" vertical="center"/>
    </xf>
    <xf numFmtId="0" fontId="0" fillId="2" borderId="23" xfId="0" applyFill="1" applyBorder="1" applyAlignment="1">
      <alignment horizontal="center" vertical="center"/>
    </xf>
    <xf numFmtId="0" fontId="5" fillId="2" borderId="6" xfId="0" applyFont="1" applyFill="1" applyBorder="1" applyAlignment="1">
      <alignment horizontal="center" vertical="center" readingOrder="2"/>
    </xf>
    <xf numFmtId="0" fontId="0" fillId="2" borderId="6" xfId="0" applyFill="1" applyBorder="1" applyAlignment="1">
      <alignment horizontal="center" vertical="center" readingOrder="2"/>
    </xf>
    <xf numFmtId="0" fontId="0" fillId="2" borderId="1" xfId="0" applyFill="1" applyBorder="1" applyAlignment="1">
      <alignment horizontal="center" vertical="center" readingOrder="2"/>
    </xf>
    <xf numFmtId="0" fontId="5" fillId="2" borderId="28" xfId="0" applyFont="1" applyFill="1" applyBorder="1" applyAlignment="1">
      <alignment horizontal="center" vertical="center" readingOrder="2"/>
    </xf>
    <xf numFmtId="0" fontId="0" fillId="2" borderId="29" xfId="0" applyFill="1" applyBorder="1" applyAlignment="1">
      <alignment horizontal="center" vertical="center" readingOrder="2"/>
    </xf>
    <xf numFmtId="0" fontId="0" fillId="2" borderId="26" xfId="0" applyFill="1" applyBorder="1" applyAlignment="1">
      <alignment horizontal="center" vertical="center" readingOrder="2"/>
    </xf>
    <xf numFmtId="0" fontId="0" fillId="2" borderId="27" xfId="0" applyFill="1" applyBorder="1" applyAlignment="1">
      <alignment horizontal="center" vertical="center" readingOrder="2"/>
    </xf>
    <xf numFmtId="0" fontId="0" fillId="2" borderId="7" xfId="0" applyFill="1" applyBorder="1" applyAlignment="1">
      <alignment horizontal="center" vertical="center" readingOrder="2"/>
    </xf>
    <xf numFmtId="0" fontId="0" fillId="2" borderId="9" xfId="0" applyFill="1" applyBorder="1" applyAlignment="1">
      <alignment horizontal="center" vertical="center" readingOrder="2"/>
    </xf>
    <xf numFmtId="0" fontId="5" fillId="0" borderId="0" xfId="0" applyFont="1" applyAlignment="1">
      <alignment horizontal="right" vertical="center"/>
    </xf>
    <xf numFmtId="0" fontId="4" fillId="0" borderId="0" xfId="0" applyFont="1" applyBorder="1" applyAlignment="1">
      <alignment horizontal="right" vertical="center"/>
    </xf>
    <xf numFmtId="0" fontId="3" fillId="0" borderId="0" xfId="0" applyFont="1" applyFill="1" applyBorder="1" applyAlignment="1">
      <alignment horizontal="right" vertical="center"/>
    </xf>
    <xf numFmtId="0" fontId="9" fillId="0" borderId="0" xfId="0" applyFont="1" applyBorder="1" applyAlignment="1">
      <alignment horizontal="right" vertical="center"/>
    </xf>
    <xf numFmtId="0" fontId="3" fillId="0" borderId="0" xfId="0" applyFont="1" applyAlignment="1">
      <alignment horizontal="center" vertical="center" readingOrder="2"/>
    </xf>
    <xf numFmtId="0" fontId="3" fillId="2" borderId="32" xfId="0" applyFont="1" applyFill="1" applyBorder="1" applyAlignment="1">
      <alignment horizontal="center" vertical="center" readingOrder="2"/>
    </xf>
    <xf numFmtId="0" fontId="3" fillId="2" borderId="34" xfId="0" applyFont="1" applyFill="1" applyBorder="1" applyAlignment="1">
      <alignment horizontal="center" vertical="center" readingOrder="2"/>
    </xf>
    <xf numFmtId="0" fontId="7" fillId="2" borderId="32" xfId="0" applyFont="1" applyFill="1" applyBorder="1" applyAlignment="1">
      <alignment horizontal="center" vertical="center" readingOrder="2"/>
    </xf>
    <xf numFmtId="0" fontId="7" fillId="2" borderId="34" xfId="0" applyFont="1" applyFill="1" applyBorder="1" applyAlignment="1">
      <alignment horizontal="center" vertical="center" readingOrder="2"/>
    </xf>
    <xf numFmtId="0" fontId="0" fillId="2" borderId="33" xfId="0" applyFill="1" applyBorder="1" applyAlignment="1">
      <alignment readingOrder="2"/>
    </xf>
    <xf numFmtId="0" fontId="3" fillId="2" borderId="30" xfId="0" applyFont="1" applyFill="1" applyBorder="1" applyAlignment="1">
      <alignment horizontal="center" vertical="center"/>
    </xf>
    <xf numFmtId="0" fontId="0" fillId="2" borderId="31" xfId="0" applyFill="1" applyBorder="1"/>
    <xf numFmtId="0" fontId="3" fillId="0" borderId="25" xfId="0" applyFont="1" applyBorder="1" applyAlignment="1">
      <alignment horizontal="center" vertical="center" wrapText="1"/>
    </xf>
    <xf numFmtId="0" fontId="0" fillId="0" borderId="25" xfId="0" applyBorder="1" applyAlignment="1">
      <alignment horizontal="center" wrapText="1"/>
    </xf>
    <xf numFmtId="0" fontId="11" fillId="0" borderId="0" xfId="1" applyNumberFormat="1" applyFont="1" applyAlignment="1" applyProtection="1">
      <alignment horizontal="right" vertical="center" readingOrder="2"/>
    </xf>
    <xf numFmtId="0" fontId="12" fillId="0" borderId="38" xfId="0" applyFont="1" applyBorder="1" applyAlignment="1">
      <alignment horizontal="right" vertical="center" wrapText="1" readingOrder="2"/>
    </xf>
    <xf numFmtId="0" fontId="13" fillId="0" borderId="0" xfId="0" applyFont="1" applyAlignment="1">
      <alignment horizontal="right" vertical="center" wrapText="1" readingOrder="2"/>
    </xf>
    <xf numFmtId="0" fontId="0" fillId="0" borderId="0" xfId="0" applyAlignment="1">
      <alignment horizontal="right" vertical="center" wrapText="1" readingOrder="2"/>
    </xf>
    <xf numFmtId="0" fontId="12" fillId="0" borderId="0" xfId="0" applyFont="1" applyAlignment="1">
      <alignment horizontal="right" vertical="center" readingOrder="2"/>
    </xf>
    <xf numFmtId="0" fontId="12" fillId="2" borderId="11" xfId="0" applyFont="1" applyFill="1" applyBorder="1" applyAlignment="1">
      <alignment horizontal="center" vertical="center" readingOrder="2"/>
    </xf>
    <xf numFmtId="0" fontId="12" fillId="2" borderId="12" xfId="0" applyFont="1" applyFill="1" applyBorder="1" applyAlignment="1">
      <alignment horizontal="center" vertical="center" readingOrder="2"/>
    </xf>
    <xf numFmtId="0" fontId="12" fillId="2" borderId="13" xfId="0" applyFont="1" applyFill="1" applyBorder="1" applyAlignment="1">
      <alignment horizontal="center" vertical="center" readingOrder="2"/>
    </xf>
    <xf numFmtId="0" fontId="12" fillId="0" borderId="0" xfId="0" applyFont="1" applyAlignment="1">
      <alignment horizontal="center" readingOrder="2"/>
    </xf>
    <xf numFmtId="0" fontId="11" fillId="0" borderId="25" xfId="1" applyNumberFormat="1" applyFont="1" applyBorder="1" applyAlignment="1" applyProtection="1">
      <alignment horizontal="right" vertical="center" readingOrder="2"/>
    </xf>
    <xf numFmtId="0" fontId="3" fillId="0" borderId="0" xfId="0" applyFont="1" applyAlignment="1">
      <alignment horizontal="right" vertical="center" readingOrder="2"/>
    </xf>
    <xf numFmtId="0" fontId="3" fillId="0" borderId="0" xfId="0" applyFont="1" applyBorder="1" applyAlignment="1">
      <alignment horizontal="right" vertical="center" wrapText="1" readingOrder="2"/>
    </xf>
    <xf numFmtId="0" fontId="3" fillId="0" borderId="0" xfId="0" applyFont="1" applyBorder="1" applyAlignment="1">
      <alignment horizontal="right" wrapText="1" readingOrder="2"/>
    </xf>
    <xf numFmtId="0" fontId="3" fillId="0" borderId="0" xfId="0" applyFont="1" applyAlignment="1">
      <alignment horizontal="right" wrapText="1" readingOrder="2"/>
    </xf>
    <xf numFmtId="0" fontId="3" fillId="2" borderId="8" xfId="0" applyFont="1" applyFill="1" applyBorder="1" applyAlignment="1">
      <alignment horizontal="center" vertical="center" readingOrder="2"/>
    </xf>
    <xf numFmtId="0" fontId="3" fillId="2" borderId="1" xfId="0" applyFont="1" applyFill="1" applyBorder="1" applyAlignment="1">
      <alignment horizontal="center" vertical="center" readingOrder="2"/>
    </xf>
    <xf numFmtId="0" fontId="3" fillId="0" borderId="0" xfId="0" applyFont="1" applyBorder="1" applyAlignment="1">
      <alignment horizontal="right" vertical="center" readingOrder="2"/>
    </xf>
    <xf numFmtId="0" fontId="3" fillId="2" borderId="21" xfId="0" applyFont="1" applyFill="1" applyBorder="1" applyAlignment="1">
      <alignment horizontal="center" vertical="center" readingOrder="2"/>
    </xf>
    <xf numFmtId="0" fontId="3" fillId="2" borderId="14" xfId="0" applyFont="1" applyFill="1" applyBorder="1" applyAlignment="1">
      <alignment horizontal="center" vertical="center" readingOrder="2"/>
    </xf>
    <xf numFmtId="0" fontId="3" fillId="4" borderId="14" xfId="0" applyFont="1" applyFill="1" applyBorder="1" applyAlignment="1">
      <alignment horizontal="center" vertical="center" readingOrder="2"/>
    </xf>
    <xf numFmtId="0" fontId="16" fillId="0" borderId="0" xfId="0" applyFont="1" applyAlignment="1">
      <alignment horizontal="right" vertical="center"/>
    </xf>
    <xf numFmtId="0" fontId="16" fillId="0" borderId="0" xfId="0" applyFont="1" applyAlignment="1">
      <alignment horizontal="center"/>
    </xf>
    <xf numFmtId="0" fontId="16" fillId="0" borderId="0" xfId="0" applyFont="1" applyAlignment="1">
      <alignment horizontal="center" vertical="center" readingOrder="2"/>
    </xf>
    <xf numFmtId="0" fontId="0" fillId="0" borderId="0" xfId="0" applyFont="1" applyAlignment="1">
      <alignment vertical="center" readingOrder="2"/>
    </xf>
    <xf numFmtId="0" fontId="12" fillId="0" borderId="0" xfId="0" applyFont="1" applyAlignment="1">
      <alignment horizontal="center"/>
    </xf>
    <xf numFmtId="0" fontId="3" fillId="0" borderId="25" xfId="0" applyFont="1" applyBorder="1" applyAlignment="1">
      <alignment horizontal="center" vertical="center" readingOrder="2"/>
    </xf>
    <xf numFmtId="0" fontId="3" fillId="7" borderId="43" xfId="0" applyFont="1" applyFill="1" applyBorder="1" applyAlignment="1">
      <alignment horizontal="center" vertical="center"/>
    </xf>
    <xf numFmtId="0" fontId="3" fillId="7" borderId="25" xfId="0" applyFont="1" applyFill="1" applyBorder="1" applyAlignment="1">
      <alignment horizontal="center" vertical="center"/>
    </xf>
    <xf numFmtId="0" fontId="3" fillId="7" borderId="47" xfId="0" applyFont="1" applyFill="1" applyBorder="1" applyAlignment="1">
      <alignment horizontal="center" vertical="center"/>
    </xf>
    <xf numFmtId="0" fontId="16" fillId="0" borderId="38" xfId="0" applyFont="1" applyBorder="1" applyAlignment="1">
      <alignment horizontal="right" vertical="center"/>
    </xf>
    <xf numFmtId="0" fontId="25" fillId="0" borderId="39" xfId="0" applyFont="1" applyBorder="1" applyAlignment="1">
      <alignment horizontal="right" vertical="center"/>
    </xf>
    <xf numFmtId="0" fontId="25" fillId="0" borderId="40" xfId="0" applyFont="1" applyBorder="1" applyAlignment="1">
      <alignment horizontal="right" vertical="center"/>
    </xf>
    <xf numFmtId="0" fontId="26" fillId="0" borderId="0" xfId="0" applyFont="1" applyBorder="1" applyAlignment="1">
      <alignment horizontal="center"/>
    </xf>
    <xf numFmtId="0" fontId="24" fillId="17" borderId="1" xfId="6" applyFont="1" applyFill="1" applyBorder="1" applyAlignment="1">
      <alignment horizontal="center" vertical="center"/>
    </xf>
    <xf numFmtId="0" fontId="24" fillId="17" borderId="2" xfId="6" applyFont="1" applyFill="1" applyBorder="1" applyAlignment="1">
      <alignment horizontal="center" vertical="center"/>
    </xf>
    <xf numFmtId="0" fontId="26" fillId="2" borderId="50" xfId="8" applyFont="1" applyFill="1" applyBorder="1" applyAlignment="1">
      <alignment horizontal="center" vertical="center" textRotation="90"/>
    </xf>
    <xf numFmtId="0" fontId="26" fillId="2" borderId="51" xfId="8" applyFont="1" applyFill="1" applyBorder="1" applyAlignment="1">
      <alignment horizontal="center" vertical="center" textRotation="90"/>
    </xf>
    <xf numFmtId="0" fontId="26" fillId="2" borderId="34" xfId="4" applyFont="1" applyFill="1" applyBorder="1" applyAlignment="1">
      <alignment horizontal="center" vertical="center"/>
    </xf>
    <xf numFmtId="0" fontId="26" fillId="2" borderId="13" xfId="4" applyFont="1" applyFill="1" applyBorder="1" applyAlignment="1">
      <alignment horizontal="center" vertical="center"/>
    </xf>
    <xf numFmtId="0" fontId="27" fillId="2" borderId="6" xfId="0" applyFont="1" applyFill="1" applyBorder="1" applyAlignment="1">
      <alignment horizontal="center" vertical="center"/>
    </xf>
    <xf numFmtId="0" fontId="27" fillId="2" borderId="14" xfId="0" applyFont="1" applyFill="1" applyBorder="1" applyAlignment="1">
      <alignment horizontal="center" vertical="center"/>
    </xf>
    <xf numFmtId="0" fontId="25" fillId="2" borderId="46" xfId="2" applyFont="1" applyFill="1" applyBorder="1" applyAlignment="1">
      <alignment horizontal="center" vertical="center" wrapText="1"/>
    </xf>
    <xf numFmtId="0" fontId="25" fillId="2" borderId="19" xfId="2" applyFont="1" applyFill="1" applyBorder="1" applyAlignment="1">
      <alignment horizontal="center" vertical="center" wrapText="1"/>
    </xf>
    <xf numFmtId="0" fontId="26" fillId="0" borderId="39" xfId="0" applyFont="1" applyBorder="1" applyAlignment="1">
      <alignment horizontal="right" vertical="center"/>
    </xf>
    <xf numFmtId="0" fontId="26" fillId="0" borderId="40" xfId="0" applyFont="1" applyBorder="1" applyAlignment="1">
      <alignment horizontal="right" vertical="center"/>
    </xf>
  </cellXfs>
  <cellStyles count="9">
    <cellStyle name="20% - Accent2" xfId="4" builtinId="34"/>
    <cellStyle name="20% - Accent3" xfId="5" builtinId="38"/>
    <cellStyle name="20% - Accent5" xfId="7" builtinId="46"/>
    <cellStyle name="20% - Accent6" xfId="8" builtinId="50"/>
    <cellStyle name="40% - Accent3" xfId="6" builtinId="39"/>
    <cellStyle name="Good" xfId="2" builtinId="26"/>
    <cellStyle name="Hyperlink" xfId="1" builtinId="8"/>
    <cellStyle name="Normal" xfId="0" builtinId="0"/>
    <cellStyle name="Note" xfId="3" builtinId="10"/>
  </cellStyles>
  <dxfs count="0"/>
  <tableStyles count="0" defaultTableStyle="TableStyleMedium9" defaultPivotStyle="PivotStyleLight16"/>
  <colors>
    <mruColors>
      <color rgb="FFFFCCFF"/>
      <color rgb="FFFF8F8F"/>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tabColor rgb="FFFFFF00"/>
  </sheetPr>
  <dimension ref="A1:T118"/>
  <sheetViews>
    <sheetView rightToLeft="1" zoomScaleNormal="100" workbookViewId="0">
      <selection activeCell="D15" sqref="D15"/>
    </sheetView>
  </sheetViews>
  <sheetFormatPr defaultRowHeight="15"/>
  <cols>
    <col min="1" max="1" width="4.85546875" customWidth="1"/>
    <col min="2" max="2" width="12" customWidth="1"/>
    <col min="3" max="3" width="14.140625" customWidth="1"/>
    <col min="4" max="6" width="16.42578125" style="4" customWidth="1"/>
    <col min="7" max="7" width="18.5703125" customWidth="1"/>
    <col min="8" max="8" width="1.85546875" customWidth="1"/>
    <col min="9" max="9" width="4.85546875" style="4" customWidth="1"/>
    <col min="10" max="11" width="14.7109375" style="4" customWidth="1"/>
    <col min="12" max="14" width="14.7109375" style="15" customWidth="1"/>
    <col min="15" max="15" width="14.7109375" customWidth="1"/>
    <col min="16" max="16" width="32.7109375" customWidth="1"/>
    <col min="17" max="18" width="15.7109375" style="17" customWidth="1"/>
    <col min="19" max="20" width="16.28515625" style="17" customWidth="1"/>
  </cols>
  <sheetData>
    <row r="1" spans="1:15" ht="19.5" customHeight="1">
      <c r="A1" s="427" t="s">
        <v>264</v>
      </c>
      <c r="B1" s="427"/>
      <c r="C1" s="427"/>
      <c r="D1" s="427"/>
      <c r="E1" s="427"/>
      <c r="F1" s="427"/>
      <c r="G1" s="8"/>
      <c r="H1" s="8"/>
      <c r="I1" s="427" t="s">
        <v>264</v>
      </c>
      <c r="J1" s="427"/>
      <c r="K1" s="427"/>
      <c r="L1" s="427"/>
      <c r="M1" s="427"/>
      <c r="N1" s="427"/>
    </row>
    <row r="2" spans="1:15" ht="19.5" customHeight="1">
      <c r="A2" s="428" t="s">
        <v>582</v>
      </c>
      <c r="B2" s="428"/>
      <c r="C2" s="428"/>
      <c r="D2" s="428"/>
      <c r="E2" s="428"/>
      <c r="F2" s="428"/>
      <c r="G2" s="8"/>
      <c r="H2" s="8"/>
      <c r="I2" s="428" t="s">
        <v>583</v>
      </c>
      <c r="J2" s="428"/>
      <c r="K2" s="428"/>
      <c r="L2" s="428"/>
      <c r="M2" s="428"/>
      <c r="N2" s="428"/>
    </row>
    <row r="3" spans="1:15" ht="19.5" customHeight="1" thickBot="1">
      <c r="A3" s="18"/>
      <c r="B3" s="18"/>
      <c r="C3" s="18"/>
      <c r="D3" s="18"/>
      <c r="E3" s="18"/>
      <c r="F3" s="18"/>
      <c r="G3" s="8"/>
      <c r="H3" s="8"/>
    </row>
    <row r="4" spans="1:15" ht="28.5" customHeight="1" thickBot="1">
      <c r="A4" s="9" t="s">
        <v>0</v>
      </c>
      <c r="B4" s="10" t="s">
        <v>6</v>
      </c>
      <c r="C4" s="10" t="s">
        <v>5</v>
      </c>
      <c r="D4" s="11" t="s">
        <v>1</v>
      </c>
      <c r="E4" s="11" t="s">
        <v>2</v>
      </c>
      <c r="F4" s="11" t="s">
        <v>280</v>
      </c>
      <c r="G4" s="12" t="s">
        <v>3</v>
      </c>
      <c r="I4" s="270" t="s">
        <v>122</v>
      </c>
      <c r="J4" s="271" t="s">
        <v>345</v>
      </c>
      <c r="K4" s="271" t="s">
        <v>346</v>
      </c>
      <c r="L4" s="271" t="s">
        <v>348</v>
      </c>
      <c r="M4" s="271" t="s">
        <v>347</v>
      </c>
      <c r="N4" s="271" t="s">
        <v>349</v>
      </c>
      <c r="O4" s="272" t="s">
        <v>350</v>
      </c>
    </row>
    <row r="5" spans="1:15" ht="21" customHeight="1">
      <c r="A5" s="88">
        <v>1</v>
      </c>
      <c r="B5" s="1"/>
      <c r="C5" s="1"/>
      <c r="D5" s="124"/>
      <c r="E5" s="134" t="e">
        <f t="shared" ref="E5:E11" si="0">F5/D5</f>
        <v>#DIV/0!</v>
      </c>
      <c r="F5" s="124"/>
      <c r="G5" s="13"/>
      <c r="H5" s="7"/>
      <c r="I5" s="273">
        <v>1</v>
      </c>
      <c r="J5" s="269"/>
      <c r="K5" s="275">
        <v>8943.18</v>
      </c>
      <c r="L5" s="396">
        <f t="shared" ref="L5:L34" si="1">M5/K5</f>
        <v>1.3200002683609187</v>
      </c>
      <c r="M5" s="275">
        <v>11805</v>
      </c>
      <c r="N5" s="395">
        <f t="shared" ref="N5:N34" si="2">O5/M5</f>
        <v>2.8600000000000003</v>
      </c>
      <c r="O5" s="299">
        <v>33762.300000000003</v>
      </c>
    </row>
    <row r="6" spans="1:15" ht="21" customHeight="1">
      <c r="A6" s="88">
        <v>2</v>
      </c>
      <c r="B6" s="325" t="s">
        <v>581</v>
      </c>
      <c r="C6" s="325" t="s">
        <v>355</v>
      </c>
      <c r="D6" s="129">
        <v>5452.66</v>
      </c>
      <c r="E6" s="404">
        <f t="shared" si="0"/>
        <v>3.7750015588721832</v>
      </c>
      <c r="F6" s="124">
        <v>20583.8</v>
      </c>
      <c r="G6" s="326" t="s">
        <v>356</v>
      </c>
      <c r="I6" s="274">
        <v>2</v>
      </c>
      <c r="J6" s="24"/>
      <c r="K6" s="119"/>
      <c r="L6" s="276"/>
      <c r="M6" s="119"/>
      <c r="N6" s="277"/>
      <c r="O6" s="278"/>
    </row>
    <row r="7" spans="1:15" ht="21" customHeight="1">
      <c r="A7" s="88">
        <v>3</v>
      </c>
      <c r="B7" s="325"/>
      <c r="C7" s="325" t="s">
        <v>355</v>
      </c>
      <c r="D7" s="122">
        <v>10000</v>
      </c>
      <c r="E7" s="404">
        <f t="shared" si="0"/>
        <v>3.7749999999999999</v>
      </c>
      <c r="F7" s="124">
        <v>37750</v>
      </c>
      <c r="G7" s="326" t="s">
        <v>356</v>
      </c>
      <c r="I7" s="273">
        <v>3</v>
      </c>
      <c r="J7" s="24"/>
      <c r="K7" s="119"/>
      <c r="L7" s="276"/>
      <c r="M7" s="119"/>
      <c r="N7" s="277"/>
      <c r="O7" s="278"/>
    </row>
    <row r="8" spans="1:15" ht="21" customHeight="1">
      <c r="A8" s="88">
        <v>4</v>
      </c>
      <c r="B8" s="325"/>
      <c r="C8" s="325" t="s">
        <v>355</v>
      </c>
      <c r="D8" s="122">
        <v>10000</v>
      </c>
      <c r="E8" s="404">
        <f t="shared" si="0"/>
        <v>3.7749999999999999</v>
      </c>
      <c r="F8" s="124">
        <v>37750</v>
      </c>
      <c r="G8" s="326" t="s">
        <v>356</v>
      </c>
      <c r="I8" s="274">
        <v>4</v>
      </c>
      <c r="J8" s="24"/>
      <c r="K8" s="119"/>
      <c r="L8" s="276"/>
      <c r="M8" s="119"/>
      <c r="N8" s="277"/>
      <c r="O8" s="278"/>
    </row>
    <row r="9" spans="1:15" ht="21" customHeight="1">
      <c r="A9" s="88">
        <v>5</v>
      </c>
      <c r="B9" s="325"/>
      <c r="C9" s="325" t="s">
        <v>355</v>
      </c>
      <c r="D9" s="122">
        <v>10000</v>
      </c>
      <c r="E9" s="404">
        <f t="shared" si="0"/>
        <v>3.7749999999999999</v>
      </c>
      <c r="F9" s="124">
        <v>37750</v>
      </c>
      <c r="G9" s="326" t="s">
        <v>356</v>
      </c>
      <c r="I9" s="273">
        <v>5</v>
      </c>
      <c r="J9" s="24"/>
      <c r="K9" s="119"/>
      <c r="L9" s="276"/>
      <c r="M9" s="119"/>
      <c r="N9" s="277"/>
      <c r="O9" s="278"/>
    </row>
    <row r="10" spans="1:15" ht="21" customHeight="1">
      <c r="A10" s="88">
        <v>6</v>
      </c>
      <c r="B10" s="325"/>
      <c r="C10" s="325" t="s">
        <v>355</v>
      </c>
      <c r="D10" s="122">
        <v>10000</v>
      </c>
      <c r="E10" s="404">
        <f t="shared" si="0"/>
        <v>3.7749999999999999</v>
      </c>
      <c r="F10" s="124">
        <v>37750</v>
      </c>
      <c r="G10" s="326" t="s">
        <v>356</v>
      </c>
      <c r="I10" s="274">
        <v>6</v>
      </c>
      <c r="J10" s="24"/>
      <c r="K10" s="119"/>
      <c r="L10" s="276"/>
      <c r="M10" s="119"/>
      <c r="N10" s="277"/>
      <c r="O10" s="278"/>
    </row>
    <row r="11" spans="1:15" ht="21" customHeight="1">
      <c r="A11" s="88">
        <v>7</v>
      </c>
      <c r="B11" s="325"/>
      <c r="C11" s="325" t="s">
        <v>355</v>
      </c>
      <c r="D11" s="122">
        <v>10000</v>
      </c>
      <c r="E11" s="404">
        <f t="shared" si="0"/>
        <v>3.7749999999999999</v>
      </c>
      <c r="F11" s="124">
        <v>37750</v>
      </c>
      <c r="G11" s="326" t="s">
        <v>356</v>
      </c>
      <c r="I11" s="273">
        <v>7</v>
      </c>
      <c r="J11" s="24"/>
      <c r="K11" s="111"/>
      <c r="L11" s="276"/>
      <c r="M11" s="119"/>
      <c r="N11" s="277"/>
      <c r="O11" s="278"/>
    </row>
    <row r="12" spans="1:15" ht="21" customHeight="1">
      <c r="A12" s="88">
        <v>8</v>
      </c>
      <c r="B12" s="325"/>
      <c r="C12" s="325" t="s">
        <v>355</v>
      </c>
      <c r="D12" s="122"/>
      <c r="E12" s="134"/>
      <c r="F12" s="124"/>
      <c r="G12" s="326" t="s">
        <v>356</v>
      </c>
      <c r="I12" s="274">
        <v>8</v>
      </c>
      <c r="J12" s="24"/>
      <c r="K12" s="119"/>
      <c r="L12" s="276"/>
      <c r="M12" s="119"/>
      <c r="N12" s="277"/>
      <c r="O12" s="278"/>
    </row>
    <row r="13" spans="1:15" ht="21" customHeight="1">
      <c r="A13" s="88">
        <v>9</v>
      </c>
      <c r="B13" s="325"/>
      <c r="C13" s="325" t="s">
        <v>355</v>
      </c>
      <c r="D13" s="122"/>
      <c r="E13" s="134"/>
      <c r="F13" s="124"/>
      <c r="G13" s="326" t="s">
        <v>356</v>
      </c>
      <c r="I13" s="273">
        <v>9</v>
      </c>
      <c r="J13" s="24"/>
      <c r="K13" s="119"/>
      <c r="L13" s="276"/>
      <c r="M13" s="119"/>
      <c r="N13" s="277"/>
      <c r="O13" s="278"/>
    </row>
    <row r="14" spans="1:15" ht="21" customHeight="1">
      <c r="A14" s="88">
        <v>10</v>
      </c>
      <c r="B14" s="325"/>
      <c r="C14" s="325" t="s">
        <v>355</v>
      </c>
      <c r="D14" s="122"/>
      <c r="E14" s="134"/>
      <c r="F14" s="124"/>
      <c r="G14" s="326" t="s">
        <v>356</v>
      </c>
      <c r="I14" s="274">
        <v>10</v>
      </c>
      <c r="J14" s="24"/>
      <c r="K14" s="119"/>
      <c r="L14" s="276"/>
      <c r="M14" s="119"/>
      <c r="N14" s="277"/>
      <c r="O14" s="278"/>
    </row>
    <row r="15" spans="1:15" ht="21" customHeight="1">
      <c r="A15" s="88">
        <v>11</v>
      </c>
      <c r="B15" s="325"/>
      <c r="C15" s="325" t="s">
        <v>355</v>
      </c>
      <c r="D15" s="124"/>
      <c r="E15" s="134"/>
      <c r="F15" s="124"/>
      <c r="G15" s="326" t="s">
        <v>356</v>
      </c>
      <c r="I15" s="273">
        <v>11</v>
      </c>
      <c r="J15" s="24"/>
      <c r="K15" s="119"/>
      <c r="L15" s="276"/>
      <c r="M15" s="119"/>
      <c r="N15" s="277"/>
      <c r="O15" s="278"/>
    </row>
    <row r="16" spans="1:15" ht="21" customHeight="1">
      <c r="A16" s="88">
        <v>12</v>
      </c>
      <c r="B16" s="1"/>
      <c r="C16" s="1"/>
      <c r="D16" s="122"/>
      <c r="E16" s="123"/>
      <c r="F16" s="124"/>
      <c r="G16" s="13"/>
      <c r="I16" s="274">
        <v>12</v>
      </c>
      <c r="J16" s="24"/>
      <c r="K16" s="119"/>
      <c r="L16" s="276"/>
      <c r="M16" s="119"/>
      <c r="N16" s="277"/>
      <c r="O16" s="278"/>
    </row>
    <row r="17" spans="1:15" ht="23.25" customHeight="1">
      <c r="A17" s="88">
        <v>13</v>
      </c>
      <c r="B17" s="1"/>
      <c r="C17" s="1"/>
      <c r="D17" s="122"/>
      <c r="E17" s="123"/>
      <c r="F17" s="124"/>
      <c r="G17" s="13"/>
      <c r="I17" s="273">
        <v>13</v>
      </c>
      <c r="J17" s="24"/>
      <c r="K17" s="119"/>
      <c r="L17" s="276"/>
      <c r="M17" s="119"/>
      <c r="N17" s="277"/>
      <c r="O17" s="278"/>
    </row>
    <row r="18" spans="1:15" ht="21" customHeight="1">
      <c r="A18" s="88">
        <v>14</v>
      </c>
      <c r="B18" s="1"/>
      <c r="C18" s="1"/>
      <c r="D18" s="122"/>
      <c r="E18" s="123"/>
      <c r="F18" s="124"/>
      <c r="G18" s="13"/>
      <c r="I18" s="274">
        <v>14</v>
      </c>
      <c r="J18" s="24"/>
      <c r="K18" s="119"/>
      <c r="L18" s="276"/>
      <c r="M18" s="119"/>
      <c r="N18" s="277"/>
      <c r="O18" s="278"/>
    </row>
    <row r="19" spans="1:15" ht="21" customHeight="1">
      <c r="A19" s="88">
        <v>15</v>
      </c>
      <c r="B19" s="1"/>
      <c r="C19" s="1"/>
      <c r="D19" s="122"/>
      <c r="E19" s="123" t="e">
        <f t="shared" ref="E19:E34" si="3">F19/D19</f>
        <v>#DIV/0!</v>
      </c>
      <c r="F19" s="124"/>
      <c r="G19" s="13"/>
      <c r="I19" s="273">
        <v>15</v>
      </c>
      <c r="J19" s="24"/>
      <c r="K19" s="119"/>
      <c r="L19" s="276" t="e">
        <f t="shared" si="1"/>
        <v>#DIV/0!</v>
      </c>
      <c r="M19" s="119"/>
      <c r="N19" s="277"/>
      <c r="O19" s="278"/>
    </row>
    <row r="20" spans="1:15" ht="21" customHeight="1">
      <c r="A20" s="88">
        <v>16</v>
      </c>
      <c r="B20" s="1"/>
      <c r="C20" s="1"/>
      <c r="D20" s="122"/>
      <c r="E20" s="123" t="e">
        <f t="shared" si="3"/>
        <v>#DIV/0!</v>
      </c>
      <c r="F20" s="124"/>
      <c r="G20" s="13"/>
      <c r="I20" s="274">
        <v>16</v>
      </c>
      <c r="J20" s="24"/>
      <c r="K20" s="119"/>
      <c r="L20" s="276" t="e">
        <f t="shared" si="1"/>
        <v>#DIV/0!</v>
      </c>
      <c r="M20" s="119"/>
      <c r="N20" s="277" t="e">
        <f t="shared" si="2"/>
        <v>#DIV/0!</v>
      </c>
      <c r="O20" s="278"/>
    </row>
    <row r="21" spans="1:15" ht="21" customHeight="1">
      <c r="A21" s="88">
        <v>17</v>
      </c>
      <c r="B21" s="1"/>
      <c r="C21" s="1"/>
      <c r="D21" s="122"/>
      <c r="E21" s="123" t="e">
        <f t="shared" si="3"/>
        <v>#DIV/0!</v>
      </c>
      <c r="F21" s="124"/>
      <c r="G21" s="13"/>
      <c r="I21" s="273">
        <v>17</v>
      </c>
      <c r="J21" s="24"/>
      <c r="K21" s="119"/>
      <c r="L21" s="276" t="e">
        <f t="shared" si="1"/>
        <v>#DIV/0!</v>
      </c>
      <c r="M21" s="119"/>
      <c r="N21" s="277" t="e">
        <f t="shared" si="2"/>
        <v>#DIV/0!</v>
      </c>
      <c r="O21" s="278"/>
    </row>
    <row r="22" spans="1:15" ht="21" customHeight="1">
      <c r="A22" s="88">
        <v>18</v>
      </c>
      <c r="B22" s="1"/>
      <c r="C22" s="1"/>
      <c r="D22" s="122"/>
      <c r="E22" s="123" t="e">
        <f t="shared" si="3"/>
        <v>#DIV/0!</v>
      </c>
      <c r="F22" s="124"/>
      <c r="G22" s="13"/>
      <c r="I22" s="274">
        <v>18</v>
      </c>
      <c r="J22" s="24"/>
      <c r="K22" s="119"/>
      <c r="L22" s="276" t="e">
        <f t="shared" si="1"/>
        <v>#DIV/0!</v>
      </c>
      <c r="M22" s="119"/>
      <c r="N22" s="277" t="e">
        <f t="shared" si="2"/>
        <v>#DIV/0!</v>
      </c>
      <c r="O22" s="278"/>
    </row>
    <row r="23" spans="1:15" ht="21" customHeight="1">
      <c r="A23" s="88">
        <v>19</v>
      </c>
      <c r="B23" s="1"/>
      <c r="C23" s="1"/>
      <c r="D23" s="122"/>
      <c r="E23" s="123" t="e">
        <f t="shared" si="3"/>
        <v>#DIV/0!</v>
      </c>
      <c r="F23" s="124"/>
      <c r="G23" s="13"/>
      <c r="I23" s="273">
        <v>19</v>
      </c>
      <c r="J23" s="24"/>
      <c r="K23" s="119"/>
      <c r="L23" s="276" t="e">
        <f t="shared" si="1"/>
        <v>#DIV/0!</v>
      </c>
      <c r="M23" s="119"/>
      <c r="N23" s="277" t="e">
        <f t="shared" si="2"/>
        <v>#DIV/0!</v>
      </c>
      <c r="O23" s="278"/>
    </row>
    <row r="24" spans="1:15" ht="21" customHeight="1">
      <c r="A24" s="88">
        <v>20</v>
      </c>
      <c r="B24" s="1"/>
      <c r="C24" s="1"/>
      <c r="D24" s="122"/>
      <c r="E24" s="123" t="e">
        <f t="shared" si="3"/>
        <v>#DIV/0!</v>
      </c>
      <c r="F24" s="124"/>
      <c r="G24" s="13"/>
      <c r="I24" s="274">
        <v>20</v>
      </c>
      <c r="J24" s="24"/>
      <c r="K24" s="119"/>
      <c r="L24" s="276" t="e">
        <f t="shared" si="1"/>
        <v>#DIV/0!</v>
      </c>
      <c r="M24" s="119"/>
      <c r="N24" s="277" t="e">
        <f t="shared" si="2"/>
        <v>#DIV/0!</v>
      </c>
      <c r="O24" s="278"/>
    </row>
    <row r="25" spans="1:15" ht="21" customHeight="1">
      <c r="A25" s="88">
        <v>21</v>
      </c>
      <c r="B25" s="1"/>
      <c r="C25" s="1"/>
      <c r="D25" s="122"/>
      <c r="E25" s="123" t="e">
        <f t="shared" si="3"/>
        <v>#DIV/0!</v>
      </c>
      <c r="F25" s="124"/>
      <c r="G25" s="13"/>
      <c r="I25" s="273">
        <v>21</v>
      </c>
      <c r="J25" s="24"/>
      <c r="K25" s="119"/>
      <c r="L25" s="276" t="e">
        <f t="shared" si="1"/>
        <v>#DIV/0!</v>
      </c>
      <c r="M25" s="119"/>
      <c r="N25" s="277" t="e">
        <f t="shared" si="2"/>
        <v>#DIV/0!</v>
      </c>
      <c r="O25" s="278"/>
    </row>
    <row r="26" spans="1:15" ht="21" customHeight="1">
      <c r="A26" s="88">
        <v>22</v>
      </c>
      <c r="B26" s="1"/>
      <c r="C26" s="1"/>
      <c r="D26" s="122"/>
      <c r="E26" s="123" t="e">
        <f t="shared" si="3"/>
        <v>#DIV/0!</v>
      </c>
      <c r="F26" s="124"/>
      <c r="G26" s="13"/>
      <c r="I26" s="274">
        <v>22</v>
      </c>
      <c r="J26" s="24"/>
      <c r="K26" s="119"/>
      <c r="L26" s="276" t="e">
        <f t="shared" si="1"/>
        <v>#DIV/0!</v>
      </c>
      <c r="M26" s="119"/>
      <c r="N26" s="277" t="e">
        <f t="shared" si="2"/>
        <v>#DIV/0!</v>
      </c>
      <c r="O26" s="278"/>
    </row>
    <row r="27" spans="1:15" ht="21" customHeight="1">
      <c r="A27" s="88">
        <v>23</v>
      </c>
      <c r="B27" s="2"/>
      <c r="C27" s="2"/>
      <c r="D27" s="122"/>
      <c r="E27" s="123" t="e">
        <f t="shared" si="3"/>
        <v>#DIV/0!</v>
      </c>
      <c r="F27" s="124"/>
      <c r="G27" s="14"/>
      <c r="I27" s="273">
        <v>23</v>
      </c>
      <c r="J27" s="24"/>
      <c r="K27" s="119"/>
      <c r="L27" s="276" t="e">
        <f t="shared" si="1"/>
        <v>#DIV/0!</v>
      </c>
      <c r="M27" s="119"/>
      <c r="N27" s="277" t="e">
        <f t="shared" si="2"/>
        <v>#DIV/0!</v>
      </c>
      <c r="O27" s="278"/>
    </row>
    <row r="28" spans="1:15" ht="21" customHeight="1">
      <c r="A28" s="88">
        <v>24</v>
      </c>
      <c r="B28" s="2"/>
      <c r="C28" s="2"/>
      <c r="D28" s="122"/>
      <c r="E28" s="123" t="e">
        <f t="shared" si="3"/>
        <v>#DIV/0!</v>
      </c>
      <c r="F28" s="124"/>
      <c r="G28" s="14"/>
      <c r="I28" s="274">
        <v>24</v>
      </c>
      <c r="J28" s="24"/>
      <c r="K28" s="119"/>
      <c r="L28" s="276" t="e">
        <f t="shared" si="1"/>
        <v>#DIV/0!</v>
      </c>
      <c r="M28" s="119"/>
      <c r="N28" s="277" t="e">
        <f t="shared" si="2"/>
        <v>#DIV/0!</v>
      </c>
      <c r="O28" s="278"/>
    </row>
    <row r="29" spans="1:15" ht="21" customHeight="1">
      <c r="A29" s="88">
        <v>25</v>
      </c>
      <c r="B29" s="2"/>
      <c r="C29" s="2"/>
      <c r="D29" s="122"/>
      <c r="E29" s="123" t="e">
        <f t="shared" si="3"/>
        <v>#DIV/0!</v>
      </c>
      <c r="F29" s="124"/>
      <c r="G29" s="14"/>
      <c r="I29" s="273">
        <v>25</v>
      </c>
      <c r="J29" s="24"/>
      <c r="K29" s="119"/>
      <c r="L29" s="276" t="e">
        <f t="shared" si="1"/>
        <v>#DIV/0!</v>
      </c>
      <c r="M29" s="119"/>
      <c r="N29" s="277" t="e">
        <f t="shared" si="2"/>
        <v>#DIV/0!</v>
      </c>
      <c r="O29" s="278"/>
    </row>
    <row r="30" spans="1:15" ht="21" customHeight="1">
      <c r="A30" s="88">
        <v>26</v>
      </c>
      <c r="B30" s="2"/>
      <c r="C30" s="2"/>
      <c r="D30" s="122"/>
      <c r="E30" s="123" t="e">
        <f t="shared" si="3"/>
        <v>#DIV/0!</v>
      </c>
      <c r="F30" s="124"/>
      <c r="G30" s="14"/>
      <c r="I30" s="274">
        <v>26</v>
      </c>
      <c r="J30" s="24"/>
      <c r="K30" s="119"/>
      <c r="L30" s="276" t="e">
        <f t="shared" si="1"/>
        <v>#DIV/0!</v>
      </c>
      <c r="M30" s="119"/>
      <c r="N30" s="277" t="e">
        <f t="shared" si="2"/>
        <v>#DIV/0!</v>
      </c>
      <c r="O30" s="278"/>
    </row>
    <row r="31" spans="1:15" ht="21" customHeight="1">
      <c r="A31" s="88">
        <v>27</v>
      </c>
      <c r="B31" s="2"/>
      <c r="C31" s="2"/>
      <c r="D31" s="122"/>
      <c r="E31" s="123" t="e">
        <f t="shared" si="3"/>
        <v>#DIV/0!</v>
      </c>
      <c r="F31" s="124"/>
      <c r="G31" s="14"/>
      <c r="I31" s="273">
        <v>27</v>
      </c>
      <c r="J31" s="24"/>
      <c r="K31" s="119"/>
      <c r="L31" s="276" t="e">
        <f t="shared" si="1"/>
        <v>#DIV/0!</v>
      </c>
      <c r="M31" s="119"/>
      <c r="N31" s="277" t="e">
        <f t="shared" si="2"/>
        <v>#DIV/0!</v>
      </c>
      <c r="O31" s="278"/>
    </row>
    <row r="32" spans="1:15" ht="21" customHeight="1">
      <c r="A32" s="88">
        <v>28</v>
      </c>
      <c r="B32" s="2"/>
      <c r="C32" s="2"/>
      <c r="D32" s="122"/>
      <c r="E32" s="123" t="e">
        <f t="shared" si="3"/>
        <v>#DIV/0!</v>
      </c>
      <c r="F32" s="124"/>
      <c r="G32" s="14"/>
      <c r="I32" s="274">
        <v>28</v>
      </c>
      <c r="J32" s="24"/>
      <c r="K32" s="119"/>
      <c r="L32" s="276" t="e">
        <f t="shared" si="1"/>
        <v>#DIV/0!</v>
      </c>
      <c r="M32" s="119"/>
      <c r="N32" s="277" t="e">
        <f t="shared" si="2"/>
        <v>#DIV/0!</v>
      </c>
      <c r="O32" s="278"/>
    </row>
    <row r="33" spans="1:15" ht="21" customHeight="1" thickBot="1">
      <c r="A33" s="88">
        <v>29</v>
      </c>
      <c r="B33" s="2"/>
      <c r="C33" s="2"/>
      <c r="D33" s="125"/>
      <c r="E33" s="126" t="e">
        <f t="shared" si="3"/>
        <v>#DIV/0!</v>
      </c>
      <c r="F33" s="127"/>
      <c r="G33" s="14"/>
      <c r="I33" s="300">
        <v>29</v>
      </c>
      <c r="J33" s="301"/>
      <c r="K33" s="302"/>
      <c r="L33" s="303" t="e">
        <f t="shared" si="1"/>
        <v>#DIV/0!</v>
      </c>
      <c r="M33" s="302"/>
      <c r="N33" s="304" t="e">
        <f t="shared" si="2"/>
        <v>#DIV/0!</v>
      </c>
      <c r="O33" s="305"/>
    </row>
    <row r="34" spans="1:15" ht="21" customHeight="1">
      <c r="A34" s="432" t="s">
        <v>4</v>
      </c>
      <c r="B34" s="433"/>
      <c r="C34" s="434"/>
      <c r="D34" s="128">
        <f>SUM(D5:D33)</f>
        <v>55452.66</v>
      </c>
      <c r="E34" s="394">
        <f t="shared" si="3"/>
        <v>3.7750001532838997</v>
      </c>
      <c r="F34" s="109">
        <f>SUM(F5:F33)</f>
        <v>209333.8</v>
      </c>
      <c r="G34" s="23"/>
      <c r="I34" s="438" t="s">
        <v>339</v>
      </c>
      <c r="J34" s="439"/>
      <c r="K34" s="306">
        <f>SUM(K5:K33)</f>
        <v>8943.18</v>
      </c>
      <c r="L34" s="307">
        <f t="shared" si="1"/>
        <v>1.3200002683609187</v>
      </c>
      <c r="M34" s="308">
        <f>SUM(M5:M33)</f>
        <v>11805</v>
      </c>
      <c r="N34" s="309">
        <f t="shared" si="2"/>
        <v>2.8600000000000003</v>
      </c>
      <c r="O34" s="310">
        <f>SUM(O5:O33)</f>
        <v>33762.300000000003</v>
      </c>
    </row>
    <row r="35" spans="1:15" ht="21" customHeight="1">
      <c r="A35" s="435" t="s">
        <v>9</v>
      </c>
      <c r="B35" s="436"/>
      <c r="C35" s="436"/>
      <c r="D35" s="436"/>
      <c r="E35" s="437"/>
      <c r="F35" s="109">
        <f>'روكش جاري و فرهنگي'!D81+'روكش جاري و فرهنگي'!D35</f>
        <v>209333.8</v>
      </c>
      <c r="G35" s="23"/>
      <c r="I35" s="266"/>
      <c r="J35" s="24"/>
      <c r="K35" s="440" t="s">
        <v>575</v>
      </c>
      <c r="L35" s="441"/>
      <c r="M35" s="442"/>
      <c r="N35" s="443"/>
      <c r="O35" s="311"/>
    </row>
    <row r="36" spans="1:15" ht="21" customHeight="1" thickBot="1">
      <c r="A36" s="429" t="s">
        <v>10</v>
      </c>
      <c r="B36" s="430"/>
      <c r="C36" s="431"/>
      <c r="D36" s="132">
        <f>F36/E36</f>
        <v>0</v>
      </c>
      <c r="E36" s="424">
        <f>F34/D34</f>
        <v>3.7750001532838997</v>
      </c>
      <c r="F36" s="133">
        <f>F34-F35</f>
        <v>0</v>
      </c>
      <c r="G36" s="22"/>
      <c r="I36" s="267"/>
      <c r="J36" s="268"/>
      <c r="K36" s="268"/>
      <c r="L36" s="152"/>
      <c r="M36" s="152"/>
      <c r="N36" s="152"/>
      <c r="O36" s="259"/>
    </row>
    <row r="38" spans="1:15">
      <c r="A38" s="426" t="s">
        <v>7</v>
      </c>
      <c r="B38" s="426"/>
      <c r="C38" s="3"/>
      <c r="D38" s="5" t="s">
        <v>8</v>
      </c>
      <c r="E38" s="6" t="s">
        <v>278</v>
      </c>
      <c r="F38" s="425" t="s">
        <v>279</v>
      </c>
      <c r="G38" s="425"/>
      <c r="I38" s="426" t="s">
        <v>7</v>
      </c>
      <c r="J38" s="426"/>
      <c r="K38" s="3"/>
      <c r="L38" s="5" t="s">
        <v>8</v>
      </c>
      <c r="M38" s="6" t="s">
        <v>278</v>
      </c>
      <c r="N38" s="425" t="s">
        <v>351</v>
      </c>
      <c r="O38" s="425"/>
    </row>
    <row r="41" spans="1:15" ht="17.25">
      <c r="A41" s="427" t="s">
        <v>264</v>
      </c>
      <c r="B41" s="427"/>
      <c r="C41" s="427"/>
      <c r="D41" s="427"/>
      <c r="E41" s="427"/>
      <c r="F41" s="427"/>
      <c r="G41" s="8"/>
    </row>
    <row r="42" spans="1:15" ht="17.25">
      <c r="A42" s="428" t="s">
        <v>584</v>
      </c>
      <c r="B42" s="428"/>
      <c r="C42" s="428"/>
      <c r="D42" s="428"/>
      <c r="E42" s="428"/>
      <c r="F42" s="428"/>
      <c r="G42" s="8"/>
    </row>
    <row r="43" spans="1:15" ht="18" thickBot="1">
      <c r="A43" s="18"/>
      <c r="B43" s="18"/>
      <c r="C43" s="18"/>
      <c r="D43" s="18"/>
      <c r="E43" s="18"/>
      <c r="F43" s="18"/>
      <c r="G43" s="8"/>
    </row>
    <row r="44" spans="1:15" ht="31.5">
      <c r="A44" s="9" t="s">
        <v>0</v>
      </c>
      <c r="B44" s="10" t="s">
        <v>6</v>
      </c>
      <c r="C44" s="10" t="s">
        <v>5</v>
      </c>
      <c r="D44" s="11" t="s">
        <v>1</v>
      </c>
      <c r="E44" s="11" t="s">
        <v>2</v>
      </c>
      <c r="F44" s="11" t="s">
        <v>281</v>
      </c>
      <c r="G44" s="12" t="s">
        <v>3</v>
      </c>
    </row>
    <row r="45" spans="1:15" ht="21" customHeight="1">
      <c r="A45" s="88">
        <v>1</v>
      </c>
      <c r="B45" s="1"/>
      <c r="C45" s="1"/>
      <c r="D45" s="122">
        <v>8943.18</v>
      </c>
      <c r="E45" s="123">
        <f t="shared" ref="E45:E74" si="4">F45/D45</f>
        <v>1.3200002683609187</v>
      </c>
      <c r="F45" s="124">
        <v>11805</v>
      </c>
      <c r="G45" s="13"/>
    </row>
    <row r="46" spans="1:15" ht="21" customHeight="1">
      <c r="A46" s="88">
        <v>2</v>
      </c>
      <c r="B46" s="1"/>
      <c r="C46" s="1"/>
      <c r="D46" s="122"/>
      <c r="E46" s="123"/>
      <c r="F46" s="124"/>
      <c r="G46" s="13"/>
    </row>
    <row r="47" spans="1:15" ht="21" customHeight="1">
      <c r="A47" s="88">
        <v>3</v>
      </c>
      <c r="B47" s="1"/>
      <c r="C47" s="1"/>
      <c r="D47" s="122"/>
      <c r="E47" s="123"/>
      <c r="F47" s="124"/>
      <c r="G47" s="13"/>
    </row>
    <row r="48" spans="1:15" ht="21" customHeight="1">
      <c r="A48" s="88">
        <v>4</v>
      </c>
      <c r="B48" s="1"/>
      <c r="C48" s="1"/>
      <c r="D48" s="122"/>
      <c r="E48" s="123"/>
      <c r="F48" s="124"/>
      <c r="G48" s="13"/>
    </row>
    <row r="49" spans="1:7" ht="21" customHeight="1">
      <c r="A49" s="88">
        <v>5</v>
      </c>
      <c r="B49" s="1"/>
      <c r="C49" s="1"/>
      <c r="D49" s="122"/>
      <c r="E49" s="123"/>
      <c r="F49" s="124"/>
      <c r="G49" s="13"/>
    </row>
    <row r="50" spans="1:7" ht="21" customHeight="1">
      <c r="A50" s="88">
        <v>6</v>
      </c>
      <c r="B50" s="1"/>
      <c r="C50" s="1"/>
      <c r="D50" s="122"/>
      <c r="E50" s="123"/>
      <c r="F50" s="124"/>
      <c r="G50" s="13"/>
    </row>
    <row r="51" spans="1:7" ht="21" customHeight="1">
      <c r="A51" s="88">
        <v>7</v>
      </c>
      <c r="B51" s="1"/>
      <c r="C51" s="1"/>
      <c r="D51" s="122"/>
      <c r="E51" s="123"/>
      <c r="F51" s="124"/>
      <c r="G51" s="13"/>
    </row>
    <row r="52" spans="1:7" ht="21" customHeight="1">
      <c r="A52" s="88">
        <v>8</v>
      </c>
      <c r="B52" s="1"/>
      <c r="C52" s="1"/>
      <c r="D52" s="122"/>
      <c r="E52" s="123"/>
      <c r="F52" s="124"/>
      <c r="G52" s="13"/>
    </row>
    <row r="53" spans="1:7" ht="21" customHeight="1">
      <c r="A53" s="88">
        <v>9</v>
      </c>
      <c r="B53" s="1"/>
      <c r="C53" s="1"/>
      <c r="D53" s="122"/>
      <c r="E53" s="123"/>
      <c r="F53" s="124"/>
      <c r="G53" s="13"/>
    </row>
    <row r="54" spans="1:7" ht="21" customHeight="1">
      <c r="A54" s="88">
        <v>10</v>
      </c>
      <c r="B54" s="1"/>
      <c r="C54" s="1"/>
      <c r="D54" s="122"/>
      <c r="E54" s="123"/>
      <c r="F54" s="124"/>
      <c r="G54" s="13"/>
    </row>
    <row r="55" spans="1:7" ht="21" customHeight="1">
      <c r="A55" s="88">
        <v>11</v>
      </c>
      <c r="B55" s="1"/>
      <c r="C55" s="1"/>
      <c r="D55" s="122"/>
      <c r="E55" s="123"/>
      <c r="F55" s="124"/>
      <c r="G55" s="13"/>
    </row>
    <row r="56" spans="1:7" ht="21" customHeight="1">
      <c r="A56" s="88">
        <v>12</v>
      </c>
      <c r="B56" s="1"/>
      <c r="C56" s="1"/>
      <c r="D56" s="122"/>
      <c r="E56" s="123"/>
      <c r="F56" s="124"/>
      <c r="G56" s="13"/>
    </row>
    <row r="57" spans="1:7" ht="21" customHeight="1">
      <c r="A57" s="88">
        <v>13</v>
      </c>
      <c r="B57" s="1"/>
      <c r="C57" s="1"/>
      <c r="D57" s="122"/>
      <c r="E57" s="123"/>
      <c r="F57" s="124"/>
      <c r="G57" s="13"/>
    </row>
    <row r="58" spans="1:7" ht="21" customHeight="1">
      <c r="A58" s="88">
        <v>14</v>
      </c>
      <c r="B58" s="1"/>
      <c r="C58" s="1"/>
      <c r="D58" s="122"/>
      <c r="E58" s="123"/>
      <c r="F58" s="124"/>
      <c r="G58" s="13"/>
    </row>
    <row r="59" spans="1:7" ht="21" customHeight="1">
      <c r="A59" s="88">
        <v>15</v>
      </c>
      <c r="B59" s="1"/>
      <c r="C59" s="1"/>
      <c r="D59" s="122"/>
      <c r="E59" s="123"/>
      <c r="F59" s="124"/>
      <c r="G59" s="13"/>
    </row>
    <row r="60" spans="1:7" ht="21" customHeight="1">
      <c r="A60" s="88">
        <v>16</v>
      </c>
      <c r="B60" s="1"/>
      <c r="C60" s="1"/>
      <c r="D60" s="122"/>
      <c r="E60" s="123" t="e">
        <f t="shared" si="4"/>
        <v>#DIV/0!</v>
      </c>
      <c r="F60" s="124"/>
      <c r="G60" s="13"/>
    </row>
    <row r="61" spans="1:7" ht="21" customHeight="1">
      <c r="A61" s="88">
        <v>17</v>
      </c>
      <c r="B61" s="1"/>
      <c r="C61" s="1"/>
      <c r="D61" s="122"/>
      <c r="E61" s="123" t="e">
        <f t="shared" si="4"/>
        <v>#DIV/0!</v>
      </c>
      <c r="F61" s="124"/>
      <c r="G61" s="13"/>
    </row>
    <row r="62" spans="1:7" ht="21" customHeight="1">
      <c r="A62" s="88">
        <v>18</v>
      </c>
      <c r="B62" s="1"/>
      <c r="C62" s="1"/>
      <c r="D62" s="122"/>
      <c r="E62" s="123" t="e">
        <f t="shared" si="4"/>
        <v>#DIV/0!</v>
      </c>
      <c r="F62" s="124"/>
      <c r="G62" s="13"/>
    </row>
    <row r="63" spans="1:7" ht="21" customHeight="1">
      <c r="A63" s="88">
        <v>19</v>
      </c>
      <c r="B63" s="1"/>
      <c r="C63" s="1"/>
      <c r="D63" s="122"/>
      <c r="E63" s="123" t="e">
        <f t="shared" si="4"/>
        <v>#DIV/0!</v>
      </c>
      <c r="F63" s="124"/>
      <c r="G63" s="13"/>
    </row>
    <row r="64" spans="1:7" ht="21" customHeight="1">
      <c r="A64" s="88">
        <v>20</v>
      </c>
      <c r="B64" s="1"/>
      <c r="C64" s="1"/>
      <c r="D64" s="122"/>
      <c r="E64" s="123" t="e">
        <f t="shared" si="4"/>
        <v>#DIV/0!</v>
      </c>
      <c r="F64" s="124"/>
      <c r="G64" s="13"/>
    </row>
    <row r="65" spans="1:7" ht="21" customHeight="1">
      <c r="A65" s="88">
        <v>21</v>
      </c>
      <c r="B65" s="1"/>
      <c r="C65" s="1"/>
      <c r="D65" s="122"/>
      <c r="E65" s="123" t="e">
        <f t="shared" si="4"/>
        <v>#DIV/0!</v>
      </c>
      <c r="F65" s="124"/>
      <c r="G65" s="13"/>
    </row>
    <row r="66" spans="1:7" ht="21" customHeight="1">
      <c r="A66" s="88">
        <v>22</v>
      </c>
      <c r="B66" s="1"/>
      <c r="C66" s="1"/>
      <c r="D66" s="122"/>
      <c r="E66" s="123" t="e">
        <f t="shared" si="4"/>
        <v>#DIV/0!</v>
      </c>
      <c r="F66" s="124"/>
      <c r="G66" s="13"/>
    </row>
    <row r="67" spans="1:7" ht="21" customHeight="1">
      <c r="A67" s="88">
        <v>23</v>
      </c>
      <c r="B67" s="2"/>
      <c r="C67" s="2"/>
      <c r="D67" s="122"/>
      <c r="E67" s="123" t="e">
        <f t="shared" si="4"/>
        <v>#DIV/0!</v>
      </c>
      <c r="F67" s="124"/>
      <c r="G67" s="14"/>
    </row>
    <row r="68" spans="1:7" ht="21" customHeight="1">
      <c r="A68" s="88">
        <v>24</v>
      </c>
      <c r="B68" s="2"/>
      <c r="C68" s="2"/>
      <c r="D68" s="122"/>
      <c r="E68" s="123" t="e">
        <f t="shared" si="4"/>
        <v>#DIV/0!</v>
      </c>
      <c r="F68" s="124"/>
      <c r="G68" s="14"/>
    </row>
    <row r="69" spans="1:7" ht="21" customHeight="1">
      <c r="A69" s="88">
        <v>25</v>
      </c>
      <c r="B69" s="2"/>
      <c r="C69" s="2"/>
      <c r="D69" s="122"/>
      <c r="E69" s="123" t="e">
        <f t="shared" si="4"/>
        <v>#DIV/0!</v>
      </c>
      <c r="F69" s="124"/>
      <c r="G69" s="14"/>
    </row>
    <row r="70" spans="1:7" ht="21" customHeight="1">
      <c r="A70" s="88">
        <v>26</v>
      </c>
      <c r="B70" s="2"/>
      <c r="C70" s="2"/>
      <c r="D70" s="122"/>
      <c r="E70" s="123" t="e">
        <f t="shared" si="4"/>
        <v>#DIV/0!</v>
      </c>
      <c r="F70" s="124"/>
      <c r="G70" s="14"/>
    </row>
    <row r="71" spans="1:7" ht="21" customHeight="1">
      <c r="A71" s="88">
        <v>27</v>
      </c>
      <c r="B71" s="2"/>
      <c r="C71" s="2"/>
      <c r="D71" s="122"/>
      <c r="E71" s="123" t="e">
        <f t="shared" si="4"/>
        <v>#DIV/0!</v>
      </c>
      <c r="F71" s="124"/>
      <c r="G71" s="14"/>
    </row>
    <row r="72" spans="1:7" ht="21" customHeight="1">
      <c r="A72" s="88">
        <v>28</v>
      </c>
      <c r="B72" s="2"/>
      <c r="C72" s="2"/>
      <c r="D72" s="122"/>
      <c r="E72" s="123" t="e">
        <f t="shared" si="4"/>
        <v>#DIV/0!</v>
      </c>
      <c r="F72" s="124"/>
      <c r="G72" s="14"/>
    </row>
    <row r="73" spans="1:7" ht="21" customHeight="1">
      <c r="A73" s="88">
        <v>29</v>
      </c>
      <c r="B73" s="2"/>
      <c r="C73" s="2"/>
      <c r="D73" s="125"/>
      <c r="E73" s="126" t="e">
        <f t="shared" si="4"/>
        <v>#DIV/0!</v>
      </c>
      <c r="F73" s="127"/>
      <c r="G73" s="14"/>
    </row>
    <row r="74" spans="1:7" ht="21" customHeight="1">
      <c r="A74" s="432" t="s">
        <v>4</v>
      </c>
      <c r="B74" s="433"/>
      <c r="C74" s="434"/>
      <c r="D74" s="128">
        <f>SUM(D45:D73)</f>
        <v>8943.18</v>
      </c>
      <c r="E74" s="131">
        <f t="shared" si="4"/>
        <v>1.3200002683609187</v>
      </c>
      <c r="F74" s="109">
        <f>SUM(F45:F73)</f>
        <v>11805</v>
      </c>
      <c r="G74" s="23"/>
    </row>
    <row r="75" spans="1:7" ht="21" customHeight="1">
      <c r="A75" s="435" t="s">
        <v>9</v>
      </c>
      <c r="B75" s="436"/>
      <c r="C75" s="436"/>
      <c r="D75" s="436"/>
      <c r="E75" s="437"/>
      <c r="F75" s="100">
        <f>'روكش جاري و فرهنگي'!D121+'روكش جاري و فرهنگي'!D75</f>
        <v>0</v>
      </c>
      <c r="G75" s="23"/>
    </row>
    <row r="76" spans="1:7" ht="21" customHeight="1" thickBot="1">
      <c r="A76" s="429" t="s">
        <v>10</v>
      </c>
      <c r="B76" s="430"/>
      <c r="C76" s="431"/>
      <c r="D76" s="132">
        <f>F76/E76</f>
        <v>8943.18</v>
      </c>
      <c r="E76" s="424">
        <f>F74/D74</f>
        <v>1.3200002683609187</v>
      </c>
      <c r="F76" s="133">
        <f>F74-F75</f>
        <v>11805</v>
      </c>
      <c r="G76" s="22"/>
    </row>
    <row r="78" spans="1:7">
      <c r="A78" s="426" t="s">
        <v>7</v>
      </c>
      <c r="B78" s="426"/>
      <c r="C78" s="3"/>
      <c r="D78" s="5" t="s">
        <v>8</v>
      </c>
      <c r="E78" s="6" t="s">
        <v>278</v>
      </c>
      <c r="F78" s="425" t="s">
        <v>279</v>
      </c>
      <c r="G78" s="425"/>
    </row>
    <row r="81" spans="1:7" ht="17.25">
      <c r="A81" s="427" t="s">
        <v>264</v>
      </c>
      <c r="B81" s="427"/>
      <c r="C81" s="427"/>
      <c r="D81" s="427"/>
      <c r="E81" s="427"/>
      <c r="F81" s="427"/>
      <c r="G81" s="8"/>
    </row>
    <row r="82" spans="1:7" ht="17.25">
      <c r="A82" s="428" t="s">
        <v>585</v>
      </c>
      <c r="B82" s="428"/>
      <c r="C82" s="428"/>
      <c r="D82" s="428"/>
      <c r="E82" s="428"/>
      <c r="F82" s="428"/>
      <c r="G82" s="8"/>
    </row>
    <row r="83" spans="1:7" ht="18" thickBot="1">
      <c r="A83" s="18"/>
      <c r="B83" s="18"/>
      <c r="C83" s="18"/>
      <c r="D83" s="18"/>
      <c r="E83" s="18"/>
      <c r="F83" s="18"/>
      <c r="G83" s="8"/>
    </row>
    <row r="84" spans="1:7" ht="31.5">
      <c r="A84" s="9" t="s">
        <v>0</v>
      </c>
      <c r="B84" s="10" t="s">
        <v>6</v>
      </c>
      <c r="C84" s="10" t="s">
        <v>5</v>
      </c>
      <c r="D84" s="11" t="s">
        <v>277</v>
      </c>
      <c r="E84" s="11" t="s">
        <v>2</v>
      </c>
      <c r="F84" s="11" t="s">
        <v>280</v>
      </c>
      <c r="G84" s="12" t="s">
        <v>3</v>
      </c>
    </row>
    <row r="85" spans="1:7" ht="21" customHeight="1">
      <c r="A85" s="88">
        <v>1</v>
      </c>
      <c r="B85" s="1"/>
      <c r="C85" s="1"/>
      <c r="D85" s="122">
        <v>6532</v>
      </c>
      <c r="E85" s="123">
        <f t="shared" ref="E85:E114" si="5">F85/D85</f>
        <v>2.86</v>
      </c>
      <c r="F85" s="129">
        <v>18681.52</v>
      </c>
      <c r="G85" s="13"/>
    </row>
    <row r="86" spans="1:7" ht="21" customHeight="1">
      <c r="A86" s="88">
        <v>2</v>
      </c>
      <c r="B86" s="1"/>
      <c r="C86" s="1"/>
      <c r="D86" s="122"/>
      <c r="E86" s="123" t="e">
        <f t="shared" si="5"/>
        <v>#DIV/0!</v>
      </c>
      <c r="F86" s="124"/>
      <c r="G86" s="13"/>
    </row>
    <row r="87" spans="1:7" ht="21" customHeight="1">
      <c r="A87" s="88">
        <v>3</v>
      </c>
      <c r="B87" s="1"/>
      <c r="C87" s="1"/>
      <c r="D87" s="122"/>
      <c r="E87" s="123" t="e">
        <f t="shared" si="5"/>
        <v>#DIV/0!</v>
      </c>
      <c r="F87" s="124"/>
      <c r="G87" s="13"/>
    </row>
    <row r="88" spans="1:7" ht="21" customHeight="1">
      <c r="A88" s="88">
        <v>4</v>
      </c>
      <c r="B88" s="1"/>
      <c r="C88" s="1"/>
      <c r="D88" s="122"/>
      <c r="E88" s="123" t="e">
        <f t="shared" si="5"/>
        <v>#DIV/0!</v>
      </c>
      <c r="F88" s="124"/>
      <c r="G88" s="13"/>
    </row>
    <row r="89" spans="1:7" ht="21" customHeight="1">
      <c r="A89" s="88">
        <v>5</v>
      </c>
      <c r="B89" s="1"/>
      <c r="C89" s="1"/>
      <c r="D89" s="122"/>
      <c r="E89" s="123" t="e">
        <f t="shared" si="5"/>
        <v>#DIV/0!</v>
      </c>
      <c r="F89" s="124"/>
      <c r="G89" s="13"/>
    </row>
    <row r="90" spans="1:7" ht="21" customHeight="1">
      <c r="A90" s="88">
        <v>6</v>
      </c>
      <c r="B90" s="1"/>
      <c r="C90" s="1"/>
      <c r="D90" s="122"/>
      <c r="E90" s="123" t="e">
        <f t="shared" si="5"/>
        <v>#DIV/0!</v>
      </c>
      <c r="F90" s="124"/>
      <c r="G90" s="13"/>
    </row>
    <row r="91" spans="1:7" ht="21" customHeight="1">
      <c r="A91" s="88">
        <v>7</v>
      </c>
      <c r="B91" s="1"/>
      <c r="C91" s="1"/>
      <c r="D91" s="122"/>
      <c r="E91" s="123" t="e">
        <f t="shared" si="5"/>
        <v>#DIV/0!</v>
      </c>
      <c r="F91" s="124"/>
      <c r="G91" s="13"/>
    </row>
    <row r="92" spans="1:7" ht="21" customHeight="1">
      <c r="A92" s="88">
        <v>8</v>
      </c>
      <c r="B92" s="1"/>
      <c r="C92" s="1"/>
      <c r="D92" s="122"/>
      <c r="E92" s="123" t="e">
        <f t="shared" si="5"/>
        <v>#DIV/0!</v>
      </c>
      <c r="F92" s="124"/>
      <c r="G92" s="13"/>
    </row>
    <row r="93" spans="1:7" ht="21" customHeight="1">
      <c r="A93" s="88">
        <v>9</v>
      </c>
      <c r="B93" s="1"/>
      <c r="C93" s="1"/>
      <c r="D93" s="122"/>
      <c r="E93" s="123" t="e">
        <f t="shared" si="5"/>
        <v>#DIV/0!</v>
      </c>
      <c r="F93" s="124"/>
      <c r="G93" s="13"/>
    </row>
    <row r="94" spans="1:7" ht="21" customHeight="1">
      <c r="A94" s="88">
        <v>10</v>
      </c>
      <c r="B94" s="1"/>
      <c r="C94" s="1"/>
      <c r="D94" s="122"/>
      <c r="E94" s="123" t="e">
        <f t="shared" si="5"/>
        <v>#DIV/0!</v>
      </c>
      <c r="F94" s="124"/>
      <c r="G94" s="13"/>
    </row>
    <row r="95" spans="1:7" ht="21" customHeight="1">
      <c r="A95" s="88">
        <v>11</v>
      </c>
      <c r="B95" s="1"/>
      <c r="C95" s="1"/>
      <c r="D95" s="122"/>
      <c r="E95" s="123" t="e">
        <f t="shared" si="5"/>
        <v>#DIV/0!</v>
      </c>
      <c r="F95" s="124"/>
      <c r="G95" s="13"/>
    </row>
    <row r="96" spans="1:7" ht="21" customHeight="1">
      <c r="A96" s="88">
        <v>12</v>
      </c>
      <c r="B96" s="1"/>
      <c r="C96" s="1"/>
      <c r="D96" s="122"/>
      <c r="E96" s="123" t="e">
        <f t="shared" si="5"/>
        <v>#DIV/0!</v>
      </c>
      <c r="F96" s="124"/>
      <c r="G96" s="13"/>
    </row>
    <row r="97" spans="1:7" ht="21" customHeight="1">
      <c r="A97" s="88">
        <v>13</v>
      </c>
      <c r="B97" s="1"/>
      <c r="C97" s="1"/>
      <c r="D97" s="122"/>
      <c r="E97" s="123" t="e">
        <f t="shared" si="5"/>
        <v>#DIV/0!</v>
      </c>
      <c r="F97" s="124"/>
      <c r="G97" s="13"/>
    </row>
    <row r="98" spans="1:7" ht="21" customHeight="1">
      <c r="A98" s="88">
        <v>14</v>
      </c>
      <c r="B98" s="1"/>
      <c r="C98" s="1"/>
      <c r="D98" s="122"/>
      <c r="E98" s="123" t="e">
        <f t="shared" si="5"/>
        <v>#DIV/0!</v>
      </c>
      <c r="F98" s="124"/>
      <c r="G98" s="13"/>
    </row>
    <row r="99" spans="1:7" ht="21" customHeight="1">
      <c r="A99" s="88">
        <v>15</v>
      </c>
      <c r="B99" s="1"/>
      <c r="C99" s="1"/>
      <c r="D99" s="122"/>
      <c r="E99" s="123" t="e">
        <f t="shared" si="5"/>
        <v>#DIV/0!</v>
      </c>
      <c r="F99" s="124"/>
      <c r="G99" s="13"/>
    </row>
    <row r="100" spans="1:7" ht="21" customHeight="1">
      <c r="A100" s="88">
        <v>16</v>
      </c>
      <c r="B100" s="1"/>
      <c r="C100" s="1"/>
      <c r="D100" s="122"/>
      <c r="E100" s="123" t="e">
        <f t="shared" si="5"/>
        <v>#DIV/0!</v>
      </c>
      <c r="F100" s="124"/>
      <c r="G100" s="13"/>
    </row>
    <row r="101" spans="1:7" ht="21" customHeight="1">
      <c r="A101" s="88">
        <v>17</v>
      </c>
      <c r="B101" s="1"/>
      <c r="C101" s="1"/>
      <c r="D101" s="122"/>
      <c r="E101" s="123" t="e">
        <f t="shared" si="5"/>
        <v>#DIV/0!</v>
      </c>
      <c r="F101" s="124"/>
      <c r="G101" s="13"/>
    </row>
    <row r="102" spans="1:7" ht="21" customHeight="1">
      <c r="A102" s="88">
        <v>18</v>
      </c>
      <c r="B102" s="1"/>
      <c r="C102" s="1"/>
      <c r="D102" s="122"/>
      <c r="E102" s="123" t="e">
        <f t="shared" si="5"/>
        <v>#DIV/0!</v>
      </c>
      <c r="F102" s="124"/>
      <c r="G102" s="13"/>
    </row>
    <row r="103" spans="1:7" ht="21" customHeight="1">
      <c r="A103" s="88">
        <v>19</v>
      </c>
      <c r="B103" s="1"/>
      <c r="C103" s="1"/>
      <c r="D103" s="122"/>
      <c r="E103" s="123" t="e">
        <f t="shared" si="5"/>
        <v>#DIV/0!</v>
      </c>
      <c r="F103" s="124"/>
      <c r="G103" s="13"/>
    </row>
    <row r="104" spans="1:7" ht="21" customHeight="1">
      <c r="A104" s="88">
        <v>20</v>
      </c>
      <c r="B104" s="1"/>
      <c r="C104" s="1"/>
      <c r="D104" s="122"/>
      <c r="E104" s="123" t="e">
        <f t="shared" si="5"/>
        <v>#DIV/0!</v>
      </c>
      <c r="F104" s="124"/>
      <c r="G104" s="13"/>
    </row>
    <row r="105" spans="1:7" ht="21" customHeight="1">
      <c r="A105" s="88">
        <v>21</v>
      </c>
      <c r="B105" s="1"/>
      <c r="C105" s="1"/>
      <c r="D105" s="122"/>
      <c r="E105" s="123" t="e">
        <f t="shared" si="5"/>
        <v>#DIV/0!</v>
      </c>
      <c r="F105" s="124"/>
      <c r="G105" s="13"/>
    </row>
    <row r="106" spans="1:7" ht="21" customHeight="1">
      <c r="A106" s="88">
        <v>22</v>
      </c>
      <c r="B106" s="1"/>
      <c r="C106" s="1"/>
      <c r="D106" s="122"/>
      <c r="E106" s="123" t="e">
        <f t="shared" si="5"/>
        <v>#DIV/0!</v>
      </c>
      <c r="F106" s="124"/>
      <c r="G106" s="13"/>
    </row>
    <row r="107" spans="1:7" ht="21" customHeight="1">
      <c r="A107" s="88">
        <v>23</v>
      </c>
      <c r="B107" s="2"/>
      <c r="C107" s="2"/>
      <c r="D107" s="122"/>
      <c r="E107" s="123" t="e">
        <f t="shared" si="5"/>
        <v>#DIV/0!</v>
      </c>
      <c r="F107" s="124"/>
      <c r="G107" s="14"/>
    </row>
    <row r="108" spans="1:7" ht="21" customHeight="1">
      <c r="A108" s="88">
        <v>24</v>
      </c>
      <c r="B108" s="2"/>
      <c r="C108" s="2"/>
      <c r="D108" s="122"/>
      <c r="E108" s="123" t="e">
        <f t="shared" si="5"/>
        <v>#DIV/0!</v>
      </c>
      <c r="F108" s="124"/>
      <c r="G108" s="14"/>
    </row>
    <row r="109" spans="1:7" ht="21" customHeight="1">
      <c r="A109" s="88">
        <v>25</v>
      </c>
      <c r="B109" s="2"/>
      <c r="C109" s="2"/>
      <c r="D109" s="122"/>
      <c r="E109" s="123" t="e">
        <f t="shared" si="5"/>
        <v>#DIV/0!</v>
      </c>
      <c r="F109" s="124"/>
      <c r="G109" s="14"/>
    </row>
    <row r="110" spans="1:7" ht="21" customHeight="1">
      <c r="A110" s="88">
        <v>26</v>
      </c>
      <c r="B110" s="2"/>
      <c r="C110" s="2"/>
      <c r="D110" s="122"/>
      <c r="E110" s="123" t="e">
        <f t="shared" si="5"/>
        <v>#DIV/0!</v>
      </c>
      <c r="F110" s="124"/>
      <c r="G110" s="14"/>
    </row>
    <row r="111" spans="1:7" ht="21" customHeight="1">
      <c r="A111" s="88">
        <v>27</v>
      </c>
      <c r="B111" s="2"/>
      <c r="C111" s="2"/>
      <c r="D111" s="122"/>
      <c r="E111" s="123" t="e">
        <f t="shared" si="5"/>
        <v>#DIV/0!</v>
      </c>
      <c r="F111" s="124"/>
      <c r="G111" s="14"/>
    </row>
    <row r="112" spans="1:7" ht="21" customHeight="1">
      <c r="A112" s="88">
        <v>28</v>
      </c>
      <c r="B112" s="2"/>
      <c r="C112" s="2"/>
      <c r="D112" s="122"/>
      <c r="E112" s="123" t="e">
        <f t="shared" si="5"/>
        <v>#DIV/0!</v>
      </c>
      <c r="F112" s="124"/>
      <c r="G112" s="14"/>
    </row>
    <row r="113" spans="1:7" ht="21" customHeight="1">
      <c r="A113" s="88">
        <v>29</v>
      </c>
      <c r="B113" s="2"/>
      <c r="C113" s="2"/>
      <c r="D113" s="125"/>
      <c r="E113" s="126" t="e">
        <f t="shared" si="5"/>
        <v>#DIV/0!</v>
      </c>
      <c r="F113" s="127"/>
      <c r="G113" s="14"/>
    </row>
    <row r="114" spans="1:7" ht="21" customHeight="1">
      <c r="A114" s="432" t="s">
        <v>4</v>
      </c>
      <c r="B114" s="433"/>
      <c r="C114" s="434"/>
      <c r="D114" s="128">
        <f>SUM(D85:D113)</f>
        <v>6532</v>
      </c>
      <c r="E114" s="131">
        <f t="shared" si="5"/>
        <v>2.86</v>
      </c>
      <c r="F114" s="104">
        <f>SUM(F85:F113)</f>
        <v>18681.52</v>
      </c>
      <c r="G114" s="23"/>
    </row>
    <row r="115" spans="1:7" ht="21" customHeight="1">
      <c r="A115" s="435" t="s">
        <v>9</v>
      </c>
      <c r="B115" s="436"/>
      <c r="C115" s="436"/>
      <c r="D115" s="436"/>
      <c r="E115" s="437"/>
      <c r="F115" s="130">
        <f>'روكش جاري و فرهنگي'!D161+'روكش جاري و فرهنگي'!D115</f>
        <v>0</v>
      </c>
      <c r="G115" s="23"/>
    </row>
    <row r="116" spans="1:7" ht="21" customHeight="1" thickBot="1">
      <c r="A116" s="429" t="s">
        <v>10</v>
      </c>
      <c r="B116" s="430"/>
      <c r="C116" s="431"/>
      <c r="D116" s="135">
        <f>F116/E116</f>
        <v>6532</v>
      </c>
      <c r="E116" s="136">
        <f>F114/D114</f>
        <v>2.86</v>
      </c>
      <c r="F116" s="132">
        <f>F114-F115</f>
        <v>18681.52</v>
      </c>
      <c r="G116" s="22"/>
    </row>
    <row r="118" spans="1:7">
      <c r="A118" s="426" t="s">
        <v>7</v>
      </c>
      <c r="B118" s="426"/>
      <c r="C118" s="3"/>
      <c r="D118" s="5" t="s">
        <v>8</v>
      </c>
      <c r="E118" s="6" t="s">
        <v>278</v>
      </c>
      <c r="F118" s="425" t="s">
        <v>279</v>
      </c>
      <c r="G118" s="425"/>
    </row>
  </sheetData>
  <mergeCells count="27">
    <mergeCell ref="I1:N1"/>
    <mergeCell ref="I2:N2"/>
    <mergeCell ref="I34:J34"/>
    <mergeCell ref="I38:J38"/>
    <mergeCell ref="N38:O38"/>
    <mergeCell ref="K35:N35"/>
    <mergeCell ref="A78:B78"/>
    <mergeCell ref="F78:G78"/>
    <mergeCell ref="A118:B118"/>
    <mergeCell ref="F118:G118"/>
    <mergeCell ref="A81:F81"/>
    <mergeCell ref="A82:F82"/>
    <mergeCell ref="A114:C114"/>
    <mergeCell ref="A115:E115"/>
    <mergeCell ref="A116:C116"/>
    <mergeCell ref="A41:F41"/>
    <mergeCell ref="A42:F42"/>
    <mergeCell ref="A74:C74"/>
    <mergeCell ref="A75:E75"/>
    <mergeCell ref="A76:C76"/>
    <mergeCell ref="F38:G38"/>
    <mergeCell ref="A38:B38"/>
    <mergeCell ref="A1:F1"/>
    <mergeCell ref="A2:F2"/>
    <mergeCell ref="A36:C36"/>
    <mergeCell ref="A34:C34"/>
    <mergeCell ref="A35:E35"/>
  </mergeCells>
  <pageMargins left="0.27559055118110237" right="0.23622047244094491" top="0.35433070866141736" bottom="0.19685039370078741" header="0.31496062992125984" footer="0.31496062992125984"/>
  <pageSetup paperSize="9" orientation="portrait" r:id="rId1"/>
  <legacyDrawing r:id="rId2"/>
</worksheet>
</file>

<file path=xl/worksheets/sheet2.xml><?xml version="1.0" encoding="utf-8"?>
<worksheet xmlns="http://schemas.openxmlformats.org/spreadsheetml/2006/main" xmlns:r="http://schemas.openxmlformats.org/officeDocument/2006/relationships">
  <sheetPr>
    <tabColor rgb="FF92D050"/>
  </sheetPr>
  <dimension ref="A1:L494"/>
  <sheetViews>
    <sheetView rightToLeft="1" zoomScaleNormal="100" workbookViewId="0">
      <selection sqref="A1:E1"/>
    </sheetView>
  </sheetViews>
  <sheetFormatPr defaultRowHeight="15.75"/>
  <cols>
    <col min="1" max="1" width="4.7109375" style="333" customWidth="1"/>
    <col min="2" max="2" width="9.7109375" style="333" customWidth="1"/>
    <col min="3" max="3" width="30.7109375" style="333" customWidth="1"/>
    <col min="4" max="4" width="4.7109375" style="333" customWidth="1"/>
    <col min="5" max="8" width="10.7109375" style="333" customWidth="1"/>
    <col min="9" max="9" width="1.5703125" style="356" customWidth="1"/>
    <col min="10" max="16384" width="9.140625" style="356"/>
  </cols>
  <sheetData>
    <row r="1" spans="1:12" ht="17.25" customHeight="1">
      <c r="A1" s="445" t="s">
        <v>262</v>
      </c>
      <c r="B1" s="445"/>
      <c r="C1" s="445"/>
      <c r="D1" s="445"/>
      <c r="E1" s="445"/>
      <c r="F1" s="360"/>
      <c r="G1" s="360"/>
      <c r="H1" s="360"/>
      <c r="J1" s="454" t="s">
        <v>82</v>
      </c>
      <c r="K1" s="454"/>
      <c r="L1" s="454"/>
    </row>
    <row r="2" spans="1:12" ht="17.25" customHeight="1">
      <c r="A2" s="445" t="s">
        <v>586</v>
      </c>
      <c r="B2" s="445"/>
      <c r="C2" s="445"/>
      <c r="D2" s="445"/>
      <c r="E2" s="445"/>
      <c r="F2" s="444" t="s">
        <v>365</v>
      </c>
      <c r="G2" s="444"/>
      <c r="H2" s="360"/>
      <c r="J2" s="454" t="s">
        <v>92</v>
      </c>
      <c r="K2" s="454"/>
      <c r="L2" s="454"/>
    </row>
    <row r="3" spans="1:12" ht="17.25" customHeight="1" thickBot="1">
      <c r="A3" s="446" t="s">
        <v>96</v>
      </c>
      <c r="B3" s="446"/>
      <c r="C3" s="446"/>
      <c r="D3" s="446"/>
      <c r="E3" s="446"/>
      <c r="F3" s="360" t="s">
        <v>91</v>
      </c>
      <c r="G3" s="318">
        <f>تسعير!E34</f>
        <v>3.7750001532838997</v>
      </c>
      <c r="H3" s="360"/>
      <c r="J3" s="454" t="s">
        <v>244</v>
      </c>
      <c r="K3" s="454"/>
      <c r="L3" s="454"/>
    </row>
    <row r="4" spans="1:12" ht="21" customHeight="1">
      <c r="A4" s="19" t="s">
        <v>0</v>
      </c>
      <c r="B4" s="20" t="s">
        <v>78</v>
      </c>
      <c r="C4" s="20" t="s">
        <v>77</v>
      </c>
      <c r="D4" s="20" t="s">
        <v>80</v>
      </c>
      <c r="E4" s="20" t="s">
        <v>13</v>
      </c>
      <c r="F4" s="20" t="s">
        <v>83</v>
      </c>
      <c r="G4" s="20" t="s">
        <v>14</v>
      </c>
      <c r="H4" s="21" t="s">
        <v>79</v>
      </c>
      <c r="J4" s="454" t="s">
        <v>84</v>
      </c>
      <c r="K4" s="454"/>
      <c r="L4" s="454"/>
    </row>
    <row r="5" spans="1:12" ht="21" customHeight="1">
      <c r="A5" s="358">
        <v>1</v>
      </c>
      <c r="B5" s="94"/>
      <c r="C5" s="316"/>
      <c r="D5" s="94"/>
      <c r="E5" s="111"/>
      <c r="F5" s="109">
        <f>E5/G3</f>
        <v>0</v>
      </c>
      <c r="G5" s="111"/>
      <c r="H5" s="110">
        <f>G5+F5</f>
        <v>0</v>
      </c>
      <c r="J5" s="454" t="s">
        <v>85</v>
      </c>
      <c r="K5" s="454"/>
      <c r="L5" s="454"/>
    </row>
    <row r="6" spans="1:12" ht="21" customHeight="1">
      <c r="A6" s="358">
        <v>2</v>
      </c>
      <c r="B6" s="94"/>
      <c r="C6" s="94"/>
      <c r="D6" s="94"/>
      <c r="E6" s="111"/>
      <c r="F6" s="109">
        <f>E6/G3</f>
        <v>0</v>
      </c>
      <c r="G6" s="111"/>
      <c r="H6" s="110">
        <f t="shared" ref="H6:H29" si="0">G6+F6</f>
        <v>0</v>
      </c>
      <c r="J6" s="454" t="s">
        <v>86</v>
      </c>
      <c r="K6" s="454"/>
      <c r="L6" s="454"/>
    </row>
    <row r="7" spans="1:12" ht="21" customHeight="1">
      <c r="A7" s="358">
        <v>3</v>
      </c>
      <c r="B7" s="94"/>
      <c r="C7" s="94"/>
      <c r="D7" s="94"/>
      <c r="E7" s="111"/>
      <c r="F7" s="109">
        <f>E7/G3</f>
        <v>0</v>
      </c>
      <c r="G7" s="111"/>
      <c r="H7" s="110">
        <f t="shared" si="0"/>
        <v>0</v>
      </c>
      <c r="J7" s="454" t="s">
        <v>87</v>
      </c>
      <c r="K7" s="454"/>
      <c r="L7" s="454"/>
    </row>
    <row r="8" spans="1:12" ht="21" customHeight="1">
      <c r="A8" s="358">
        <v>4</v>
      </c>
      <c r="B8" s="94"/>
      <c r="C8" s="94"/>
      <c r="D8" s="94"/>
      <c r="E8" s="111"/>
      <c r="F8" s="109">
        <f>E8/G3</f>
        <v>0</v>
      </c>
      <c r="G8" s="111"/>
      <c r="H8" s="110">
        <f t="shared" si="0"/>
        <v>0</v>
      </c>
      <c r="J8" s="454" t="s">
        <v>88</v>
      </c>
      <c r="K8" s="454"/>
      <c r="L8" s="454"/>
    </row>
    <row r="9" spans="1:12" ht="21" customHeight="1">
      <c r="A9" s="358">
        <v>5</v>
      </c>
      <c r="B9" s="94"/>
      <c r="C9" s="94"/>
      <c r="D9" s="94"/>
      <c r="E9" s="111"/>
      <c r="F9" s="109">
        <f>E9/G3</f>
        <v>0</v>
      </c>
      <c r="G9" s="111"/>
      <c r="H9" s="110">
        <f t="shared" si="0"/>
        <v>0</v>
      </c>
      <c r="J9" s="454" t="s">
        <v>248</v>
      </c>
      <c r="K9" s="454"/>
      <c r="L9" s="454"/>
    </row>
    <row r="10" spans="1:12" ht="21" customHeight="1">
      <c r="A10" s="358">
        <v>6</v>
      </c>
      <c r="B10" s="94"/>
      <c r="C10" s="94"/>
      <c r="D10" s="94"/>
      <c r="E10" s="111"/>
      <c r="F10" s="109">
        <f>E10/G3</f>
        <v>0</v>
      </c>
      <c r="G10" s="111"/>
      <c r="H10" s="110">
        <f t="shared" si="0"/>
        <v>0</v>
      </c>
      <c r="J10" s="454" t="s">
        <v>89</v>
      </c>
      <c r="K10" s="454"/>
      <c r="L10" s="454"/>
    </row>
    <row r="11" spans="1:12" ht="21" customHeight="1">
      <c r="A11" s="358">
        <v>7</v>
      </c>
      <c r="B11" s="94"/>
      <c r="C11" s="94"/>
      <c r="D11" s="94"/>
      <c r="E11" s="111"/>
      <c r="F11" s="109">
        <f>E11/G3</f>
        <v>0</v>
      </c>
      <c r="G11" s="111"/>
      <c r="H11" s="110">
        <f t="shared" si="0"/>
        <v>0</v>
      </c>
      <c r="J11" s="454" t="s">
        <v>16</v>
      </c>
      <c r="K11" s="454"/>
      <c r="L11" s="454"/>
    </row>
    <row r="12" spans="1:12" ht="21" customHeight="1">
      <c r="A12" s="358">
        <v>8</v>
      </c>
      <c r="B12" s="94"/>
      <c r="C12" s="94"/>
      <c r="D12" s="94"/>
      <c r="E12" s="111"/>
      <c r="F12" s="109">
        <f>E12/G3</f>
        <v>0</v>
      </c>
      <c r="G12" s="111"/>
      <c r="H12" s="110">
        <f t="shared" si="0"/>
        <v>0</v>
      </c>
      <c r="J12" s="454" t="s">
        <v>90</v>
      </c>
      <c r="K12" s="454"/>
      <c r="L12" s="454"/>
    </row>
    <row r="13" spans="1:12" ht="21" customHeight="1">
      <c r="A13" s="358">
        <v>9</v>
      </c>
      <c r="B13" s="94"/>
      <c r="C13" s="94"/>
      <c r="D13" s="94"/>
      <c r="E13" s="111"/>
      <c r="F13" s="109">
        <f>E13/G3</f>
        <v>0</v>
      </c>
      <c r="G13" s="111"/>
      <c r="H13" s="110">
        <f t="shared" si="0"/>
        <v>0</v>
      </c>
    </row>
    <row r="14" spans="1:12" ht="21" customHeight="1">
      <c r="A14" s="358">
        <v>10</v>
      </c>
      <c r="B14" s="94"/>
      <c r="C14" s="94"/>
      <c r="D14" s="94"/>
      <c r="E14" s="111"/>
      <c r="F14" s="109">
        <f>E14/G3</f>
        <v>0</v>
      </c>
      <c r="G14" s="111"/>
      <c r="H14" s="110">
        <f t="shared" si="0"/>
        <v>0</v>
      </c>
    </row>
    <row r="15" spans="1:12" ht="21" customHeight="1">
      <c r="A15" s="358">
        <v>11</v>
      </c>
      <c r="B15" s="94"/>
      <c r="C15" s="94"/>
      <c r="D15" s="94"/>
      <c r="E15" s="111"/>
      <c r="F15" s="109">
        <f>E15/G3</f>
        <v>0</v>
      </c>
      <c r="G15" s="111"/>
      <c r="H15" s="110">
        <f t="shared" si="0"/>
        <v>0</v>
      </c>
    </row>
    <row r="16" spans="1:12" ht="21" customHeight="1">
      <c r="A16" s="358">
        <v>12</v>
      </c>
      <c r="B16" s="94"/>
      <c r="C16" s="94"/>
      <c r="D16" s="94"/>
      <c r="E16" s="111"/>
      <c r="F16" s="109">
        <f>E16/G3</f>
        <v>0</v>
      </c>
      <c r="G16" s="111"/>
      <c r="H16" s="110">
        <f t="shared" si="0"/>
        <v>0</v>
      </c>
    </row>
    <row r="17" spans="1:8" ht="21" customHeight="1">
      <c r="A17" s="358">
        <v>13</v>
      </c>
      <c r="B17" s="94"/>
      <c r="C17" s="94"/>
      <c r="D17" s="94"/>
      <c r="E17" s="111"/>
      <c r="F17" s="109">
        <f>E17/G3</f>
        <v>0</v>
      </c>
      <c r="G17" s="111"/>
      <c r="H17" s="110">
        <f t="shared" si="0"/>
        <v>0</v>
      </c>
    </row>
    <row r="18" spans="1:8" ht="21" customHeight="1">
      <c r="A18" s="358">
        <v>14</v>
      </c>
      <c r="B18" s="94"/>
      <c r="C18" s="94"/>
      <c r="D18" s="94"/>
      <c r="E18" s="111"/>
      <c r="F18" s="109">
        <f>E18/G3</f>
        <v>0</v>
      </c>
      <c r="G18" s="111"/>
      <c r="H18" s="110">
        <f t="shared" si="0"/>
        <v>0</v>
      </c>
    </row>
    <row r="19" spans="1:8" ht="21" customHeight="1">
      <c r="A19" s="358">
        <v>15</v>
      </c>
      <c r="B19" s="94"/>
      <c r="C19" s="94"/>
      <c r="D19" s="94"/>
      <c r="E19" s="111"/>
      <c r="F19" s="109">
        <f>E19/G3</f>
        <v>0</v>
      </c>
      <c r="G19" s="111"/>
      <c r="H19" s="110">
        <f t="shared" si="0"/>
        <v>0</v>
      </c>
    </row>
    <row r="20" spans="1:8" ht="21" customHeight="1">
      <c r="A20" s="358">
        <v>16</v>
      </c>
      <c r="B20" s="94"/>
      <c r="C20" s="94"/>
      <c r="D20" s="94"/>
      <c r="E20" s="111"/>
      <c r="F20" s="109">
        <f>E20/G3</f>
        <v>0</v>
      </c>
      <c r="G20" s="111"/>
      <c r="H20" s="110">
        <f t="shared" si="0"/>
        <v>0</v>
      </c>
    </row>
    <row r="21" spans="1:8" ht="21" customHeight="1">
      <c r="A21" s="358">
        <v>17</v>
      </c>
      <c r="B21" s="94"/>
      <c r="C21" s="94"/>
      <c r="D21" s="94"/>
      <c r="E21" s="111"/>
      <c r="F21" s="109">
        <f>E21/G3</f>
        <v>0</v>
      </c>
      <c r="G21" s="111"/>
      <c r="H21" s="110">
        <f t="shared" si="0"/>
        <v>0</v>
      </c>
    </row>
    <row r="22" spans="1:8" ht="21" customHeight="1">
      <c r="A22" s="358">
        <v>18</v>
      </c>
      <c r="B22" s="94"/>
      <c r="C22" s="94"/>
      <c r="D22" s="94"/>
      <c r="E22" s="111"/>
      <c r="F22" s="109">
        <f>E22/G3</f>
        <v>0</v>
      </c>
      <c r="G22" s="111"/>
      <c r="H22" s="110">
        <f t="shared" si="0"/>
        <v>0</v>
      </c>
    </row>
    <row r="23" spans="1:8" ht="21" customHeight="1">
      <c r="A23" s="358">
        <v>19</v>
      </c>
      <c r="B23" s="94"/>
      <c r="C23" s="94"/>
      <c r="D23" s="94"/>
      <c r="E23" s="111"/>
      <c r="F23" s="109">
        <f>E23/G3</f>
        <v>0</v>
      </c>
      <c r="G23" s="111"/>
      <c r="H23" s="110">
        <f t="shared" si="0"/>
        <v>0</v>
      </c>
    </row>
    <row r="24" spans="1:8" ht="21" customHeight="1">
      <c r="A24" s="358">
        <v>20</v>
      </c>
      <c r="B24" s="94"/>
      <c r="C24" s="94"/>
      <c r="D24" s="94"/>
      <c r="E24" s="111"/>
      <c r="F24" s="109">
        <f>E24/G3</f>
        <v>0</v>
      </c>
      <c r="G24" s="111"/>
      <c r="H24" s="110">
        <f t="shared" si="0"/>
        <v>0</v>
      </c>
    </row>
    <row r="25" spans="1:8" ht="21" customHeight="1">
      <c r="A25" s="358">
        <v>21</v>
      </c>
      <c r="B25" s="94"/>
      <c r="C25" s="94"/>
      <c r="D25" s="94"/>
      <c r="E25" s="111"/>
      <c r="F25" s="109">
        <f>E25/G3</f>
        <v>0</v>
      </c>
      <c r="G25" s="111"/>
      <c r="H25" s="110">
        <f t="shared" si="0"/>
        <v>0</v>
      </c>
    </row>
    <row r="26" spans="1:8" ht="21" customHeight="1">
      <c r="A26" s="358">
        <v>22</v>
      </c>
      <c r="B26" s="94"/>
      <c r="C26" s="94"/>
      <c r="D26" s="94"/>
      <c r="E26" s="111"/>
      <c r="F26" s="109">
        <f>E26/G3</f>
        <v>0</v>
      </c>
      <c r="G26" s="111"/>
      <c r="H26" s="110">
        <f t="shared" si="0"/>
        <v>0</v>
      </c>
    </row>
    <row r="27" spans="1:8" ht="21" customHeight="1">
      <c r="A27" s="358">
        <v>23</v>
      </c>
      <c r="B27" s="94"/>
      <c r="C27" s="94"/>
      <c r="D27" s="94"/>
      <c r="E27" s="111"/>
      <c r="F27" s="109">
        <f>E27/G3</f>
        <v>0</v>
      </c>
      <c r="G27" s="111"/>
      <c r="H27" s="110">
        <f t="shared" si="0"/>
        <v>0</v>
      </c>
    </row>
    <row r="28" spans="1:8" ht="21" customHeight="1">
      <c r="A28" s="358">
        <v>24</v>
      </c>
      <c r="B28" s="94"/>
      <c r="C28" s="94"/>
      <c r="D28" s="94"/>
      <c r="E28" s="111"/>
      <c r="F28" s="109">
        <f>E28/G3</f>
        <v>0</v>
      </c>
      <c r="G28" s="111"/>
      <c r="H28" s="110">
        <f t="shared" si="0"/>
        <v>0</v>
      </c>
    </row>
    <row r="29" spans="1:8" ht="21" customHeight="1">
      <c r="A29" s="358">
        <v>25</v>
      </c>
      <c r="B29" s="94"/>
      <c r="C29" s="94"/>
      <c r="D29" s="94"/>
      <c r="E29" s="111"/>
      <c r="F29" s="109">
        <f>E29/G3</f>
        <v>0</v>
      </c>
      <c r="G29" s="111"/>
      <c r="H29" s="110">
        <f t="shared" si="0"/>
        <v>0</v>
      </c>
    </row>
    <row r="30" spans="1:8" ht="21" customHeight="1" thickBot="1">
      <c r="A30" s="448" t="s">
        <v>4</v>
      </c>
      <c r="B30" s="449"/>
      <c r="C30" s="449"/>
      <c r="D30" s="450"/>
      <c r="E30" s="113">
        <f>SUM(E5:E29)</f>
        <v>0</v>
      </c>
      <c r="F30" s="113">
        <f>E30/G3</f>
        <v>0</v>
      </c>
      <c r="G30" s="113">
        <f>SUM(G5:G29)</f>
        <v>0</v>
      </c>
      <c r="H30" s="114">
        <f>SUM(H5:H29)</f>
        <v>0</v>
      </c>
    </row>
    <row r="32" spans="1:8">
      <c r="A32" s="451" t="s">
        <v>7</v>
      </c>
      <c r="B32" s="451"/>
      <c r="C32" s="452" t="s">
        <v>272</v>
      </c>
      <c r="D32" s="452"/>
      <c r="E32" s="452" t="s">
        <v>273</v>
      </c>
      <c r="F32" s="452"/>
      <c r="G32" s="452"/>
    </row>
    <row r="43" spans="1:8" ht="17.25" customHeight="1">
      <c r="A43" s="445" t="s">
        <v>263</v>
      </c>
      <c r="B43" s="445"/>
      <c r="C43" s="445"/>
      <c r="D43" s="445"/>
      <c r="E43" s="445"/>
      <c r="F43" s="452" t="s">
        <v>407</v>
      </c>
      <c r="G43" s="452"/>
      <c r="H43" s="348"/>
    </row>
    <row r="44" spans="1:8" ht="17.25" customHeight="1">
      <c r="A44" s="445" t="s">
        <v>586</v>
      </c>
      <c r="B44" s="445"/>
      <c r="C44" s="445"/>
      <c r="D44" s="445"/>
      <c r="E44" s="445"/>
      <c r="F44" s="452" t="s">
        <v>528</v>
      </c>
      <c r="G44" s="452"/>
      <c r="H44" s="348"/>
    </row>
    <row r="45" spans="1:8" ht="17.25" customHeight="1" thickBot="1">
      <c r="A45" s="446" t="s">
        <v>97</v>
      </c>
      <c r="B45" s="446"/>
      <c r="C45" s="446"/>
      <c r="D45" s="446"/>
      <c r="E45" s="446"/>
      <c r="F45" s="360" t="s">
        <v>91</v>
      </c>
      <c r="G45" s="318">
        <f>تسعير!E34</f>
        <v>3.7750001532838997</v>
      </c>
      <c r="H45" s="348"/>
    </row>
    <row r="46" spans="1:8" ht="21" customHeight="1" thickBot="1">
      <c r="A46" s="386" t="s">
        <v>0</v>
      </c>
      <c r="B46" s="341" t="s">
        <v>78</v>
      </c>
      <c r="C46" s="341" t="s">
        <v>77</v>
      </c>
      <c r="D46" s="341" t="s">
        <v>80</v>
      </c>
      <c r="E46" s="341" t="s">
        <v>13</v>
      </c>
      <c r="F46" s="351" t="s">
        <v>83</v>
      </c>
      <c r="G46" s="351" t="s">
        <v>14</v>
      </c>
      <c r="H46" s="352" t="s">
        <v>79</v>
      </c>
    </row>
    <row r="47" spans="1:8" ht="30" customHeight="1">
      <c r="A47" s="387">
        <v>1</v>
      </c>
      <c r="B47" s="353" t="s">
        <v>245</v>
      </c>
      <c r="C47" s="139" t="s">
        <v>412</v>
      </c>
      <c r="D47" s="354"/>
      <c r="E47" s="314"/>
      <c r="F47" s="308">
        <f>E47/G3</f>
        <v>0</v>
      </c>
      <c r="G47" s="388">
        <v>1621</v>
      </c>
      <c r="H47" s="389">
        <f>G47+F47</f>
        <v>1621</v>
      </c>
    </row>
    <row r="48" spans="1:8" ht="30" customHeight="1">
      <c r="A48" s="337">
        <v>2</v>
      </c>
      <c r="B48" s="93" t="s">
        <v>384</v>
      </c>
      <c r="C48" s="92" t="s">
        <v>413</v>
      </c>
      <c r="D48" s="103"/>
      <c r="E48" s="111"/>
      <c r="F48" s="279">
        <f>E48/G3</f>
        <v>0</v>
      </c>
      <c r="G48" s="119">
        <v>1371</v>
      </c>
      <c r="H48" s="297">
        <f t="shared" ref="H48:H71" si="1">G48+F48</f>
        <v>1371</v>
      </c>
    </row>
    <row r="49" spans="1:8" ht="30" customHeight="1">
      <c r="A49" s="337">
        <v>3</v>
      </c>
      <c r="B49" s="93" t="s">
        <v>409</v>
      </c>
      <c r="C49" s="92" t="s">
        <v>414</v>
      </c>
      <c r="D49" s="103"/>
      <c r="E49" s="111"/>
      <c r="F49" s="279">
        <f>E49/G3</f>
        <v>0</v>
      </c>
      <c r="G49" s="119">
        <v>1371</v>
      </c>
      <c r="H49" s="297">
        <f t="shared" si="1"/>
        <v>1371</v>
      </c>
    </row>
    <row r="50" spans="1:8" ht="30" customHeight="1">
      <c r="A50" s="337">
        <v>4</v>
      </c>
      <c r="B50" s="93" t="s">
        <v>410</v>
      </c>
      <c r="C50" s="92" t="s">
        <v>415</v>
      </c>
      <c r="D50" s="103"/>
      <c r="E50" s="111"/>
      <c r="F50" s="279">
        <f>E50/G3</f>
        <v>0</v>
      </c>
      <c r="G50" s="119">
        <v>1621</v>
      </c>
      <c r="H50" s="297">
        <f t="shared" si="1"/>
        <v>1621</v>
      </c>
    </row>
    <row r="51" spans="1:8" ht="30" customHeight="1">
      <c r="A51" s="337">
        <v>5</v>
      </c>
      <c r="B51" s="93" t="s">
        <v>411</v>
      </c>
      <c r="C51" s="92" t="s">
        <v>416</v>
      </c>
      <c r="D51" s="103"/>
      <c r="E51" s="111"/>
      <c r="F51" s="279">
        <f>E51/G3</f>
        <v>0</v>
      </c>
      <c r="G51" s="111">
        <v>257.5</v>
      </c>
      <c r="H51" s="297">
        <f t="shared" si="1"/>
        <v>257.5</v>
      </c>
    </row>
    <row r="52" spans="1:8" ht="30" customHeight="1">
      <c r="A52" s="337">
        <v>6</v>
      </c>
      <c r="B52" s="93" t="s">
        <v>411</v>
      </c>
      <c r="C52" s="92" t="s">
        <v>417</v>
      </c>
      <c r="D52" s="103"/>
      <c r="E52" s="111"/>
      <c r="F52" s="279">
        <f>E52/G3</f>
        <v>0</v>
      </c>
      <c r="G52" s="119">
        <v>1353</v>
      </c>
      <c r="H52" s="297">
        <f t="shared" si="1"/>
        <v>1353</v>
      </c>
    </row>
    <row r="53" spans="1:8" ht="30" customHeight="1">
      <c r="A53" s="337">
        <v>7</v>
      </c>
      <c r="B53" s="93"/>
      <c r="C53" s="98" t="s">
        <v>418</v>
      </c>
      <c r="D53" s="103"/>
      <c r="E53" s="111"/>
      <c r="F53" s="279">
        <f>E53/G3</f>
        <v>0</v>
      </c>
      <c r="G53" s="119">
        <v>1353</v>
      </c>
      <c r="H53" s="297">
        <f t="shared" si="1"/>
        <v>1353</v>
      </c>
    </row>
    <row r="54" spans="1:8" ht="30" customHeight="1">
      <c r="A54" s="337">
        <v>8</v>
      </c>
      <c r="B54" s="93"/>
      <c r="C54" s="98" t="s">
        <v>419</v>
      </c>
      <c r="D54" s="103"/>
      <c r="E54" s="111"/>
      <c r="F54" s="279">
        <f>E54/G3</f>
        <v>0</v>
      </c>
      <c r="G54" s="119">
        <v>1353</v>
      </c>
      <c r="H54" s="297">
        <f t="shared" si="1"/>
        <v>1353</v>
      </c>
    </row>
    <row r="55" spans="1:8" ht="30" customHeight="1">
      <c r="A55" s="337">
        <v>9</v>
      </c>
      <c r="B55" s="94"/>
      <c r="C55" s="98" t="s">
        <v>420</v>
      </c>
      <c r="D55" s="94"/>
      <c r="E55" s="111"/>
      <c r="F55" s="279">
        <f>E55/G3</f>
        <v>0</v>
      </c>
      <c r="G55" s="111">
        <v>370.5</v>
      </c>
      <c r="H55" s="297">
        <f t="shared" si="1"/>
        <v>370.5</v>
      </c>
    </row>
    <row r="56" spans="1:8" ht="30" customHeight="1">
      <c r="A56" s="337">
        <v>10</v>
      </c>
      <c r="B56" s="94"/>
      <c r="C56" s="98" t="s">
        <v>421</v>
      </c>
      <c r="D56" s="94"/>
      <c r="E56" s="111"/>
      <c r="F56" s="279">
        <f>E56/G3</f>
        <v>0</v>
      </c>
      <c r="G56" s="119">
        <v>1353</v>
      </c>
      <c r="H56" s="297">
        <f t="shared" si="1"/>
        <v>1353</v>
      </c>
    </row>
    <row r="57" spans="1:8" ht="30" customHeight="1">
      <c r="A57" s="337">
        <v>11</v>
      </c>
      <c r="B57" s="385"/>
      <c r="C57" s="393" t="s">
        <v>540</v>
      </c>
      <c r="D57" s="392"/>
      <c r="E57" s="392"/>
      <c r="F57" s="277">
        <f>E57/G3</f>
        <v>0</v>
      </c>
      <c r="G57" s="392">
        <v>1353</v>
      </c>
      <c r="H57" s="390">
        <f>G57+F57</f>
        <v>1353</v>
      </c>
    </row>
    <row r="58" spans="1:8" ht="30" customHeight="1">
      <c r="A58" s="337">
        <v>12</v>
      </c>
      <c r="B58" s="94"/>
      <c r="C58" s="98" t="s">
        <v>541</v>
      </c>
      <c r="D58" s="94"/>
      <c r="E58" s="111"/>
      <c r="F58" s="279">
        <f>E58/G3</f>
        <v>0</v>
      </c>
      <c r="G58" s="119">
        <v>208</v>
      </c>
      <c r="H58" s="297">
        <f t="shared" si="1"/>
        <v>208</v>
      </c>
    </row>
    <row r="59" spans="1:8" ht="30" customHeight="1">
      <c r="A59" s="337">
        <v>13</v>
      </c>
      <c r="B59" s="94"/>
      <c r="C59" s="98" t="s">
        <v>542</v>
      </c>
      <c r="D59" s="94"/>
      <c r="E59" s="111"/>
      <c r="F59" s="279">
        <f>E59/G3</f>
        <v>0</v>
      </c>
      <c r="G59" s="119">
        <v>1353</v>
      </c>
      <c r="H59" s="297">
        <f t="shared" si="1"/>
        <v>1353</v>
      </c>
    </row>
    <row r="60" spans="1:8" ht="30" customHeight="1">
      <c r="A60" s="337">
        <v>14</v>
      </c>
      <c r="B60" s="94"/>
      <c r="C60" s="99" t="s">
        <v>543</v>
      </c>
      <c r="D60" s="94"/>
      <c r="E60" s="111"/>
      <c r="F60" s="279">
        <f>E60/G3</f>
        <v>0</v>
      </c>
      <c r="G60" s="119">
        <v>1353</v>
      </c>
      <c r="H60" s="297">
        <f t="shared" si="1"/>
        <v>1353</v>
      </c>
    </row>
    <row r="61" spans="1:8" ht="30" customHeight="1">
      <c r="A61" s="337">
        <v>15</v>
      </c>
      <c r="B61" s="93"/>
      <c r="C61" s="391"/>
      <c r="D61" s="103">
        <v>24</v>
      </c>
      <c r="E61" s="111"/>
      <c r="F61" s="279">
        <f>E61/G3</f>
        <v>0</v>
      </c>
      <c r="G61" s="119"/>
      <c r="H61" s="297">
        <f t="shared" si="1"/>
        <v>0</v>
      </c>
    </row>
    <row r="62" spans="1:8" ht="20.25" customHeight="1">
      <c r="A62" s="337">
        <v>16</v>
      </c>
      <c r="B62" s="93" t="s">
        <v>530</v>
      </c>
      <c r="C62" s="92" t="s">
        <v>529</v>
      </c>
      <c r="D62" s="103">
        <v>37</v>
      </c>
      <c r="E62" s="111"/>
      <c r="F62" s="279">
        <f>E62/G3</f>
        <v>0</v>
      </c>
      <c r="G62" s="119">
        <v>3300</v>
      </c>
      <c r="H62" s="297">
        <f>G62+F62</f>
        <v>3300</v>
      </c>
    </row>
    <row r="63" spans="1:8" ht="15" customHeight="1">
      <c r="A63" s="337">
        <v>17</v>
      </c>
      <c r="B63" s="93"/>
      <c r="C63" s="94"/>
      <c r="D63" s="103"/>
      <c r="E63" s="111"/>
      <c r="F63" s="279">
        <f>E63/G3</f>
        <v>0</v>
      </c>
      <c r="G63" s="119"/>
      <c r="H63" s="297">
        <f t="shared" si="1"/>
        <v>0</v>
      </c>
    </row>
    <row r="64" spans="1:8" ht="15" customHeight="1">
      <c r="A64" s="337">
        <v>18</v>
      </c>
      <c r="B64" s="93"/>
      <c r="C64" s="94"/>
      <c r="D64" s="103"/>
      <c r="E64" s="111"/>
      <c r="F64" s="279">
        <f>E64/G3</f>
        <v>0</v>
      </c>
      <c r="G64" s="119"/>
      <c r="H64" s="297">
        <f t="shared" si="1"/>
        <v>0</v>
      </c>
    </row>
    <row r="65" spans="1:8" ht="15" customHeight="1">
      <c r="A65" s="337">
        <v>19</v>
      </c>
      <c r="B65" s="93"/>
      <c r="C65" s="94"/>
      <c r="D65" s="103"/>
      <c r="E65" s="111"/>
      <c r="F65" s="279">
        <f>E65/G3</f>
        <v>0</v>
      </c>
      <c r="G65" s="119"/>
      <c r="H65" s="297">
        <f t="shared" si="1"/>
        <v>0</v>
      </c>
    </row>
    <row r="66" spans="1:8" ht="15" customHeight="1">
      <c r="A66" s="337">
        <v>20</v>
      </c>
      <c r="B66" s="94"/>
      <c r="C66" s="94"/>
      <c r="D66" s="94"/>
      <c r="E66" s="111"/>
      <c r="F66" s="279">
        <f>E66/G3</f>
        <v>0</v>
      </c>
      <c r="G66" s="119"/>
      <c r="H66" s="297">
        <f t="shared" si="1"/>
        <v>0</v>
      </c>
    </row>
    <row r="67" spans="1:8" ht="15" customHeight="1">
      <c r="A67" s="337">
        <v>21</v>
      </c>
      <c r="B67" s="94"/>
      <c r="C67" s="94"/>
      <c r="D67" s="94"/>
      <c r="E67" s="111"/>
      <c r="F67" s="279">
        <f>E67/G3</f>
        <v>0</v>
      </c>
      <c r="G67" s="119"/>
      <c r="H67" s="297">
        <f t="shared" si="1"/>
        <v>0</v>
      </c>
    </row>
    <row r="68" spans="1:8" ht="15" customHeight="1">
      <c r="A68" s="337">
        <v>22</v>
      </c>
      <c r="B68" s="94"/>
      <c r="C68" s="94"/>
      <c r="D68" s="94"/>
      <c r="E68" s="111"/>
      <c r="F68" s="279">
        <f>E68/G3</f>
        <v>0</v>
      </c>
      <c r="G68" s="119"/>
      <c r="H68" s="297">
        <f t="shared" si="1"/>
        <v>0</v>
      </c>
    </row>
    <row r="69" spans="1:8" ht="15" customHeight="1">
      <c r="A69" s="337">
        <v>23</v>
      </c>
      <c r="B69" s="94"/>
      <c r="C69" s="94"/>
      <c r="D69" s="94"/>
      <c r="E69" s="111"/>
      <c r="F69" s="279">
        <f>E69/G3</f>
        <v>0</v>
      </c>
      <c r="G69" s="119"/>
      <c r="H69" s="297">
        <f t="shared" si="1"/>
        <v>0</v>
      </c>
    </row>
    <row r="70" spans="1:8" ht="15" customHeight="1">
      <c r="A70" s="337">
        <v>24</v>
      </c>
      <c r="B70" s="94"/>
      <c r="C70" s="94"/>
      <c r="D70" s="94"/>
      <c r="E70" s="111"/>
      <c r="F70" s="279">
        <f>E70/G3</f>
        <v>0</v>
      </c>
      <c r="G70" s="119"/>
      <c r="H70" s="297">
        <f t="shared" si="1"/>
        <v>0</v>
      </c>
    </row>
    <row r="71" spans="1:8" ht="21" customHeight="1">
      <c r="A71" s="337">
        <v>25</v>
      </c>
      <c r="B71" s="94"/>
      <c r="C71" s="381" t="s">
        <v>521</v>
      </c>
      <c r="D71" s="94">
        <f>SUM(D47:D70)</f>
        <v>61</v>
      </c>
      <c r="E71" s="111"/>
      <c r="F71" s="279">
        <f>E71/G3</f>
        <v>0</v>
      </c>
      <c r="G71" s="119"/>
      <c r="H71" s="297">
        <f t="shared" si="1"/>
        <v>0</v>
      </c>
    </row>
    <row r="72" spans="1:8" ht="21" customHeight="1" thickBot="1">
      <c r="A72" s="448" t="s">
        <v>4</v>
      </c>
      <c r="B72" s="449"/>
      <c r="C72" s="449"/>
      <c r="D72" s="450"/>
      <c r="E72" s="113">
        <f>SUM(E47:E71)</f>
        <v>0</v>
      </c>
      <c r="F72" s="113">
        <f>E72/G3</f>
        <v>0</v>
      </c>
      <c r="G72" s="113">
        <f>SUM(G47:G71)</f>
        <v>19591</v>
      </c>
      <c r="H72" s="114">
        <f>SUM(H47:H71)</f>
        <v>19591</v>
      </c>
    </row>
    <row r="74" spans="1:8">
      <c r="A74" s="451" t="s">
        <v>7</v>
      </c>
      <c r="B74" s="451"/>
      <c r="C74" s="452" t="s">
        <v>272</v>
      </c>
      <c r="D74" s="452"/>
      <c r="E74" s="452" t="s">
        <v>273</v>
      </c>
      <c r="F74" s="452"/>
      <c r="G74" s="452"/>
    </row>
    <row r="85" spans="1:8" ht="17.25" customHeight="1">
      <c r="A85" s="445" t="s">
        <v>263</v>
      </c>
      <c r="B85" s="453"/>
      <c r="C85" s="453"/>
      <c r="D85" s="453"/>
      <c r="E85" s="453"/>
    </row>
    <row r="86" spans="1:8" ht="17.25" customHeight="1">
      <c r="A86" s="445" t="s">
        <v>586</v>
      </c>
      <c r="B86" s="453"/>
      <c r="C86" s="453"/>
      <c r="D86" s="453"/>
      <c r="E86" s="453"/>
      <c r="F86" s="452" t="s">
        <v>545</v>
      </c>
      <c r="G86" s="452"/>
    </row>
    <row r="87" spans="1:8" ht="17.25" customHeight="1" thickBot="1">
      <c r="A87" s="446" t="s">
        <v>243</v>
      </c>
      <c r="B87" s="446"/>
      <c r="C87" s="446"/>
      <c r="D87" s="446"/>
      <c r="E87" s="446"/>
      <c r="F87" s="334" t="s">
        <v>91</v>
      </c>
      <c r="G87" s="312">
        <f>تسعير!E34</f>
        <v>3.7750001532838997</v>
      </c>
    </row>
    <row r="88" spans="1:8" ht="21" customHeight="1">
      <c r="A88" s="19" t="s">
        <v>0</v>
      </c>
      <c r="B88" s="20" t="s">
        <v>78</v>
      </c>
      <c r="C88" s="20" t="s">
        <v>77</v>
      </c>
      <c r="D88" s="20" t="s">
        <v>80</v>
      </c>
      <c r="E88" s="20" t="s">
        <v>13</v>
      </c>
      <c r="F88" s="335" t="s">
        <v>83</v>
      </c>
      <c r="G88" s="335" t="s">
        <v>14</v>
      </c>
      <c r="H88" s="336" t="s">
        <v>79</v>
      </c>
    </row>
    <row r="89" spans="1:8" ht="21" customHeight="1">
      <c r="A89" s="337">
        <v>1</v>
      </c>
      <c r="B89" s="93"/>
      <c r="C89" s="102" t="s">
        <v>546</v>
      </c>
      <c r="D89" s="103"/>
      <c r="E89" s="119">
        <v>6833</v>
      </c>
      <c r="F89" s="104">
        <f>E89/G3</f>
        <v>1810.0661516678149</v>
      </c>
      <c r="G89" s="94"/>
      <c r="H89" s="105">
        <f>G89+F89</f>
        <v>1810.0661516678149</v>
      </c>
    </row>
    <row r="90" spans="1:8" ht="21" customHeight="1">
      <c r="A90" s="337">
        <v>2</v>
      </c>
      <c r="B90" s="93"/>
      <c r="C90" s="102" t="s">
        <v>547</v>
      </c>
      <c r="D90" s="103"/>
      <c r="E90" s="111">
        <v>300.3</v>
      </c>
      <c r="F90" s="104">
        <f>E90/G3</f>
        <v>79.549665644057498</v>
      </c>
      <c r="G90" s="94"/>
      <c r="H90" s="105">
        <f t="shared" ref="H90:H113" si="2">G90+F90</f>
        <v>79.549665644057498</v>
      </c>
    </row>
    <row r="91" spans="1:8" ht="21" customHeight="1">
      <c r="A91" s="337">
        <v>3</v>
      </c>
      <c r="B91" s="93"/>
      <c r="C91" s="102" t="s">
        <v>548</v>
      </c>
      <c r="D91" s="103"/>
      <c r="E91" s="119"/>
      <c r="F91" s="104">
        <f>E91/G3</f>
        <v>0</v>
      </c>
      <c r="G91" s="94"/>
      <c r="H91" s="105">
        <f t="shared" si="2"/>
        <v>0</v>
      </c>
    </row>
    <row r="92" spans="1:8" ht="21" customHeight="1">
      <c r="A92" s="337">
        <v>4</v>
      </c>
      <c r="B92" s="93"/>
      <c r="C92" s="102"/>
      <c r="D92" s="103"/>
      <c r="E92" s="119"/>
      <c r="F92" s="104">
        <f>E92/G3</f>
        <v>0</v>
      </c>
      <c r="G92" s="94"/>
      <c r="H92" s="105">
        <f t="shared" si="2"/>
        <v>0</v>
      </c>
    </row>
    <row r="93" spans="1:8" ht="21" customHeight="1">
      <c r="A93" s="337">
        <v>5</v>
      </c>
      <c r="B93" s="93"/>
      <c r="C93" s="102"/>
      <c r="D93" s="103"/>
      <c r="E93" s="119"/>
      <c r="F93" s="104">
        <f>E93/G3</f>
        <v>0</v>
      </c>
      <c r="G93" s="94"/>
      <c r="H93" s="105">
        <f t="shared" si="2"/>
        <v>0</v>
      </c>
    </row>
    <row r="94" spans="1:8" ht="21" customHeight="1">
      <c r="A94" s="337">
        <v>6</v>
      </c>
      <c r="B94" s="93"/>
      <c r="C94" s="92"/>
      <c r="D94" s="103"/>
      <c r="E94" s="119"/>
      <c r="F94" s="104">
        <f>E94/G3</f>
        <v>0</v>
      </c>
      <c r="G94" s="94"/>
      <c r="H94" s="105">
        <f t="shared" si="2"/>
        <v>0</v>
      </c>
    </row>
    <row r="95" spans="1:8" ht="21" customHeight="1">
      <c r="A95" s="337">
        <v>7</v>
      </c>
      <c r="B95" s="93"/>
      <c r="C95" s="92"/>
      <c r="D95" s="103"/>
      <c r="E95" s="119"/>
      <c r="F95" s="104">
        <f>E95/G3</f>
        <v>0</v>
      </c>
      <c r="G95" s="94"/>
      <c r="H95" s="105">
        <f t="shared" si="2"/>
        <v>0</v>
      </c>
    </row>
    <row r="96" spans="1:8" ht="21" customHeight="1">
      <c r="A96" s="337">
        <v>8</v>
      </c>
      <c r="B96" s="93"/>
      <c r="C96" s="92"/>
      <c r="D96" s="103"/>
      <c r="E96" s="119"/>
      <c r="F96" s="104">
        <f>E96/G3</f>
        <v>0</v>
      </c>
      <c r="G96" s="94"/>
      <c r="H96" s="105">
        <f t="shared" si="2"/>
        <v>0</v>
      </c>
    </row>
    <row r="97" spans="1:8" ht="21" customHeight="1">
      <c r="A97" s="337">
        <v>9</v>
      </c>
      <c r="B97" s="93"/>
      <c r="C97" s="102"/>
      <c r="D97" s="103"/>
      <c r="E97" s="119"/>
      <c r="F97" s="104">
        <f>E97/G3</f>
        <v>0</v>
      </c>
      <c r="G97" s="94"/>
      <c r="H97" s="105">
        <f t="shared" si="2"/>
        <v>0</v>
      </c>
    </row>
    <row r="98" spans="1:8" ht="21" customHeight="1">
      <c r="A98" s="337">
        <v>10</v>
      </c>
      <c r="B98" s="93"/>
      <c r="C98" s="102"/>
      <c r="D98" s="103"/>
      <c r="E98" s="119"/>
      <c r="F98" s="104">
        <f>E98/G3</f>
        <v>0</v>
      </c>
      <c r="G98" s="94"/>
      <c r="H98" s="105">
        <f t="shared" si="2"/>
        <v>0</v>
      </c>
    </row>
    <row r="99" spans="1:8" ht="21" customHeight="1">
      <c r="A99" s="337">
        <v>11</v>
      </c>
      <c r="B99" s="93"/>
      <c r="C99" s="102"/>
      <c r="D99" s="103"/>
      <c r="E99" s="119"/>
      <c r="F99" s="104">
        <f>E99/G3</f>
        <v>0</v>
      </c>
      <c r="G99" s="94"/>
      <c r="H99" s="105">
        <f t="shared" si="2"/>
        <v>0</v>
      </c>
    </row>
    <row r="100" spans="1:8" ht="21" customHeight="1">
      <c r="A100" s="337">
        <v>12</v>
      </c>
      <c r="B100" s="93"/>
      <c r="C100" s="102"/>
      <c r="D100" s="103"/>
      <c r="E100" s="119"/>
      <c r="F100" s="104">
        <f>E100/G3</f>
        <v>0</v>
      </c>
      <c r="G100" s="94"/>
      <c r="H100" s="105">
        <f t="shared" si="2"/>
        <v>0</v>
      </c>
    </row>
    <row r="101" spans="1:8" ht="21" customHeight="1">
      <c r="A101" s="337">
        <v>13</v>
      </c>
      <c r="B101" s="93"/>
      <c r="C101" s="92"/>
      <c r="D101" s="103"/>
      <c r="E101" s="119"/>
      <c r="F101" s="104">
        <f>E101/G3</f>
        <v>0</v>
      </c>
      <c r="G101" s="94"/>
      <c r="H101" s="105">
        <f t="shared" si="2"/>
        <v>0</v>
      </c>
    </row>
    <row r="102" spans="1:8" ht="21" customHeight="1">
      <c r="A102" s="337">
        <v>14</v>
      </c>
      <c r="B102" s="93"/>
      <c r="C102" s="92"/>
      <c r="D102" s="103"/>
      <c r="E102" s="119"/>
      <c r="F102" s="104">
        <f>E102/G3</f>
        <v>0</v>
      </c>
      <c r="G102" s="94"/>
      <c r="H102" s="105">
        <f t="shared" si="2"/>
        <v>0</v>
      </c>
    </row>
    <row r="103" spans="1:8" ht="21" customHeight="1">
      <c r="A103" s="337">
        <v>15</v>
      </c>
      <c r="B103" s="93"/>
      <c r="C103" s="92"/>
      <c r="D103" s="103"/>
      <c r="E103" s="119"/>
      <c r="F103" s="104">
        <f>E103/G3</f>
        <v>0</v>
      </c>
      <c r="G103" s="94"/>
      <c r="H103" s="105">
        <f t="shared" si="2"/>
        <v>0</v>
      </c>
    </row>
    <row r="104" spans="1:8" ht="21" customHeight="1">
      <c r="A104" s="337">
        <v>16</v>
      </c>
      <c r="B104" s="93"/>
      <c r="C104" s="92"/>
      <c r="D104" s="103"/>
      <c r="E104" s="119"/>
      <c r="F104" s="104">
        <f>E104/G3</f>
        <v>0</v>
      </c>
      <c r="G104" s="94"/>
      <c r="H104" s="105">
        <f t="shared" si="2"/>
        <v>0</v>
      </c>
    </row>
    <row r="105" spans="1:8" ht="21" customHeight="1">
      <c r="A105" s="337">
        <v>17</v>
      </c>
      <c r="B105" s="93"/>
      <c r="C105" s="92"/>
      <c r="D105" s="103"/>
      <c r="E105" s="119"/>
      <c r="F105" s="104">
        <f>E105/G3</f>
        <v>0</v>
      </c>
      <c r="G105" s="94"/>
      <c r="H105" s="105">
        <f t="shared" si="2"/>
        <v>0</v>
      </c>
    </row>
    <row r="106" spans="1:8" ht="21" customHeight="1">
      <c r="A106" s="337">
        <v>18</v>
      </c>
      <c r="B106" s="93"/>
      <c r="C106" s="92"/>
      <c r="D106" s="103"/>
      <c r="E106" s="119"/>
      <c r="F106" s="104">
        <f>E106/G3</f>
        <v>0</v>
      </c>
      <c r="G106" s="94"/>
      <c r="H106" s="105">
        <f t="shared" si="2"/>
        <v>0</v>
      </c>
    </row>
    <row r="107" spans="1:8" ht="21" customHeight="1">
      <c r="A107" s="337">
        <v>19</v>
      </c>
      <c r="B107" s="93"/>
      <c r="C107" s="92"/>
      <c r="D107" s="103"/>
      <c r="E107" s="119"/>
      <c r="F107" s="104">
        <f>E107/G3</f>
        <v>0</v>
      </c>
      <c r="G107" s="94"/>
      <c r="H107" s="105">
        <f t="shared" si="2"/>
        <v>0</v>
      </c>
    </row>
    <row r="108" spans="1:8" ht="21" customHeight="1">
      <c r="A108" s="337">
        <v>20</v>
      </c>
      <c r="B108" s="93"/>
      <c r="C108" s="92"/>
      <c r="D108" s="103"/>
      <c r="E108" s="119"/>
      <c r="F108" s="104">
        <f>E108/G3</f>
        <v>0</v>
      </c>
      <c r="G108" s="94"/>
      <c r="H108" s="105">
        <f t="shared" si="2"/>
        <v>0</v>
      </c>
    </row>
    <row r="109" spans="1:8" ht="21" customHeight="1">
      <c r="A109" s="337">
        <v>21</v>
      </c>
      <c r="B109" s="93"/>
      <c r="C109" s="94"/>
      <c r="D109" s="103"/>
      <c r="E109" s="119"/>
      <c r="F109" s="104">
        <f>E109/G3</f>
        <v>0</v>
      </c>
      <c r="G109" s="94"/>
      <c r="H109" s="105">
        <f t="shared" si="2"/>
        <v>0</v>
      </c>
    </row>
    <row r="110" spans="1:8" ht="21" customHeight="1">
      <c r="A110" s="337">
        <v>22</v>
      </c>
      <c r="B110" s="94"/>
      <c r="C110" s="94"/>
      <c r="D110" s="94"/>
      <c r="E110" s="119"/>
      <c r="F110" s="104">
        <f>E110/G3</f>
        <v>0</v>
      </c>
      <c r="G110" s="94"/>
      <c r="H110" s="105">
        <f t="shared" si="2"/>
        <v>0</v>
      </c>
    </row>
    <row r="111" spans="1:8" ht="21" customHeight="1">
      <c r="A111" s="337">
        <v>23</v>
      </c>
      <c r="B111" s="94"/>
      <c r="C111" s="94"/>
      <c r="D111" s="94"/>
      <c r="E111" s="119"/>
      <c r="F111" s="104">
        <f>E111/G3</f>
        <v>0</v>
      </c>
      <c r="G111" s="94"/>
      <c r="H111" s="105">
        <f t="shared" si="2"/>
        <v>0</v>
      </c>
    </row>
    <row r="112" spans="1:8" ht="21" customHeight="1">
      <c r="A112" s="337">
        <v>24</v>
      </c>
      <c r="B112" s="94"/>
      <c r="C112" s="94"/>
      <c r="D112" s="94"/>
      <c r="E112" s="119"/>
      <c r="F112" s="104">
        <f>E112/G3</f>
        <v>0</v>
      </c>
      <c r="G112" s="94"/>
      <c r="H112" s="105">
        <f t="shared" si="2"/>
        <v>0</v>
      </c>
    </row>
    <row r="113" spans="1:8" ht="21" customHeight="1">
      <c r="A113" s="337">
        <v>25</v>
      </c>
      <c r="B113" s="94"/>
      <c r="C113" s="94"/>
      <c r="D113" s="94">
        <f>SUM(D89:D112)</f>
        <v>0</v>
      </c>
      <c r="E113" s="119"/>
      <c r="F113" s="104">
        <f>E113/G3</f>
        <v>0</v>
      </c>
      <c r="G113" s="94"/>
      <c r="H113" s="105">
        <f t="shared" si="2"/>
        <v>0</v>
      </c>
    </row>
    <row r="114" spans="1:8" ht="21" customHeight="1" thickBot="1">
      <c r="A114" s="448" t="s">
        <v>4</v>
      </c>
      <c r="B114" s="449"/>
      <c r="C114" s="449"/>
      <c r="D114" s="450"/>
      <c r="E114" s="120">
        <f>SUM(E89:E113)</f>
        <v>7133.3</v>
      </c>
      <c r="F114" s="113">
        <f>E114/G3</f>
        <v>1889.6158173118724</v>
      </c>
      <c r="G114" s="107">
        <f>SUM(G89:G113)</f>
        <v>0</v>
      </c>
      <c r="H114" s="114">
        <f>SUM(H89:H113)</f>
        <v>1889.6158173118724</v>
      </c>
    </row>
    <row r="116" spans="1:8">
      <c r="A116" s="451" t="s">
        <v>7</v>
      </c>
      <c r="B116" s="451"/>
      <c r="C116" s="452" t="s">
        <v>272</v>
      </c>
      <c r="D116" s="452"/>
      <c r="E116" s="452" t="s">
        <v>273</v>
      </c>
      <c r="F116" s="452"/>
      <c r="G116" s="452"/>
    </row>
    <row r="127" spans="1:8" ht="17.25" customHeight="1">
      <c r="A127" s="445" t="s">
        <v>263</v>
      </c>
      <c r="B127" s="447"/>
      <c r="C127" s="447"/>
      <c r="D127" s="447"/>
      <c r="E127" s="447"/>
    </row>
    <row r="128" spans="1:8" ht="17.25" customHeight="1">
      <c r="A128" s="445" t="s">
        <v>586</v>
      </c>
      <c r="B128" s="447"/>
      <c r="C128" s="447"/>
      <c r="D128" s="447"/>
      <c r="E128" s="447"/>
      <c r="F128" s="452" t="s">
        <v>368</v>
      </c>
      <c r="G128" s="452"/>
    </row>
    <row r="129" spans="1:8" ht="17.25" customHeight="1" thickBot="1">
      <c r="A129" s="446" t="s">
        <v>98</v>
      </c>
      <c r="B129" s="446"/>
      <c r="C129" s="446"/>
      <c r="D129" s="446"/>
      <c r="E129" s="446"/>
      <c r="F129" s="334" t="s">
        <v>91</v>
      </c>
      <c r="G129" s="312">
        <f>تسعير!E34</f>
        <v>3.7750001532838997</v>
      </c>
    </row>
    <row r="130" spans="1:8" ht="21" customHeight="1">
      <c r="A130" s="19" t="s">
        <v>0</v>
      </c>
      <c r="B130" s="20" t="s">
        <v>78</v>
      </c>
      <c r="C130" s="20" t="s">
        <v>77</v>
      </c>
      <c r="D130" s="20" t="s">
        <v>80</v>
      </c>
      <c r="E130" s="20" t="s">
        <v>13</v>
      </c>
      <c r="F130" s="335" t="s">
        <v>83</v>
      </c>
      <c r="G130" s="335" t="s">
        <v>14</v>
      </c>
      <c r="H130" s="336" t="s">
        <v>79</v>
      </c>
    </row>
    <row r="131" spans="1:8" ht="21" customHeight="1">
      <c r="A131" s="337">
        <v>1</v>
      </c>
      <c r="B131" s="338" t="s">
        <v>366</v>
      </c>
      <c r="C131" s="91" t="s">
        <v>364</v>
      </c>
      <c r="D131" s="94">
        <v>7</v>
      </c>
      <c r="E131" s="94">
        <v>221</v>
      </c>
      <c r="F131" s="104">
        <f>E131/G3</f>
        <v>58.543043980475211</v>
      </c>
      <c r="G131" s="94"/>
      <c r="H131" s="105">
        <f>G131+F131</f>
        <v>58.543043980475211</v>
      </c>
    </row>
    <row r="132" spans="1:8" ht="21" customHeight="1">
      <c r="A132" s="337">
        <v>2</v>
      </c>
      <c r="B132" s="338" t="s">
        <v>367</v>
      </c>
      <c r="C132" s="91" t="s">
        <v>364</v>
      </c>
      <c r="D132" s="94">
        <v>7</v>
      </c>
      <c r="E132" s="94">
        <v>140</v>
      </c>
      <c r="F132" s="104">
        <f>E132/G3</f>
        <v>37.086091209350812</v>
      </c>
      <c r="G132" s="94"/>
      <c r="H132" s="105">
        <f t="shared" ref="H132:H155" si="3">G132+F132</f>
        <v>37.086091209350812</v>
      </c>
    </row>
    <row r="133" spans="1:8" ht="21" customHeight="1">
      <c r="A133" s="337">
        <v>3</v>
      </c>
      <c r="B133" s="338" t="s">
        <v>366</v>
      </c>
      <c r="C133" s="91" t="s">
        <v>364</v>
      </c>
      <c r="D133" s="94">
        <v>19</v>
      </c>
      <c r="E133" s="94">
        <v>581</v>
      </c>
      <c r="F133" s="104">
        <f>E133/G3</f>
        <v>153.90727851880587</v>
      </c>
      <c r="G133" s="94"/>
      <c r="H133" s="105">
        <f t="shared" si="3"/>
        <v>153.90727851880587</v>
      </c>
    </row>
    <row r="134" spans="1:8" ht="21" customHeight="1">
      <c r="A134" s="337">
        <v>4</v>
      </c>
      <c r="B134" s="338" t="s">
        <v>367</v>
      </c>
      <c r="C134" s="91" t="s">
        <v>364</v>
      </c>
      <c r="D134" s="94">
        <v>12</v>
      </c>
      <c r="E134" s="94">
        <v>479</v>
      </c>
      <c r="F134" s="104">
        <f>E134/G3</f>
        <v>126.88741206627886</v>
      </c>
      <c r="G134" s="94"/>
      <c r="H134" s="105">
        <f t="shared" si="3"/>
        <v>126.88741206627886</v>
      </c>
    </row>
    <row r="135" spans="1:8" ht="21" customHeight="1">
      <c r="A135" s="337">
        <v>5</v>
      </c>
      <c r="B135" s="338" t="s">
        <v>367</v>
      </c>
      <c r="C135" s="91" t="s">
        <v>364</v>
      </c>
      <c r="D135" s="94">
        <v>9</v>
      </c>
      <c r="E135" s="94">
        <v>387</v>
      </c>
      <c r="F135" s="104">
        <f>E135/G3</f>
        <v>102.51655212870546</v>
      </c>
      <c r="G135" s="94"/>
      <c r="H135" s="105">
        <f t="shared" si="3"/>
        <v>102.51655212870546</v>
      </c>
    </row>
    <row r="136" spans="1:8" ht="21" customHeight="1">
      <c r="A136" s="337">
        <v>6</v>
      </c>
      <c r="B136" s="338" t="s">
        <v>367</v>
      </c>
      <c r="C136" s="91" t="s">
        <v>364</v>
      </c>
      <c r="D136" s="94">
        <v>7</v>
      </c>
      <c r="E136" s="94">
        <v>301</v>
      </c>
      <c r="F136" s="104">
        <f>E136/G3</f>
        <v>79.735096100104244</v>
      </c>
      <c r="G136" s="94"/>
      <c r="H136" s="105">
        <f t="shared" si="3"/>
        <v>79.735096100104244</v>
      </c>
    </row>
    <row r="137" spans="1:8" ht="21" customHeight="1">
      <c r="A137" s="337">
        <v>7</v>
      </c>
      <c r="B137" s="94"/>
      <c r="C137" s="94"/>
      <c r="D137" s="94"/>
      <c r="E137" s="94"/>
      <c r="F137" s="104">
        <f>E137/G3</f>
        <v>0</v>
      </c>
      <c r="G137" s="94"/>
      <c r="H137" s="105">
        <f t="shared" si="3"/>
        <v>0</v>
      </c>
    </row>
    <row r="138" spans="1:8" ht="21" customHeight="1">
      <c r="A138" s="337">
        <v>8</v>
      </c>
      <c r="B138" s="94"/>
      <c r="C138" s="94"/>
      <c r="D138" s="94"/>
      <c r="E138" s="94"/>
      <c r="F138" s="104">
        <f>E138/G3</f>
        <v>0</v>
      </c>
      <c r="G138" s="94"/>
      <c r="H138" s="105">
        <f t="shared" si="3"/>
        <v>0</v>
      </c>
    </row>
    <row r="139" spans="1:8" ht="21" customHeight="1">
      <c r="A139" s="337">
        <v>9</v>
      </c>
      <c r="B139" s="94"/>
      <c r="C139" s="94"/>
      <c r="D139" s="94"/>
      <c r="E139" s="94"/>
      <c r="F139" s="104">
        <f>E139/G3</f>
        <v>0</v>
      </c>
      <c r="G139" s="94"/>
      <c r="H139" s="105">
        <f t="shared" si="3"/>
        <v>0</v>
      </c>
    </row>
    <row r="140" spans="1:8" ht="21" customHeight="1">
      <c r="A140" s="337">
        <v>10</v>
      </c>
      <c r="B140" s="94"/>
      <c r="C140" s="94"/>
      <c r="D140" s="94"/>
      <c r="E140" s="94"/>
      <c r="F140" s="104">
        <f>E140/G3</f>
        <v>0</v>
      </c>
      <c r="G140" s="94"/>
      <c r="H140" s="105">
        <f t="shared" si="3"/>
        <v>0</v>
      </c>
    </row>
    <row r="141" spans="1:8" ht="21" customHeight="1">
      <c r="A141" s="337">
        <v>11</v>
      </c>
      <c r="B141" s="94"/>
      <c r="C141" s="94"/>
      <c r="D141" s="94"/>
      <c r="E141" s="94"/>
      <c r="F141" s="104">
        <f>E141/G3</f>
        <v>0</v>
      </c>
      <c r="G141" s="94"/>
      <c r="H141" s="105">
        <f t="shared" si="3"/>
        <v>0</v>
      </c>
    </row>
    <row r="142" spans="1:8" ht="21" customHeight="1">
      <c r="A142" s="337">
        <v>12</v>
      </c>
      <c r="B142" s="94"/>
      <c r="C142" s="94"/>
      <c r="D142" s="94"/>
      <c r="E142" s="94"/>
      <c r="F142" s="104">
        <f>E142/G3</f>
        <v>0</v>
      </c>
      <c r="G142" s="94"/>
      <c r="H142" s="105">
        <f t="shared" si="3"/>
        <v>0</v>
      </c>
    </row>
    <row r="143" spans="1:8" ht="21" customHeight="1">
      <c r="A143" s="337">
        <v>13</v>
      </c>
      <c r="B143" s="94"/>
      <c r="C143" s="94"/>
      <c r="D143" s="94"/>
      <c r="E143" s="94"/>
      <c r="F143" s="104">
        <f>E143/G3</f>
        <v>0</v>
      </c>
      <c r="G143" s="94"/>
      <c r="H143" s="105">
        <f t="shared" si="3"/>
        <v>0</v>
      </c>
    </row>
    <row r="144" spans="1:8" ht="21" customHeight="1">
      <c r="A144" s="337">
        <v>14</v>
      </c>
      <c r="B144" s="94"/>
      <c r="C144" s="94"/>
      <c r="D144" s="94"/>
      <c r="E144" s="94"/>
      <c r="F144" s="104">
        <f>E144/G3</f>
        <v>0</v>
      </c>
      <c r="G144" s="94"/>
      <c r="H144" s="105">
        <f t="shared" si="3"/>
        <v>0</v>
      </c>
    </row>
    <row r="145" spans="1:8" ht="21" customHeight="1">
      <c r="A145" s="337">
        <v>15</v>
      </c>
      <c r="B145" s="94"/>
      <c r="C145" s="94"/>
      <c r="D145" s="94"/>
      <c r="E145" s="94"/>
      <c r="F145" s="104">
        <f>E145/G3</f>
        <v>0</v>
      </c>
      <c r="G145" s="94"/>
      <c r="H145" s="105">
        <f t="shared" si="3"/>
        <v>0</v>
      </c>
    </row>
    <row r="146" spans="1:8" ht="21" customHeight="1">
      <c r="A146" s="337">
        <v>16</v>
      </c>
      <c r="B146" s="94"/>
      <c r="C146" s="94"/>
      <c r="D146" s="94"/>
      <c r="E146" s="94"/>
      <c r="F146" s="104">
        <f>E146/G3</f>
        <v>0</v>
      </c>
      <c r="G146" s="94"/>
      <c r="H146" s="105">
        <f t="shared" si="3"/>
        <v>0</v>
      </c>
    </row>
    <row r="147" spans="1:8" ht="21" customHeight="1">
      <c r="A147" s="337">
        <v>17</v>
      </c>
      <c r="B147" s="94"/>
      <c r="C147" s="94"/>
      <c r="D147" s="94"/>
      <c r="E147" s="94"/>
      <c r="F147" s="104">
        <f>E147/G3</f>
        <v>0</v>
      </c>
      <c r="G147" s="94"/>
      <c r="H147" s="105">
        <f t="shared" si="3"/>
        <v>0</v>
      </c>
    </row>
    <row r="148" spans="1:8" ht="21" customHeight="1">
      <c r="A148" s="337">
        <v>18</v>
      </c>
      <c r="B148" s="94"/>
      <c r="C148" s="94"/>
      <c r="D148" s="94"/>
      <c r="E148" s="94"/>
      <c r="F148" s="104">
        <f>E148/G3</f>
        <v>0</v>
      </c>
      <c r="G148" s="94"/>
      <c r="H148" s="105">
        <f t="shared" si="3"/>
        <v>0</v>
      </c>
    </row>
    <row r="149" spans="1:8" ht="21" customHeight="1">
      <c r="A149" s="337">
        <v>19</v>
      </c>
      <c r="B149" s="94"/>
      <c r="C149" s="94"/>
      <c r="D149" s="94"/>
      <c r="E149" s="94"/>
      <c r="F149" s="104">
        <f>E149/G3</f>
        <v>0</v>
      </c>
      <c r="G149" s="94"/>
      <c r="H149" s="105">
        <f t="shared" si="3"/>
        <v>0</v>
      </c>
    </row>
    <row r="150" spans="1:8" ht="21" customHeight="1">
      <c r="A150" s="337">
        <v>20</v>
      </c>
      <c r="B150" s="94"/>
      <c r="C150" s="94"/>
      <c r="D150" s="94"/>
      <c r="E150" s="94"/>
      <c r="F150" s="104">
        <f>E150/G3</f>
        <v>0</v>
      </c>
      <c r="G150" s="94"/>
      <c r="H150" s="105">
        <f t="shared" si="3"/>
        <v>0</v>
      </c>
    </row>
    <row r="151" spans="1:8" ht="21" customHeight="1">
      <c r="A151" s="337">
        <v>21</v>
      </c>
      <c r="B151" s="94"/>
      <c r="C151" s="94"/>
      <c r="D151" s="94"/>
      <c r="E151" s="94"/>
      <c r="F151" s="104">
        <f>E151/G3</f>
        <v>0</v>
      </c>
      <c r="G151" s="94"/>
      <c r="H151" s="105">
        <f t="shared" si="3"/>
        <v>0</v>
      </c>
    </row>
    <row r="152" spans="1:8" ht="21" customHeight="1">
      <c r="A152" s="337">
        <v>22</v>
      </c>
      <c r="B152" s="94"/>
      <c r="C152" s="94"/>
      <c r="D152" s="94"/>
      <c r="E152" s="94"/>
      <c r="F152" s="104">
        <f>E152/G3</f>
        <v>0</v>
      </c>
      <c r="G152" s="94"/>
      <c r="H152" s="105">
        <f t="shared" si="3"/>
        <v>0</v>
      </c>
    </row>
    <row r="153" spans="1:8" ht="21" customHeight="1">
      <c r="A153" s="337">
        <v>23</v>
      </c>
      <c r="B153" s="94"/>
      <c r="C153" s="94"/>
      <c r="D153" s="94"/>
      <c r="E153" s="94"/>
      <c r="F153" s="104">
        <f>E153/G3</f>
        <v>0</v>
      </c>
      <c r="G153" s="94"/>
      <c r="H153" s="105">
        <f t="shared" si="3"/>
        <v>0</v>
      </c>
    </row>
    <row r="154" spans="1:8" ht="21" customHeight="1">
      <c r="A154" s="337">
        <v>24</v>
      </c>
      <c r="B154" s="94"/>
      <c r="C154" s="94"/>
      <c r="D154" s="94"/>
      <c r="E154" s="94"/>
      <c r="F154" s="104">
        <f>E154/G3</f>
        <v>0</v>
      </c>
      <c r="G154" s="94"/>
      <c r="H154" s="105">
        <f t="shared" si="3"/>
        <v>0</v>
      </c>
    </row>
    <row r="155" spans="1:8" ht="21" customHeight="1">
      <c r="A155" s="337">
        <v>25</v>
      </c>
      <c r="B155" s="94"/>
      <c r="C155" s="94"/>
      <c r="D155" s="94">
        <f>SUM(D131:D154)</f>
        <v>61</v>
      </c>
      <c r="E155" s="94"/>
      <c r="F155" s="104">
        <f>E155/G3</f>
        <v>0</v>
      </c>
      <c r="G155" s="94"/>
      <c r="H155" s="105">
        <f t="shared" si="3"/>
        <v>0</v>
      </c>
    </row>
    <row r="156" spans="1:8" ht="21" customHeight="1" thickBot="1">
      <c r="A156" s="448" t="s">
        <v>4</v>
      </c>
      <c r="B156" s="449"/>
      <c r="C156" s="449"/>
      <c r="D156" s="450"/>
      <c r="E156" s="107">
        <f>SUM(E131:E155)</f>
        <v>2109</v>
      </c>
      <c r="F156" s="113">
        <f>E156/G3</f>
        <v>558.67547400372041</v>
      </c>
      <c r="G156" s="107">
        <f>SUM(G131:G155)</f>
        <v>0</v>
      </c>
      <c r="H156" s="114">
        <f>SUM(H131:H155)</f>
        <v>558.67547400372041</v>
      </c>
    </row>
    <row r="158" spans="1:8">
      <c r="A158" s="451" t="s">
        <v>7</v>
      </c>
      <c r="B158" s="451"/>
      <c r="C158" s="452" t="s">
        <v>272</v>
      </c>
      <c r="D158" s="452"/>
      <c r="E158" s="452" t="s">
        <v>273</v>
      </c>
      <c r="F158" s="452"/>
      <c r="G158" s="452"/>
    </row>
    <row r="169" spans="1:8" ht="17.25" customHeight="1">
      <c r="A169" s="445" t="s">
        <v>263</v>
      </c>
      <c r="B169" s="453"/>
      <c r="C169" s="453"/>
      <c r="D169" s="453"/>
      <c r="E169" s="453"/>
    </row>
    <row r="170" spans="1:8" ht="17.25" customHeight="1">
      <c r="A170" s="445" t="s">
        <v>586</v>
      </c>
      <c r="B170" s="453"/>
      <c r="C170" s="453"/>
      <c r="D170" s="453"/>
      <c r="E170" s="453"/>
      <c r="F170" s="455" t="s">
        <v>574</v>
      </c>
      <c r="G170" s="455"/>
    </row>
    <row r="171" spans="1:8" ht="17.25" customHeight="1" thickBot="1">
      <c r="A171" s="446" t="s">
        <v>99</v>
      </c>
      <c r="B171" s="446"/>
      <c r="C171" s="446"/>
      <c r="D171" s="446"/>
      <c r="E171" s="446"/>
      <c r="F171" s="334" t="s">
        <v>91</v>
      </c>
      <c r="G171" s="312">
        <f>تسعير!E34</f>
        <v>3.7750001532838997</v>
      </c>
    </row>
    <row r="172" spans="1:8" ht="21" customHeight="1">
      <c r="A172" s="19" t="s">
        <v>0</v>
      </c>
      <c r="B172" s="20" t="s">
        <v>78</v>
      </c>
      <c r="C172" s="341" t="s">
        <v>77</v>
      </c>
      <c r="D172" s="20" t="s">
        <v>80</v>
      </c>
      <c r="E172" s="20" t="s">
        <v>13</v>
      </c>
      <c r="F172" s="335" t="s">
        <v>83</v>
      </c>
      <c r="G172" s="335" t="s">
        <v>14</v>
      </c>
      <c r="H172" s="336" t="s">
        <v>79</v>
      </c>
    </row>
    <row r="173" spans="1:8" ht="21" customHeight="1">
      <c r="A173" s="337">
        <v>1</v>
      </c>
      <c r="B173" s="93"/>
      <c r="C173" s="92" t="s">
        <v>568</v>
      </c>
      <c r="D173" s="103"/>
      <c r="E173" s="94">
        <v>3535.5</v>
      </c>
      <c r="F173" s="104">
        <f>E173/G3</f>
        <v>936.55625336185562</v>
      </c>
      <c r="G173" s="94"/>
      <c r="H173" s="105">
        <f>G173+F173</f>
        <v>936.55625336185562</v>
      </c>
    </row>
    <row r="174" spans="1:8" ht="21" customHeight="1">
      <c r="A174" s="337">
        <v>2</v>
      </c>
      <c r="B174" s="93"/>
      <c r="C174" s="92"/>
      <c r="D174" s="103"/>
      <c r="E174" s="94"/>
      <c r="F174" s="104">
        <f>E174/G3</f>
        <v>0</v>
      </c>
      <c r="G174" s="94"/>
      <c r="H174" s="105">
        <f t="shared" ref="H174:H197" si="4">G174+F174</f>
        <v>0</v>
      </c>
    </row>
    <row r="175" spans="1:8" ht="21" customHeight="1">
      <c r="A175" s="337">
        <v>3</v>
      </c>
      <c r="B175" s="93"/>
      <c r="C175" s="94"/>
      <c r="D175" s="103"/>
      <c r="E175" s="94"/>
      <c r="F175" s="104">
        <f>E175/G3</f>
        <v>0</v>
      </c>
      <c r="G175" s="94"/>
      <c r="H175" s="105">
        <f t="shared" si="4"/>
        <v>0</v>
      </c>
    </row>
    <row r="176" spans="1:8" ht="21" customHeight="1">
      <c r="A176" s="337">
        <v>4</v>
      </c>
      <c r="B176" s="93"/>
      <c r="C176" s="94"/>
      <c r="D176" s="103"/>
      <c r="E176" s="94"/>
      <c r="F176" s="104">
        <f>E176/G3</f>
        <v>0</v>
      </c>
      <c r="G176" s="94"/>
      <c r="H176" s="105">
        <f t="shared" si="4"/>
        <v>0</v>
      </c>
    </row>
    <row r="177" spans="1:8" ht="21" customHeight="1">
      <c r="A177" s="337">
        <v>5</v>
      </c>
      <c r="B177" s="93"/>
      <c r="C177" s="94"/>
      <c r="D177" s="103"/>
      <c r="E177" s="94"/>
      <c r="F177" s="104">
        <f>E177/G3</f>
        <v>0</v>
      </c>
      <c r="G177" s="94"/>
      <c r="H177" s="105">
        <f t="shared" si="4"/>
        <v>0</v>
      </c>
    </row>
    <row r="178" spans="1:8" ht="21" customHeight="1">
      <c r="A178" s="337">
        <v>6</v>
      </c>
      <c r="B178" s="94"/>
      <c r="C178" s="94"/>
      <c r="D178" s="94"/>
      <c r="E178" s="94"/>
      <c r="F178" s="104">
        <f>E178/G3</f>
        <v>0</v>
      </c>
      <c r="G178" s="94"/>
      <c r="H178" s="105">
        <f t="shared" si="4"/>
        <v>0</v>
      </c>
    </row>
    <row r="179" spans="1:8" ht="21" customHeight="1">
      <c r="A179" s="337">
        <v>7</v>
      </c>
      <c r="B179" s="94"/>
      <c r="C179" s="94"/>
      <c r="D179" s="94"/>
      <c r="E179" s="94"/>
      <c r="F179" s="104">
        <f>E179/G3</f>
        <v>0</v>
      </c>
      <c r="G179" s="94"/>
      <c r="H179" s="105">
        <f t="shared" si="4"/>
        <v>0</v>
      </c>
    </row>
    <row r="180" spans="1:8" ht="21" customHeight="1">
      <c r="A180" s="337">
        <v>8</v>
      </c>
      <c r="B180" s="94"/>
      <c r="C180" s="94"/>
      <c r="D180" s="94"/>
      <c r="E180" s="94"/>
      <c r="F180" s="104">
        <f>E180/G3</f>
        <v>0</v>
      </c>
      <c r="G180" s="94"/>
      <c r="H180" s="105">
        <f t="shared" si="4"/>
        <v>0</v>
      </c>
    </row>
    <row r="181" spans="1:8" ht="21" customHeight="1">
      <c r="A181" s="337">
        <v>9</v>
      </c>
      <c r="B181" s="94"/>
      <c r="C181" s="94"/>
      <c r="D181" s="94"/>
      <c r="E181" s="94"/>
      <c r="F181" s="104">
        <f>E181/G3</f>
        <v>0</v>
      </c>
      <c r="G181" s="94"/>
      <c r="H181" s="105">
        <f t="shared" si="4"/>
        <v>0</v>
      </c>
    </row>
    <row r="182" spans="1:8" ht="21" customHeight="1">
      <c r="A182" s="337">
        <v>10</v>
      </c>
      <c r="B182" s="94"/>
      <c r="C182" s="94"/>
      <c r="D182" s="94"/>
      <c r="E182" s="94"/>
      <c r="F182" s="104">
        <f>E182/G3</f>
        <v>0</v>
      </c>
      <c r="G182" s="94"/>
      <c r="H182" s="105">
        <f t="shared" si="4"/>
        <v>0</v>
      </c>
    </row>
    <row r="183" spans="1:8" ht="21" customHeight="1">
      <c r="A183" s="337">
        <v>11</v>
      </c>
      <c r="B183" s="94"/>
      <c r="C183" s="94"/>
      <c r="D183" s="94"/>
      <c r="E183" s="94"/>
      <c r="F183" s="104">
        <f>E183/G3</f>
        <v>0</v>
      </c>
      <c r="G183" s="94"/>
      <c r="H183" s="105">
        <f t="shared" si="4"/>
        <v>0</v>
      </c>
    </row>
    <row r="184" spans="1:8" ht="21" customHeight="1">
      <c r="A184" s="337">
        <v>12</v>
      </c>
      <c r="B184" s="94"/>
      <c r="C184" s="94"/>
      <c r="D184" s="94"/>
      <c r="E184" s="94"/>
      <c r="F184" s="104">
        <f>E184/G3</f>
        <v>0</v>
      </c>
      <c r="G184" s="94"/>
      <c r="H184" s="105">
        <f t="shared" si="4"/>
        <v>0</v>
      </c>
    </row>
    <row r="185" spans="1:8" ht="21" customHeight="1">
      <c r="A185" s="337">
        <v>13</v>
      </c>
      <c r="B185" s="94"/>
      <c r="C185" s="94"/>
      <c r="D185" s="94"/>
      <c r="E185" s="94"/>
      <c r="F185" s="104">
        <f>E185/G3</f>
        <v>0</v>
      </c>
      <c r="G185" s="94"/>
      <c r="H185" s="105">
        <f t="shared" si="4"/>
        <v>0</v>
      </c>
    </row>
    <row r="186" spans="1:8" ht="21" customHeight="1">
      <c r="A186" s="337">
        <v>14</v>
      </c>
      <c r="B186" s="94"/>
      <c r="C186" s="94"/>
      <c r="D186" s="94"/>
      <c r="E186" s="94"/>
      <c r="F186" s="104">
        <f>E186/G3</f>
        <v>0</v>
      </c>
      <c r="G186" s="94"/>
      <c r="H186" s="105">
        <f t="shared" si="4"/>
        <v>0</v>
      </c>
    </row>
    <row r="187" spans="1:8" ht="21" customHeight="1">
      <c r="A187" s="337">
        <v>15</v>
      </c>
      <c r="B187" s="94"/>
      <c r="C187" s="94"/>
      <c r="D187" s="94"/>
      <c r="E187" s="94"/>
      <c r="F187" s="104">
        <f>E187/G3</f>
        <v>0</v>
      </c>
      <c r="G187" s="94"/>
      <c r="H187" s="105">
        <f t="shared" si="4"/>
        <v>0</v>
      </c>
    </row>
    <row r="188" spans="1:8" ht="21" customHeight="1">
      <c r="A188" s="337">
        <v>16</v>
      </c>
      <c r="B188" s="94"/>
      <c r="C188" s="94"/>
      <c r="D188" s="94"/>
      <c r="E188" s="94"/>
      <c r="F188" s="104">
        <f>E188/G3</f>
        <v>0</v>
      </c>
      <c r="G188" s="94"/>
      <c r="H188" s="105">
        <f t="shared" si="4"/>
        <v>0</v>
      </c>
    </row>
    <row r="189" spans="1:8" ht="21" customHeight="1">
      <c r="A189" s="337">
        <v>17</v>
      </c>
      <c r="B189" s="94"/>
      <c r="C189" s="94"/>
      <c r="D189" s="94"/>
      <c r="E189" s="94"/>
      <c r="F189" s="104">
        <f>E189/G3</f>
        <v>0</v>
      </c>
      <c r="G189" s="94"/>
      <c r="H189" s="105">
        <f t="shared" si="4"/>
        <v>0</v>
      </c>
    </row>
    <row r="190" spans="1:8" ht="21" customHeight="1">
      <c r="A190" s="337">
        <v>18</v>
      </c>
      <c r="B190" s="94"/>
      <c r="C190" s="94"/>
      <c r="D190" s="94"/>
      <c r="E190" s="94"/>
      <c r="F190" s="104">
        <f>E190/G3</f>
        <v>0</v>
      </c>
      <c r="G190" s="94"/>
      <c r="H190" s="105">
        <f t="shared" si="4"/>
        <v>0</v>
      </c>
    </row>
    <row r="191" spans="1:8" ht="21" customHeight="1">
      <c r="A191" s="337">
        <v>19</v>
      </c>
      <c r="B191" s="94"/>
      <c r="C191" s="94"/>
      <c r="D191" s="94"/>
      <c r="E191" s="94"/>
      <c r="F191" s="104">
        <f>E191/G3</f>
        <v>0</v>
      </c>
      <c r="G191" s="94"/>
      <c r="H191" s="105">
        <f t="shared" si="4"/>
        <v>0</v>
      </c>
    </row>
    <row r="192" spans="1:8" ht="21" customHeight="1">
      <c r="A192" s="337">
        <v>20</v>
      </c>
      <c r="B192" s="94"/>
      <c r="C192" s="94"/>
      <c r="D192" s="94"/>
      <c r="E192" s="94"/>
      <c r="F192" s="104">
        <f>E192/G3</f>
        <v>0</v>
      </c>
      <c r="G192" s="94"/>
      <c r="H192" s="105">
        <f t="shared" si="4"/>
        <v>0</v>
      </c>
    </row>
    <row r="193" spans="1:8" ht="21" customHeight="1">
      <c r="A193" s="337">
        <v>21</v>
      </c>
      <c r="B193" s="94"/>
      <c r="C193" s="94"/>
      <c r="D193" s="94"/>
      <c r="E193" s="94"/>
      <c r="F193" s="104">
        <f>E193/G3</f>
        <v>0</v>
      </c>
      <c r="G193" s="94"/>
      <c r="H193" s="105">
        <f t="shared" si="4"/>
        <v>0</v>
      </c>
    </row>
    <row r="194" spans="1:8" ht="21" customHeight="1">
      <c r="A194" s="337">
        <v>22</v>
      </c>
      <c r="B194" s="94"/>
      <c r="C194" s="94"/>
      <c r="D194" s="94"/>
      <c r="E194" s="94"/>
      <c r="F194" s="104">
        <f>E194/G3</f>
        <v>0</v>
      </c>
      <c r="G194" s="94"/>
      <c r="H194" s="105">
        <f t="shared" si="4"/>
        <v>0</v>
      </c>
    </row>
    <row r="195" spans="1:8" ht="21" customHeight="1">
      <c r="A195" s="337">
        <v>23</v>
      </c>
      <c r="B195" s="94"/>
      <c r="C195" s="94"/>
      <c r="D195" s="94"/>
      <c r="E195" s="94"/>
      <c r="F195" s="104">
        <f>E195/G3</f>
        <v>0</v>
      </c>
      <c r="G195" s="94"/>
      <c r="H195" s="105">
        <f t="shared" si="4"/>
        <v>0</v>
      </c>
    </row>
    <row r="196" spans="1:8" ht="21" customHeight="1">
      <c r="A196" s="337">
        <v>24</v>
      </c>
      <c r="B196" s="94"/>
      <c r="C196" s="94"/>
      <c r="D196" s="94"/>
      <c r="E196" s="94"/>
      <c r="F196" s="104">
        <f>E196/G3</f>
        <v>0</v>
      </c>
      <c r="G196" s="94"/>
      <c r="H196" s="105">
        <f t="shared" si="4"/>
        <v>0</v>
      </c>
    </row>
    <row r="197" spans="1:8" ht="21" customHeight="1">
      <c r="A197" s="337">
        <v>25</v>
      </c>
      <c r="B197" s="94"/>
      <c r="C197" s="94"/>
      <c r="D197" s="94">
        <f>SUM(D173:D196)</f>
        <v>0</v>
      </c>
      <c r="E197" s="94"/>
      <c r="F197" s="104">
        <f>E197/G3</f>
        <v>0</v>
      </c>
      <c r="G197" s="94"/>
      <c r="H197" s="105">
        <f t="shared" si="4"/>
        <v>0</v>
      </c>
    </row>
    <row r="198" spans="1:8" ht="21" customHeight="1" thickBot="1">
      <c r="A198" s="448" t="s">
        <v>4</v>
      </c>
      <c r="B198" s="449"/>
      <c r="C198" s="449"/>
      <c r="D198" s="450"/>
      <c r="E198" s="107">
        <f>SUM(E173:E197)</f>
        <v>3535.5</v>
      </c>
      <c r="F198" s="113">
        <f>E198/G3</f>
        <v>936.55625336185562</v>
      </c>
      <c r="G198" s="107">
        <f>SUM(G173:G197)</f>
        <v>0</v>
      </c>
      <c r="H198" s="114">
        <f>SUM(H173:H197)</f>
        <v>936.55625336185562</v>
      </c>
    </row>
    <row r="200" spans="1:8">
      <c r="A200" s="451" t="s">
        <v>7</v>
      </c>
      <c r="B200" s="451"/>
      <c r="C200" s="452" t="s">
        <v>272</v>
      </c>
      <c r="D200" s="452"/>
      <c r="E200" s="452" t="s">
        <v>273</v>
      </c>
      <c r="F200" s="452"/>
      <c r="G200" s="452"/>
    </row>
    <row r="204" spans="1:8" ht="12" customHeight="1"/>
    <row r="205" spans="1:8" ht="12" customHeight="1"/>
    <row r="206" spans="1:8" ht="12" customHeight="1"/>
    <row r="207" spans="1:8" ht="12" customHeight="1"/>
    <row r="208" spans="1:8" ht="12" customHeight="1"/>
    <row r="209" spans="1:8" ht="12" customHeight="1"/>
    <row r="210" spans="1:8" ht="12" customHeight="1"/>
    <row r="211" spans="1:8" ht="17.25" customHeight="1">
      <c r="A211" s="445" t="s">
        <v>263</v>
      </c>
      <c r="B211" s="445"/>
      <c r="C211" s="445"/>
      <c r="D211" s="445"/>
      <c r="E211" s="445"/>
      <c r="F211" s="360"/>
      <c r="G211" s="360"/>
      <c r="H211" s="360"/>
    </row>
    <row r="212" spans="1:8" ht="17.25" customHeight="1">
      <c r="A212" s="445" t="s">
        <v>586</v>
      </c>
      <c r="B212" s="445"/>
      <c r="C212" s="445"/>
      <c r="D212" s="445"/>
      <c r="E212" s="445"/>
      <c r="F212" s="444" t="s">
        <v>458</v>
      </c>
      <c r="G212" s="444"/>
      <c r="H212" s="360"/>
    </row>
    <row r="213" spans="1:8" ht="17.25" customHeight="1" thickBot="1">
      <c r="A213" s="446" t="s">
        <v>100</v>
      </c>
      <c r="B213" s="446"/>
      <c r="C213" s="446"/>
      <c r="D213" s="446"/>
      <c r="E213" s="446"/>
      <c r="F213" s="360" t="s">
        <v>91</v>
      </c>
      <c r="G213" s="318">
        <f>تسعير!E34</f>
        <v>3.7750001532838997</v>
      </c>
      <c r="H213" s="360"/>
    </row>
    <row r="214" spans="1:8" ht="21" customHeight="1">
      <c r="A214" s="19" t="s">
        <v>0</v>
      </c>
      <c r="B214" s="20" t="s">
        <v>78</v>
      </c>
      <c r="C214" s="20" t="s">
        <v>77</v>
      </c>
      <c r="D214" s="20" t="s">
        <v>80</v>
      </c>
      <c r="E214" s="20" t="s">
        <v>13</v>
      </c>
      <c r="F214" s="20" t="s">
        <v>83</v>
      </c>
      <c r="G214" s="20" t="s">
        <v>14</v>
      </c>
      <c r="H214" s="21" t="s">
        <v>79</v>
      </c>
    </row>
    <row r="215" spans="1:8" ht="21" customHeight="1">
      <c r="A215" s="337">
        <v>1</v>
      </c>
      <c r="B215" s="94" t="s">
        <v>459</v>
      </c>
      <c r="C215" s="362" t="s">
        <v>468</v>
      </c>
      <c r="D215" s="94"/>
      <c r="E215" s="111">
        <v>150</v>
      </c>
      <c r="F215" s="109">
        <f>E215/G3</f>
        <v>39.735097724304438</v>
      </c>
      <c r="G215" s="111"/>
      <c r="H215" s="110">
        <f>G215+F215</f>
        <v>39.735097724304438</v>
      </c>
    </row>
    <row r="216" spans="1:8" ht="21" customHeight="1">
      <c r="A216" s="337">
        <v>2</v>
      </c>
      <c r="B216" s="94" t="s">
        <v>460</v>
      </c>
      <c r="C216" s="96" t="s">
        <v>469</v>
      </c>
      <c r="D216" s="94"/>
      <c r="E216" s="111">
        <v>400</v>
      </c>
      <c r="F216" s="109">
        <f>E216/G3</f>
        <v>105.96026059814518</v>
      </c>
      <c r="G216" s="111"/>
      <c r="H216" s="110">
        <f t="shared" ref="H216:H239" si="5">G216+F216</f>
        <v>105.96026059814518</v>
      </c>
    </row>
    <row r="217" spans="1:8" ht="21" customHeight="1">
      <c r="A217" s="337">
        <v>3</v>
      </c>
      <c r="B217" s="94" t="s">
        <v>461</v>
      </c>
      <c r="C217" s="96" t="s">
        <v>470</v>
      </c>
      <c r="D217" s="94"/>
      <c r="E217" s="111">
        <v>216</v>
      </c>
      <c r="F217" s="109">
        <f>E217/G3</f>
        <v>57.218540722998398</v>
      </c>
      <c r="G217" s="111"/>
      <c r="H217" s="110">
        <f t="shared" si="5"/>
        <v>57.218540722998398</v>
      </c>
    </row>
    <row r="218" spans="1:8" ht="21" customHeight="1">
      <c r="A218" s="337">
        <v>4</v>
      </c>
      <c r="B218" s="94" t="s">
        <v>462</v>
      </c>
      <c r="C218" s="96" t="s">
        <v>471</v>
      </c>
      <c r="D218" s="94"/>
      <c r="E218" s="111">
        <v>120</v>
      </c>
      <c r="F218" s="109">
        <f>E218/G3</f>
        <v>31.788078179443552</v>
      </c>
      <c r="G218" s="111"/>
      <c r="H218" s="110">
        <f t="shared" si="5"/>
        <v>31.788078179443552</v>
      </c>
    </row>
    <row r="219" spans="1:8" ht="21" customHeight="1">
      <c r="A219" s="337">
        <v>5</v>
      </c>
      <c r="B219" s="94" t="s">
        <v>463</v>
      </c>
      <c r="C219" s="96" t="s">
        <v>472</v>
      </c>
      <c r="D219" s="94"/>
      <c r="E219" s="111">
        <v>50</v>
      </c>
      <c r="F219" s="109">
        <f>E219/G3</f>
        <v>13.245032574768148</v>
      </c>
      <c r="G219" s="111"/>
      <c r="H219" s="110">
        <f t="shared" si="5"/>
        <v>13.245032574768148</v>
      </c>
    </row>
    <row r="220" spans="1:8" ht="21" customHeight="1">
      <c r="A220" s="337">
        <v>6</v>
      </c>
      <c r="B220" s="94" t="s">
        <v>464</v>
      </c>
      <c r="C220" s="96" t="s">
        <v>473</v>
      </c>
      <c r="D220" s="94"/>
      <c r="E220" s="111">
        <v>70</v>
      </c>
      <c r="F220" s="109">
        <f>E220/G3</f>
        <v>18.543045604675406</v>
      </c>
      <c r="G220" s="111"/>
      <c r="H220" s="110">
        <f t="shared" si="5"/>
        <v>18.543045604675406</v>
      </c>
    </row>
    <row r="221" spans="1:8" ht="21" customHeight="1">
      <c r="A221" s="337">
        <v>7</v>
      </c>
      <c r="B221" s="94" t="s">
        <v>463</v>
      </c>
      <c r="C221" s="96" t="s">
        <v>474</v>
      </c>
      <c r="D221" s="94"/>
      <c r="E221" s="111">
        <v>15</v>
      </c>
      <c r="F221" s="109">
        <f>E221/G3</f>
        <v>3.973509772430444</v>
      </c>
      <c r="G221" s="111"/>
      <c r="H221" s="110">
        <f t="shared" si="5"/>
        <v>3.973509772430444</v>
      </c>
    </row>
    <row r="222" spans="1:8" ht="21" customHeight="1">
      <c r="A222" s="337">
        <v>8</v>
      </c>
      <c r="B222" s="94" t="s">
        <v>465</v>
      </c>
      <c r="C222" s="96" t="s">
        <v>475</v>
      </c>
      <c r="D222" s="94"/>
      <c r="E222" s="111">
        <v>36</v>
      </c>
      <c r="F222" s="109">
        <f>E222/G3</f>
        <v>9.5364234538330663</v>
      </c>
      <c r="G222" s="111"/>
      <c r="H222" s="110">
        <f t="shared" si="5"/>
        <v>9.5364234538330663</v>
      </c>
    </row>
    <row r="223" spans="1:8" ht="21" customHeight="1">
      <c r="A223" s="337">
        <v>9</v>
      </c>
      <c r="B223" s="94" t="s">
        <v>465</v>
      </c>
      <c r="C223" s="96" t="s">
        <v>476</v>
      </c>
      <c r="D223" s="94"/>
      <c r="E223" s="111">
        <v>154</v>
      </c>
      <c r="F223" s="109">
        <f>E223/G3</f>
        <v>40.794700330285892</v>
      </c>
      <c r="G223" s="111"/>
      <c r="H223" s="110">
        <f t="shared" si="5"/>
        <v>40.794700330285892</v>
      </c>
    </row>
    <row r="224" spans="1:8" ht="21" customHeight="1">
      <c r="A224" s="337">
        <v>10</v>
      </c>
      <c r="B224" s="94" t="s">
        <v>465</v>
      </c>
      <c r="C224" s="373" t="s">
        <v>479</v>
      </c>
      <c r="D224" s="94"/>
      <c r="E224" s="111">
        <v>47</v>
      </c>
      <c r="F224" s="109">
        <f>E224/G3</f>
        <v>12.450330620282058</v>
      </c>
      <c r="G224" s="111"/>
      <c r="H224" s="110">
        <f t="shared" si="5"/>
        <v>12.450330620282058</v>
      </c>
    </row>
    <row r="225" spans="1:8" ht="21" customHeight="1">
      <c r="A225" s="337">
        <v>11</v>
      </c>
      <c r="B225" s="94" t="s">
        <v>466</v>
      </c>
      <c r="C225" s="96" t="s">
        <v>477</v>
      </c>
      <c r="D225" s="94"/>
      <c r="E225" s="111">
        <v>26</v>
      </c>
      <c r="F225" s="109">
        <f>E225/G3</f>
        <v>6.8874169388794364</v>
      </c>
      <c r="G225" s="111"/>
      <c r="H225" s="110">
        <f t="shared" si="5"/>
        <v>6.8874169388794364</v>
      </c>
    </row>
    <row r="226" spans="1:8" ht="21" customHeight="1">
      <c r="A226" s="337">
        <v>12</v>
      </c>
      <c r="B226" s="94" t="s">
        <v>467</v>
      </c>
      <c r="C226" s="96" t="s">
        <v>478</v>
      </c>
      <c r="D226" s="94"/>
      <c r="E226" s="111">
        <v>100</v>
      </c>
      <c r="F226" s="109">
        <f>E226/G3</f>
        <v>26.490065149536296</v>
      </c>
      <c r="G226" s="111"/>
      <c r="H226" s="110">
        <f t="shared" si="5"/>
        <v>26.490065149536296</v>
      </c>
    </row>
    <row r="227" spans="1:8" ht="21" customHeight="1">
      <c r="A227" s="337">
        <v>13</v>
      </c>
      <c r="B227" s="94"/>
      <c r="C227" s="96"/>
      <c r="D227" s="94">
        <v>12</v>
      </c>
      <c r="E227" s="111"/>
      <c r="F227" s="109">
        <f>E227/G3</f>
        <v>0</v>
      </c>
      <c r="G227" s="111"/>
      <c r="H227" s="110">
        <f t="shared" si="5"/>
        <v>0</v>
      </c>
    </row>
    <row r="228" spans="1:8" ht="21" customHeight="1">
      <c r="A228" s="337">
        <v>14</v>
      </c>
      <c r="B228" s="94"/>
      <c r="C228" s="94"/>
      <c r="D228" s="94"/>
      <c r="E228" s="111"/>
      <c r="F228" s="109">
        <f>E228/G3</f>
        <v>0</v>
      </c>
      <c r="G228" s="111"/>
      <c r="H228" s="110">
        <f t="shared" si="5"/>
        <v>0</v>
      </c>
    </row>
    <row r="229" spans="1:8" ht="21" customHeight="1">
      <c r="A229" s="337">
        <v>15</v>
      </c>
      <c r="B229" s="94"/>
      <c r="C229" s="94"/>
      <c r="D229" s="94"/>
      <c r="E229" s="111"/>
      <c r="F229" s="109">
        <f>E229/G3</f>
        <v>0</v>
      </c>
      <c r="G229" s="111"/>
      <c r="H229" s="110">
        <f t="shared" si="5"/>
        <v>0</v>
      </c>
    </row>
    <row r="230" spans="1:8" ht="21" customHeight="1">
      <c r="A230" s="337">
        <v>16</v>
      </c>
      <c r="B230" s="94"/>
      <c r="C230" s="94"/>
      <c r="D230" s="94"/>
      <c r="E230" s="111"/>
      <c r="F230" s="109">
        <f>E230/G3</f>
        <v>0</v>
      </c>
      <c r="G230" s="111"/>
      <c r="H230" s="110">
        <f t="shared" si="5"/>
        <v>0</v>
      </c>
    </row>
    <row r="231" spans="1:8" ht="21" customHeight="1">
      <c r="A231" s="337">
        <v>17</v>
      </c>
      <c r="B231" s="94"/>
      <c r="C231" s="94"/>
      <c r="D231" s="94"/>
      <c r="E231" s="111"/>
      <c r="F231" s="109">
        <f>E231/G3</f>
        <v>0</v>
      </c>
      <c r="G231" s="111"/>
      <c r="H231" s="110">
        <f t="shared" si="5"/>
        <v>0</v>
      </c>
    </row>
    <row r="232" spans="1:8" ht="21" customHeight="1">
      <c r="A232" s="337">
        <v>18</v>
      </c>
      <c r="B232" s="94"/>
      <c r="C232" s="94"/>
      <c r="D232" s="94"/>
      <c r="E232" s="111"/>
      <c r="F232" s="109">
        <f>E232/G3</f>
        <v>0</v>
      </c>
      <c r="G232" s="111"/>
      <c r="H232" s="110">
        <f t="shared" si="5"/>
        <v>0</v>
      </c>
    </row>
    <row r="233" spans="1:8" ht="21" customHeight="1">
      <c r="A233" s="337">
        <v>19</v>
      </c>
      <c r="B233" s="94"/>
      <c r="C233" s="94"/>
      <c r="D233" s="94"/>
      <c r="E233" s="111"/>
      <c r="F233" s="109">
        <f>E233/G3</f>
        <v>0</v>
      </c>
      <c r="G233" s="111"/>
      <c r="H233" s="110">
        <f t="shared" si="5"/>
        <v>0</v>
      </c>
    </row>
    <row r="234" spans="1:8" ht="21" customHeight="1">
      <c r="A234" s="337">
        <v>20</v>
      </c>
      <c r="B234" s="94"/>
      <c r="C234" s="94"/>
      <c r="D234" s="94"/>
      <c r="E234" s="111"/>
      <c r="F234" s="109">
        <f>E234/G3</f>
        <v>0</v>
      </c>
      <c r="G234" s="111"/>
      <c r="H234" s="110">
        <f t="shared" si="5"/>
        <v>0</v>
      </c>
    </row>
    <row r="235" spans="1:8" ht="21" customHeight="1">
      <c r="A235" s="337">
        <v>21</v>
      </c>
      <c r="B235" s="94"/>
      <c r="C235" s="94"/>
      <c r="D235" s="94"/>
      <c r="E235" s="111"/>
      <c r="F235" s="109">
        <f>E235/G3</f>
        <v>0</v>
      </c>
      <c r="G235" s="111"/>
      <c r="H235" s="110">
        <f t="shared" si="5"/>
        <v>0</v>
      </c>
    </row>
    <row r="236" spans="1:8" ht="21" customHeight="1">
      <c r="A236" s="337">
        <v>22</v>
      </c>
      <c r="B236" s="94"/>
      <c r="C236" s="94"/>
      <c r="D236" s="94"/>
      <c r="E236" s="111"/>
      <c r="F236" s="109">
        <f>E236/G3</f>
        <v>0</v>
      </c>
      <c r="G236" s="111"/>
      <c r="H236" s="110">
        <f t="shared" si="5"/>
        <v>0</v>
      </c>
    </row>
    <row r="237" spans="1:8" ht="21" customHeight="1">
      <c r="A237" s="337">
        <v>23</v>
      </c>
      <c r="B237" s="94"/>
      <c r="C237" s="94"/>
      <c r="D237" s="94"/>
      <c r="E237" s="111"/>
      <c r="F237" s="109">
        <f>E237/G3</f>
        <v>0</v>
      </c>
      <c r="G237" s="111"/>
      <c r="H237" s="110">
        <f t="shared" si="5"/>
        <v>0</v>
      </c>
    </row>
    <row r="238" spans="1:8" ht="21" customHeight="1">
      <c r="A238" s="337">
        <v>24</v>
      </c>
      <c r="B238" s="94"/>
      <c r="C238" s="94"/>
      <c r="D238" s="94"/>
      <c r="E238" s="111"/>
      <c r="F238" s="109">
        <f>E238/G3</f>
        <v>0</v>
      </c>
      <c r="G238" s="111"/>
      <c r="H238" s="110">
        <f t="shared" si="5"/>
        <v>0</v>
      </c>
    </row>
    <row r="239" spans="1:8" ht="21" customHeight="1">
      <c r="A239" s="337">
        <v>25</v>
      </c>
      <c r="B239" s="94"/>
      <c r="C239" s="94"/>
      <c r="D239" s="94"/>
      <c r="E239" s="111"/>
      <c r="F239" s="109">
        <f>E239/G3</f>
        <v>0</v>
      </c>
      <c r="G239" s="111"/>
      <c r="H239" s="110">
        <f t="shared" si="5"/>
        <v>0</v>
      </c>
    </row>
    <row r="240" spans="1:8" ht="21" customHeight="1" thickBot="1">
      <c r="A240" s="448" t="s">
        <v>4</v>
      </c>
      <c r="B240" s="449"/>
      <c r="C240" s="449"/>
      <c r="D240" s="450"/>
      <c r="E240" s="113">
        <f>SUM(E215:E239)</f>
        <v>1384</v>
      </c>
      <c r="F240" s="113">
        <f>E240/G3</f>
        <v>366.62250166958233</v>
      </c>
      <c r="G240" s="113">
        <f>SUM(G215:G239)</f>
        <v>0</v>
      </c>
      <c r="H240" s="114">
        <f>SUM(H215:H239)</f>
        <v>366.62250166958228</v>
      </c>
    </row>
    <row r="242" spans="1:8">
      <c r="A242" s="451" t="s">
        <v>7</v>
      </c>
      <c r="B242" s="451"/>
      <c r="C242" s="452" t="s">
        <v>272</v>
      </c>
      <c r="D242" s="452"/>
      <c r="E242" s="452" t="s">
        <v>273</v>
      </c>
      <c r="F242" s="452"/>
      <c r="G242" s="452"/>
    </row>
    <row r="253" spans="1:8" ht="17.25" customHeight="1">
      <c r="A253" s="445" t="s">
        <v>263</v>
      </c>
      <c r="B253" s="447"/>
      <c r="C253" s="447"/>
      <c r="D253" s="447"/>
      <c r="E253" s="447"/>
      <c r="F253" s="339"/>
      <c r="G253" s="339"/>
      <c r="H253" s="339"/>
    </row>
    <row r="254" spans="1:8" ht="17.25" customHeight="1">
      <c r="A254" s="445" t="s">
        <v>586</v>
      </c>
      <c r="B254" s="447"/>
      <c r="C254" s="447"/>
      <c r="D254" s="447"/>
      <c r="E254" s="447"/>
      <c r="F254" s="444" t="s">
        <v>480</v>
      </c>
      <c r="G254" s="444"/>
      <c r="H254" s="339"/>
    </row>
    <row r="255" spans="1:8" ht="17.25" customHeight="1" thickBot="1">
      <c r="A255" s="446" t="s">
        <v>101</v>
      </c>
      <c r="B255" s="446"/>
      <c r="C255" s="446"/>
      <c r="D255" s="446"/>
      <c r="E255" s="446"/>
      <c r="F255" s="360" t="s">
        <v>91</v>
      </c>
      <c r="G255" s="318">
        <f>تسعير!E34</f>
        <v>3.7750001532838997</v>
      </c>
      <c r="H255" s="339"/>
    </row>
    <row r="256" spans="1:8" ht="21" customHeight="1">
      <c r="A256" s="19" t="s">
        <v>0</v>
      </c>
      <c r="B256" s="20" t="s">
        <v>78</v>
      </c>
      <c r="C256" s="20" t="s">
        <v>77</v>
      </c>
      <c r="D256" s="20" t="s">
        <v>80</v>
      </c>
      <c r="E256" s="20" t="s">
        <v>13</v>
      </c>
      <c r="F256" s="20" t="s">
        <v>83</v>
      </c>
      <c r="G256" s="20" t="s">
        <v>14</v>
      </c>
      <c r="H256" s="21" t="s">
        <v>79</v>
      </c>
    </row>
    <row r="257" spans="1:8" ht="21" customHeight="1">
      <c r="A257" s="337">
        <v>1</v>
      </c>
      <c r="B257" s="94" t="s">
        <v>481</v>
      </c>
      <c r="C257" s="316" t="s">
        <v>487</v>
      </c>
      <c r="D257" s="94"/>
      <c r="E257" s="111">
        <v>200</v>
      </c>
      <c r="F257" s="109">
        <f>E257/G3</f>
        <v>52.980130299072592</v>
      </c>
      <c r="G257" s="111"/>
      <c r="H257" s="110">
        <f>G257+F257</f>
        <v>52.980130299072592</v>
      </c>
    </row>
    <row r="258" spans="1:8" ht="21" customHeight="1">
      <c r="A258" s="337">
        <v>2</v>
      </c>
      <c r="B258" s="94" t="s">
        <v>482</v>
      </c>
      <c r="C258" s="94" t="s">
        <v>490</v>
      </c>
      <c r="D258" s="94"/>
      <c r="E258" s="111">
        <v>600</v>
      </c>
      <c r="F258" s="109">
        <f>E258/G3</f>
        <v>158.94039089721775</v>
      </c>
      <c r="G258" s="111"/>
      <c r="H258" s="110">
        <f t="shared" ref="H258:H281" si="6">G258+F258</f>
        <v>158.94039089721775</v>
      </c>
    </row>
    <row r="259" spans="1:8" ht="21" customHeight="1">
      <c r="A259" s="337">
        <v>3</v>
      </c>
      <c r="B259" s="94" t="s">
        <v>483</v>
      </c>
      <c r="C259" s="94" t="s">
        <v>491</v>
      </c>
      <c r="D259" s="94"/>
      <c r="E259" s="111">
        <v>300</v>
      </c>
      <c r="F259" s="109">
        <f>E259/G3</f>
        <v>79.470195448608877</v>
      </c>
      <c r="G259" s="111"/>
      <c r="H259" s="110">
        <f t="shared" si="6"/>
        <v>79.470195448608877</v>
      </c>
    </row>
    <row r="260" spans="1:8" ht="21" customHeight="1">
      <c r="A260" s="337">
        <v>4</v>
      </c>
      <c r="B260" s="94" t="s">
        <v>484</v>
      </c>
      <c r="C260" s="94" t="s">
        <v>492</v>
      </c>
      <c r="D260" s="94"/>
      <c r="E260" s="111">
        <v>600</v>
      </c>
      <c r="F260" s="109">
        <f>E260/G3</f>
        <v>158.94039089721775</v>
      </c>
      <c r="G260" s="111"/>
      <c r="H260" s="110">
        <f t="shared" si="6"/>
        <v>158.94039089721775</v>
      </c>
    </row>
    <row r="261" spans="1:8" ht="21" customHeight="1">
      <c r="A261" s="337">
        <v>5</v>
      </c>
      <c r="B261" s="94" t="s">
        <v>485</v>
      </c>
      <c r="C261" s="94" t="s">
        <v>493</v>
      </c>
      <c r="D261" s="94"/>
      <c r="E261" s="111">
        <v>600</v>
      </c>
      <c r="F261" s="109">
        <f>E261/G3</f>
        <v>158.94039089721775</v>
      </c>
      <c r="G261" s="111"/>
      <c r="H261" s="110">
        <f t="shared" si="6"/>
        <v>158.94039089721775</v>
      </c>
    </row>
    <row r="262" spans="1:8" ht="30" customHeight="1">
      <c r="A262" s="337">
        <v>6</v>
      </c>
      <c r="B262" s="94" t="s">
        <v>483</v>
      </c>
      <c r="C262" s="316" t="s">
        <v>488</v>
      </c>
      <c r="D262" s="94"/>
      <c r="E262" s="111">
        <v>51</v>
      </c>
      <c r="F262" s="109">
        <f>E262/G3</f>
        <v>13.509933226263509</v>
      </c>
      <c r="G262" s="111"/>
      <c r="H262" s="110">
        <f t="shared" si="6"/>
        <v>13.509933226263509</v>
      </c>
    </row>
    <row r="263" spans="1:8" ht="30" customHeight="1">
      <c r="A263" s="337">
        <v>7</v>
      </c>
      <c r="B263" s="94" t="s">
        <v>486</v>
      </c>
      <c r="C263" s="316" t="s">
        <v>489</v>
      </c>
      <c r="D263" s="94"/>
      <c r="E263" s="111">
        <v>900</v>
      </c>
      <c r="F263" s="109">
        <f>E263/G3</f>
        <v>238.41058634582666</v>
      </c>
      <c r="G263" s="111"/>
      <c r="H263" s="110">
        <f t="shared" si="6"/>
        <v>238.41058634582666</v>
      </c>
    </row>
    <row r="264" spans="1:8" ht="30" customHeight="1">
      <c r="A264" s="337">
        <v>8</v>
      </c>
      <c r="B264" s="94" t="s">
        <v>483</v>
      </c>
      <c r="C264" s="316" t="s">
        <v>494</v>
      </c>
      <c r="D264" s="94"/>
      <c r="E264" s="111">
        <v>572</v>
      </c>
      <c r="F264" s="109">
        <f>E264/G3</f>
        <v>151.52317265534759</v>
      </c>
      <c r="G264" s="111"/>
      <c r="H264" s="110">
        <f t="shared" si="6"/>
        <v>151.52317265534759</v>
      </c>
    </row>
    <row r="265" spans="1:8" ht="21" customHeight="1">
      <c r="A265" s="337">
        <v>9</v>
      </c>
      <c r="B265" s="94"/>
      <c r="C265" s="94" t="s">
        <v>598</v>
      </c>
      <c r="D265" s="94"/>
      <c r="E265" s="111"/>
      <c r="F265" s="109">
        <f>E265/G3</f>
        <v>0</v>
      </c>
      <c r="G265" s="111"/>
      <c r="H265" s="110">
        <f t="shared" si="6"/>
        <v>0</v>
      </c>
    </row>
    <row r="266" spans="1:8" ht="21" customHeight="1">
      <c r="A266" s="337">
        <v>10</v>
      </c>
      <c r="B266" s="94"/>
      <c r="C266" s="94"/>
      <c r="D266" s="94">
        <v>16</v>
      </c>
      <c r="E266" s="111"/>
      <c r="F266" s="109">
        <f>E266/G3</f>
        <v>0</v>
      </c>
      <c r="G266" s="111"/>
      <c r="H266" s="110">
        <f t="shared" si="6"/>
        <v>0</v>
      </c>
    </row>
    <row r="267" spans="1:8" ht="21" customHeight="1">
      <c r="A267" s="337">
        <v>11</v>
      </c>
      <c r="B267" s="94"/>
      <c r="C267" s="94"/>
      <c r="D267" s="94"/>
      <c r="E267" s="111"/>
      <c r="F267" s="109">
        <f>E267/G3</f>
        <v>0</v>
      </c>
      <c r="G267" s="111"/>
      <c r="H267" s="110">
        <f t="shared" si="6"/>
        <v>0</v>
      </c>
    </row>
    <row r="268" spans="1:8" ht="21" customHeight="1">
      <c r="A268" s="337">
        <v>12</v>
      </c>
      <c r="B268" s="94"/>
      <c r="C268" s="94"/>
      <c r="D268" s="94"/>
      <c r="E268" s="111"/>
      <c r="F268" s="109">
        <f>E268/G3</f>
        <v>0</v>
      </c>
      <c r="G268" s="111"/>
      <c r="H268" s="110">
        <f t="shared" si="6"/>
        <v>0</v>
      </c>
    </row>
    <row r="269" spans="1:8" ht="21" customHeight="1">
      <c r="A269" s="337">
        <v>13</v>
      </c>
      <c r="B269" s="94"/>
      <c r="C269" s="94"/>
      <c r="D269" s="94"/>
      <c r="E269" s="111"/>
      <c r="F269" s="109">
        <f>E269/G3</f>
        <v>0</v>
      </c>
      <c r="G269" s="111"/>
      <c r="H269" s="110">
        <f t="shared" si="6"/>
        <v>0</v>
      </c>
    </row>
    <row r="270" spans="1:8" ht="21" customHeight="1">
      <c r="A270" s="337">
        <v>14</v>
      </c>
      <c r="B270" s="94"/>
      <c r="C270" s="94"/>
      <c r="D270" s="94"/>
      <c r="E270" s="111"/>
      <c r="F270" s="109">
        <f>E270/G3</f>
        <v>0</v>
      </c>
      <c r="G270" s="111"/>
      <c r="H270" s="110">
        <f t="shared" si="6"/>
        <v>0</v>
      </c>
    </row>
    <row r="271" spans="1:8" ht="21" customHeight="1">
      <c r="A271" s="337">
        <v>15</v>
      </c>
      <c r="B271" s="94"/>
      <c r="C271" s="94"/>
      <c r="D271" s="94"/>
      <c r="E271" s="111"/>
      <c r="F271" s="109">
        <f>E271/G3</f>
        <v>0</v>
      </c>
      <c r="G271" s="111"/>
      <c r="H271" s="110">
        <f t="shared" si="6"/>
        <v>0</v>
      </c>
    </row>
    <row r="272" spans="1:8" ht="21" customHeight="1">
      <c r="A272" s="337">
        <v>16</v>
      </c>
      <c r="B272" s="94"/>
      <c r="C272" s="94"/>
      <c r="D272" s="94"/>
      <c r="E272" s="111"/>
      <c r="F272" s="109">
        <f>E272/G3</f>
        <v>0</v>
      </c>
      <c r="G272" s="111"/>
      <c r="H272" s="110">
        <f t="shared" si="6"/>
        <v>0</v>
      </c>
    </row>
    <row r="273" spans="1:8" ht="21" customHeight="1">
      <c r="A273" s="337">
        <v>17</v>
      </c>
      <c r="B273" s="94"/>
      <c r="C273" s="94"/>
      <c r="D273" s="94"/>
      <c r="E273" s="111"/>
      <c r="F273" s="109">
        <f>E273/G3</f>
        <v>0</v>
      </c>
      <c r="G273" s="111"/>
      <c r="H273" s="110">
        <f t="shared" si="6"/>
        <v>0</v>
      </c>
    </row>
    <row r="274" spans="1:8" ht="21" customHeight="1">
      <c r="A274" s="337">
        <v>18</v>
      </c>
      <c r="B274" s="94"/>
      <c r="C274" s="94"/>
      <c r="D274" s="94"/>
      <c r="E274" s="111"/>
      <c r="F274" s="109">
        <f>E274/G3</f>
        <v>0</v>
      </c>
      <c r="G274" s="111"/>
      <c r="H274" s="110">
        <f t="shared" si="6"/>
        <v>0</v>
      </c>
    </row>
    <row r="275" spans="1:8" ht="21" customHeight="1">
      <c r="A275" s="337">
        <v>19</v>
      </c>
      <c r="B275" s="94"/>
      <c r="C275" s="94"/>
      <c r="D275" s="94"/>
      <c r="E275" s="111"/>
      <c r="F275" s="109">
        <f>E275/G3</f>
        <v>0</v>
      </c>
      <c r="G275" s="111"/>
      <c r="H275" s="110">
        <f t="shared" si="6"/>
        <v>0</v>
      </c>
    </row>
    <row r="276" spans="1:8" ht="21" customHeight="1">
      <c r="A276" s="337">
        <v>20</v>
      </c>
      <c r="B276" s="94"/>
      <c r="C276" s="94"/>
      <c r="D276" s="94"/>
      <c r="E276" s="111"/>
      <c r="F276" s="109">
        <f>E276/G3</f>
        <v>0</v>
      </c>
      <c r="G276" s="111"/>
      <c r="H276" s="110">
        <f t="shared" si="6"/>
        <v>0</v>
      </c>
    </row>
    <row r="277" spans="1:8" ht="21" customHeight="1">
      <c r="A277" s="337">
        <v>21</v>
      </c>
      <c r="B277" s="94"/>
      <c r="C277" s="94"/>
      <c r="D277" s="94"/>
      <c r="E277" s="111"/>
      <c r="F277" s="109">
        <f>E277/G3</f>
        <v>0</v>
      </c>
      <c r="G277" s="111"/>
      <c r="H277" s="110">
        <f t="shared" si="6"/>
        <v>0</v>
      </c>
    </row>
    <row r="278" spans="1:8" ht="21" customHeight="1">
      <c r="A278" s="337">
        <v>22</v>
      </c>
      <c r="B278" s="94"/>
      <c r="C278" s="94"/>
      <c r="D278" s="94"/>
      <c r="E278" s="111"/>
      <c r="F278" s="109">
        <f>E278/G3</f>
        <v>0</v>
      </c>
      <c r="G278" s="111"/>
      <c r="H278" s="110">
        <f t="shared" si="6"/>
        <v>0</v>
      </c>
    </row>
    <row r="279" spans="1:8" ht="21" customHeight="1">
      <c r="A279" s="337">
        <v>23</v>
      </c>
      <c r="B279" s="94"/>
      <c r="C279" s="94"/>
      <c r="D279" s="94"/>
      <c r="E279" s="111"/>
      <c r="F279" s="109">
        <f>E279/G3</f>
        <v>0</v>
      </c>
      <c r="G279" s="111"/>
      <c r="H279" s="110">
        <f t="shared" si="6"/>
        <v>0</v>
      </c>
    </row>
    <row r="280" spans="1:8" ht="21" customHeight="1">
      <c r="A280" s="337">
        <v>24</v>
      </c>
      <c r="B280" s="94"/>
      <c r="C280" s="94"/>
      <c r="D280" s="94"/>
      <c r="E280" s="111"/>
      <c r="F280" s="109">
        <f>E280/G3</f>
        <v>0</v>
      </c>
      <c r="G280" s="111"/>
      <c r="H280" s="110">
        <f t="shared" si="6"/>
        <v>0</v>
      </c>
    </row>
    <row r="281" spans="1:8" ht="21" customHeight="1">
      <c r="A281" s="337">
        <v>25</v>
      </c>
      <c r="B281" s="94"/>
      <c r="C281" s="381" t="s">
        <v>521</v>
      </c>
      <c r="D281" s="94">
        <f>SUM(D257:D280)</f>
        <v>16</v>
      </c>
      <c r="E281" s="111"/>
      <c r="F281" s="109">
        <f>E281/G3</f>
        <v>0</v>
      </c>
      <c r="G281" s="111"/>
      <c r="H281" s="110">
        <f t="shared" si="6"/>
        <v>0</v>
      </c>
    </row>
    <row r="282" spans="1:8" ht="21" customHeight="1" thickBot="1">
      <c r="A282" s="448" t="s">
        <v>4</v>
      </c>
      <c r="B282" s="449"/>
      <c r="C282" s="449"/>
      <c r="D282" s="450"/>
      <c r="E282" s="113">
        <f>SUM(E257:E281)</f>
        <v>3823</v>
      </c>
      <c r="F282" s="113">
        <f>E282/G3</f>
        <v>1012.7151906667725</v>
      </c>
      <c r="G282" s="113">
        <f>SUM(G257:G281)</f>
        <v>0</v>
      </c>
      <c r="H282" s="114">
        <f>SUM(H257:H281)</f>
        <v>1012.7151906667724</v>
      </c>
    </row>
    <row r="284" spans="1:8">
      <c r="A284" s="451" t="s">
        <v>7</v>
      </c>
      <c r="B284" s="451"/>
      <c r="C284" s="452" t="s">
        <v>272</v>
      </c>
      <c r="D284" s="452"/>
      <c r="E284" s="452" t="s">
        <v>273</v>
      </c>
      <c r="F284" s="452"/>
      <c r="G284" s="452"/>
    </row>
    <row r="286" spans="1:8" ht="14.25" customHeight="1"/>
    <row r="287" spans="1:8" ht="14.25" customHeight="1"/>
    <row r="288" spans="1:8" ht="14.25" customHeight="1"/>
    <row r="289" spans="1:8" ht="14.25" customHeight="1"/>
    <row r="290" spans="1:8" ht="14.25" customHeight="1"/>
    <row r="291" spans="1:8" ht="14.25" customHeight="1"/>
    <row r="292" spans="1:8" ht="14.25" customHeight="1"/>
    <row r="293" spans="1:8" ht="6.75" customHeight="1"/>
    <row r="294" spans="1:8" ht="6.75" customHeight="1"/>
    <row r="295" spans="1:8" ht="17.25" customHeight="1">
      <c r="A295" s="445" t="s">
        <v>263</v>
      </c>
      <c r="B295" s="453"/>
      <c r="C295" s="453"/>
      <c r="D295" s="453"/>
      <c r="E295" s="453"/>
    </row>
    <row r="296" spans="1:8" ht="17.25" customHeight="1">
      <c r="A296" s="445" t="s">
        <v>586</v>
      </c>
      <c r="B296" s="453"/>
      <c r="C296" s="453"/>
      <c r="D296" s="453"/>
      <c r="E296" s="453"/>
      <c r="F296" s="456" t="s">
        <v>406</v>
      </c>
      <c r="G296" s="456"/>
    </row>
    <row r="297" spans="1:8" ht="17.25" customHeight="1" thickBot="1">
      <c r="A297" s="446" t="s">
        <v>102</v>
      </c>
      <c r="B297" s="446"/>
      <c r="C297" s="446"/>
      <c r="D297" s="446"/>
      <c r="E297" s="446"/>
      <c r="F297" s="334" t="s">
        <v>91</v>
      </c>
      <c r="G297" s="312">
        <f>تسعير!E34</f>
        <v>3.7750001532838997</v>
      </c>
    </row>
    <row r="298" spans="1:8" ht="22.5" customHeight="1">
      <c r="A298" s="19" t="s">
        <v>0</v>
      </c>
      <c r="B298" s="20" t="s">
        <v>78</v>
      </c>
      <c r="C298" s="341" t="s">
        <v>77</v>
      </c>
      <c r="D298" s="20" t="s">
        <v>80</v>
      </c>
      <c r="E298" s="20" t="s">
        <v>13</v>
      </c>
      <c r="F298" s="335" t="s">
        <v>83</v>
      </c>
      <c r="G298" s="335" t="s">
        <v>14</v>
      </c>
      <c r="H298" s="336" t="s">
        <v>79</v>
      </c>
    </row>
    <row r="299" spans="1:8" ht="22.5" customHeight="1">
      <c r="A299" s="337">
        <v>1</v>
      </c>
      <c r="B299" s="93" t="s">
        <v>384</v>
      </c>
      <c r="C299" s="95" t="s">
        <v>385</v>
      </c>
      <c r="D299" s="103"/>
      <c r="E299" s="119">
        <v>1043</v>
      </c>
      <c r="F299" s="104">
        <f>E299/G3</f>
        <v>276.29137950966356</v>
      </c>
      <c r="G299" s="94"/>
      <c r="H299" s="105">
        <f>G299+F299</f>
        <v>276.29137950966356</v>
      </c>
    </row>
    <row r="300" spans="1:8" ht="22.5" customHeight="1">
      <c r="A300" s="337">
        <v>2</v>
      </c>
      <c r="B300" s="93" t="s">
        <v>246</v>
      </c>
      <c r="C300" s="95" t="s">
        <v>386</v>
      </c>
      <c r="D300" s="103"/>
      <c r="E300" s="119">
        <v>1055</v>
      </c>
      <c r="F300" s="104">
        <f>E300/G3</f>
        <v>279.4701873276079</v>
      </c>
      <c r="G300" s="94"/>
      <c r="H300" s="105">
        <f t="shared" ref="H300:H323" si="7">G300+F300</f>
        <v>279.4701873276079</v>
      </c>
    </row>
    <row r="301" spans="1:8" ht="22.5" customHeight="1">
      <c r="A301" s="337">
        <v>3</v>
      </c>
      <c r="B301" s="93" t="s">
        <v>387</v>
      </c>
      <c r="C301" s="95" t="s">
        <v>388</v>
      </c>
      <c r="D301" s="103"/>
      <c r="E301" s="119">
        <v>793</v>
      </c>
      <c r="F301" s="104">
        <f>E301/G3</f>
        <v>210.06621663582283</v>
      </c>
      <c r="G301" s="94"/>
      <c r="H301" s="105">
        <f t="shared" si="7"/>
        <v>210.06621663582283</v>
      </c>
    </row>
    <row r="302" spans="1:8" ht="22.5" customHeight="1">
      <c r="A302" s="337">
        <v>4</v>
      </c>
      <c r="B302" s="93" t="s">
        <v>245</v>
      </c>
      <c r="C302" s="95" t="s">
        <v>389</v>
      </c>
      <c r="D302" s="103"/>
      <c r="E302" s="119">
        <v>21</v>
      </c>
      <c r="F302" s="104">
        <f>E302/G3</f>
        <v>5.5629136814026214</v>
      </c>
      <c r="G302" s="94"/>
      <c r="H302" s="105">
        <f t="shared" si="7"/>
        <v>5.5629136814026214</v>
      </c>
    </row>
    <row r="303" spans="1:8" ht="22.5" customHeight="1">
      <c r="A303" s="337">
        <v>5</v>
      </c>
      <c r="B303" s="93" t="s">
        <v>373</v>
      </c>
      <c r="C303" s="95" t="s">
        <v>390</v>
      </c>
      <c r="D303" s="103"/>
      <c r="E303" s="119">
        <v>1128</v>
      </c>
      <c r="F303" s="104">
        <f>E303/G3</f>
        <v>298.80793488676937</v>
      </c>
      <c r="G303" s="94"/>
      <c r="H303" s="105">
        <f t="shared" si="7"/>
        <v>298.80793488676937</v>
      </c>
    </row>
    <row r="304" spans="1:8" ht="22.5" customHeight="1">
      <c r="A304" s="337">
        <v>6</v>
      </c>
      <c r="B304" s="93" t="s">
        <v>246</v>
      </c>
      <c r="C304" s="95" t="s">
        <v>391</v>
      </c>
      <c r="D304" s="103"/>
      <c r="E304" s="119">
        <v>801</v>
      </c>
      <c r="F304" s="104">
        <f>E304/G3</f>
        <v>212.1854218477857</v>
      </c>
      <c r="G304" s="94"/>
      <c r="H304" s="105">
        <f t="shared" si="7"/>
        <v>212.1854218477857</v>
      </c>
    </row>
    <row r="305" spans="1:8" ht="22.5" customHeight="1">
      <c r="A305" s="337">
        <v>7</v>
      </c>
      <c r="B305" s="93" t="s">
        <v>246</v>
      </c>
      <c r="C305" s="95" t="s">
        <v>392</v>
      </c>
      <c r="D305" s="103"/>
      <c r="E305" s="119">
        <v>801</v>
      </c>
      <c r="F305" s="104">
        <f>E305/G3</f>
        <v>212.1854218477857</v>
      </c>
      <c r="G305" s="94"/>
      <c r="H305" s="105">
        <f t="shared" si="7"/>
        <v>212.1854218477857</v>
      </c>
    </row>
    <row r="306" spans="1:8" ht="22.5" customHeight="1">
      <c r="A306" s="337">
        <v>8</v>
      </c>
      <c r="B306" s="93" t="s">
        <v>387</v>
      </c>
      <c r="C306" s="95" t="s">
        <v>393</v>
      </c>
      <c r="D306" s="103"/>
      <c r="E306" s="119">
        <v>801</v>
      </c>
      <c r="F306" s="104">
        <f>E306/G3</f>
        <v>212.1854218477857</v>
      </c>
      <c r="G306" s="94"/>
      <c r="H306" s="105">
        <f t="shared" si="7"/>
        <v>212.1854218477857</v>
      </c>
    </row>
    <row r="307" spans="1:8" ht="22.5" customHeight="1">
      <c r="A307" s="337">
        <v>9</v>
      </c>
      <c r="B307" s="93" t="s">
        <v>373</v>
      </c>
      <c r="C307" s="95" t="s">
        <v>394</v>
      </c>
      <c r="D307" s="103"/>
      <c r="E307" s="119">
        <v>801</v>
      </c>
      <c r="F307" s="104">
        <f>E307/G3</f>
        <v>212.1854218477857</v>
      </c>
      <c r="G307" s="94"/>
      <c r="H307" s="105">
        <f t="shared" si="7"/>
        <v>212.1854218477857</v>
      </c>
    </row>
    <row r="308" spans="1:8" ht="22.5" customHeight="1">
      <c r="A308" s="337">
        <v>10</v>
      </c>
      <c r="B308" s="93"/>
      <c r="C308" s="95" t="s">
        <v>395</v>
      </c>
      <c r="D308" s="103"/>
      <c r="E308" s="119">
        <v>1252</v>
      </c>
      <c r="F308" s="104">
        <f>E308/G3</f>
        <v>331.65561567219441</v>
      </c>
      <c r="G308" s="94"/>
      <c r="H308" s="105">
        <f t="shared" si="7"/>
        <v>331.65561567219441</v>
      </c>
    </row>
    <row r="309" spans="1:8" ht="22.5" customHeight="1">
      <c r="A309" s="337">
        <v>11</v>
      </c>
      <c r="B309" s="93"/>
      <c r="C309" s="95" t="s">
        <v>396</v>
      </c>
      <c r="D309" s="103"/>
      <c r="E309" s="119">
        <v>1643</v>
      </c>
      <c r="F309" s="104">
        <f>E309/G3</f>
        <v>435.23177040688131</v>
      </c>
      <c r="G309" s="94"/>
      <c r="H309" s="105">
        <f t="shared" si="7"/>
        <v>435.23177040688131</v>
      </c>
    </row>
    <row r="310" spans="1:8" ht="22.5" customHeight="1">
      <c r="A310" s="337">
        <v>12</v>
      </c>
      <c r="B310" s="93"/>
      <c r="C310" s="95" t="s">
        <v>397</v>
      </c>
      <c r="D310" s="103"/>
      <c r="E310" s="119">
        <v>816</v>
      </c>
      <c r="F310" s="104">
        <f>E310/G3</f>
        <v>216.15893162021615</v>
      </c>
      <c r="G310" s="94"/>
      <c r="H310" s="105">
        <f t="shared" si="7"/>
        <v>216.15893162021615</v>
      </c>
    </row>
    <row r="311" spans="1:8" ht="22.5" customHeight="1">
      <c r="A311" s="337">
        <v>13</v>
      </c>
      <c r="B311" s="93"/>
      <c r="C311" s="95" t="s">
        <v>398</v>
      </c>
      <c r="D311" s="103"/>
      <c r="E311" s="119">
        <v>801</v>
      </c>
      <c r="F311" s="104">
        <f>E311/G3</f>
        <v>212.1854218477857</v>
      </c>
      <c r="G311" s="94"/>
      <c r="H311" s="105">
        <f t="shared" si="7"/>
        <v>212.1854218477857</v>
      </c>
    </row>
    <row r="312" spans="1:8" ht="22.5" customHeight="1">
      <c r="A312" s="337">
        <v>14</v>
      </c>
      <c r="B312" s="93"/>
      <c r="C312" s="96" t="s">
        <v>399</v>
      </c>
      <c r="D312" s="103"/>
      <c r="E312" s="119">
        <v>801</v>
      </c>
      <c r="F312" s="104">
        <f>E312/G3</f>
        <v>212.1854218477857</v>
      </c>
      <c r="G312" s="94"/>
      <c r="H312" s="105">
        <f t="shared" si="7"/>
        <v>212.1854218477857</v>
      </c>
    </row>
    <row r="313" spans="1:8" ht="22.5" customHeight="1">
      <c r="A313" s="337">
        <v>15</v>
      </c>
      <c r="B313" s="94"/>
      <c r="C313" s="96" t="s">
        <v>400</v>
      </c>
      <c r="D313" s="94"/>
      <c r="E313" s="119">
        <v>1110</v>
      </c>
      <c r="F313" s="104">
        <f>E313/G3</f>
        <v>294.03972315985288</v>
      </c>
      <c r="G313" s="94"/>
      <c r="H313" s="105">
        <f t="shared" si="7"/>
        <v>294.03972315985288</v>
      </c>
    </row>
    <row r="314" spans="1:8" ht="22.5" customHeight="1">
      <c r="A314" s="337">
        <v>16</v>
      </c>
      <c r="B314" s="94"/>
      <c r="C314" s="96" t="s">
        <v>401</v>
      </c>
      <c r="D314" s="94"/>
      <c r="E314" s="119">
        <v>1614</v>
      </c>
      <c r="F314" s="104">
        <f>E314/G3</f>
        <v>427.54965151351581</v>
      </c>
      <c r="G314" s="94"/>
      <c r="H314" s="105">
        <f t="shared" si="7"/>
        <v>427.54965151351581</v>
      </c>
    </row>
    <row r="315" spans="1:8" ht="22.5" customHeight="1">
      <c r="A315" s="337">
        <v>17</v>
      </c>
      <c r="B315" s="94"/>
      <c r="C315" s="96" t="s">
        <v>402</v>
      </c>
      <c r="D315" s="94"/>
      <c r="E315" s="119">
        <v>1132</v>
      </c>
      <c r="F315" s="104">
        <f>E315/G3</f>
        <v>299.86753749275084</v>
      </c>
      <c r="G315" s="94"/>
      <c r="H315" s="105">
        <f t="shared" si="7"/>
        <v>299.86753749275084</v>
      </c>
    </row>
    <row r="316" spans="1:8" ht="22.5" customHeight="1">
      <c r="A316" s="337">
        <v>18</v>
      </c>
      <c r="B316" s="94"/>
      <c r="C316" s="96" t="s">
        <v>403</v>
      </c>
      <c r="D316" s="94"/>
      <c r="E316" s="119">
        <v>1114</v>
      </c>
      <c r="F316" s="104">
        <f>E316/G3</f>
        <v>295.09932576583429</v>
      </c>
      <c r="G316" s="94"/>
      <c r="H316" s="105">
        <f t="shared" si="7"/>
        <v>295.09932576583429</v>
      </c>
    </row>
    <row r="317" spans="1:8" ht="22.5" customHeight="1">
      <c r="A317" s="337">
        <v>19</v>
      </c>
      <c r="B317" s="94"/>
      <c r="C317" s="96" t="s">
        <v>404</v>
      </c>
      <c r="D317" s="94"/>
      <c r="E317" s="119">
        <v>801</v>
      </c>
      <c r="F317" s="104">
        <f>E317/G3</f>
        <v>212.1854218477857</v>
      </c>
      <c r="G317" s="94"/>
      <c r="H317" s="105">
        <f t="shared" si="7"/>
        <v>212.1854218477857</v>
      </c>
    </row>
    <row r="318" spans="1:8" ht="22.5" customHeight="1">
      <c r="A318" s="337">
        <v>20</v>
      </c>
      <c r="B318" s="94"/>
      <c r="C318" s="96" t="s">
        <v>405</v>
      </c>
      <c r="D318" s="94"/>
      <c r="E318" s="119">
        <v>801</v>
      </c>
      <c r="F318" s="104">
        <f>E318/G3</f>
        <v>212.1854218477857</v>
      </c>
      <c r="G318" s="94"/>
      <c r="H318" s="105">
        <f t="shared" si="7"/>
        <v>212.1854218477857</v>
      </c>
    </row>
    <row r="319" spans="1:8" ht="17.25" customHeight="1">
      <c r="A319" s="337">
        <v>21</v>
      </c>
      <c r="B319" s="94"/>
      <c r="C319" s="96"/>
      <c r="D319" s="94">
        <v>49</v>
      </c>
      <c r="E319" s="119"/>
      <c r="F319" s="104">
        <f>E319/G3</f>
        <v>0</v>
      </c>
      <c r="G319" s="94"/>
      <c r="H319" s="105">
        <f t="shared" si="7"/>
        <v>0</v>
      </c>
    </row>
    <row r="320" spans="1:8" ht="17.25" customHeight="1">
      <c r="A320" s="337">
        <v>22</v>
      </c>
      <c r="B320" s="94"/>
      <c r="C320" s="96"/>
      <c r="D320" s="94"/>
      <c r="E320" s="119"/>
      <c r="F320" s="104">
        <f>E320/G3</f>
        <v>0</v>
      </c>
      <c r="G320" s="94"/>
      <c r="H320" s="105">
        <f t="shared" si="7"/>
        <v>0</v>
      </c>
    </row>
    <row r="321" spans="1:8" ht="17.25" customHeight="1">
      <c r="A321" s="337">
        <v>23</v>
      </c>
      <c r="B321" s="94"/>
      <c r="C321" s="96"/>
      <c r="D321" s="94"/>
      <c r="E321" s="119"/>
      <c r="F321" s="104">
        <f>E321/G3</f>
        <v>0</v>
      </c>
      <c r="G321" s="94"/>
      <c r="H321" s="105">
        <f t="shared" si="7"/>
        <v>0</v>
      </c>
    </row>
    <row r="322" spans="1:8" ht="17.25" customHeight="1">
      <c r="A322" s="337">
        <v>24</v>
      </c>
      <c r="B322" s="94"/>
      <c r="C322" s="96"/>
      <c r="D322" s="94"/>
      <c r="E322" s="119"/>
      <c r="F322" s="104">
        <f>E322/G3</f>
        <v>0</v>
      </c>
      <c r="G322" s="94"/>
      <c r="H322" s="105">
        <f t="shared" si="7"/>
        <v>0</v>
      </c>
    </row>
    <row r="323" spans="1:8" ht="21" customHeight="1">
      <c r="A323" s="337">
        <v>25</v>
      </c>
      <c r="B323" s="94"/>
      <c r="C323" s="96"/>
      <c r="D323" s="94">
        <f>SUM(D299:D322)</f>
        <v>49</v>
      </c>
      <c r="E323" s="119"/>
      <c r="F323" s="104">
        <f>E323/G3</f>
        <v>0</v>
      </c>
      <c r="G323" s="94"/>
      <c r="H323" s="105">
        <f t="shared" si="7"/>
        <v>0</v>
      </c>
    </row>
    <row r="324" spans="1:8" ht="21" customHeight="1" thickBot="1">
      <c r="A324" s="448" t="s">
        <v>4</v>
      </c>
      <c r="B324" s="449"/>
      <c r="C324" s="449"/>
      <c r="D324" s="450"/>
      <c r="E324" s="120">
        <f>SUM(E299:E323)</f>
        <v>19129</v>
      </c>
      <c r="F324" s="113">
        <f>E324/G3</f>
        <v>5067.2845624547981</v>
      </c>
      <c r="G324" s="107">
        <f>SUM(G299:G323)</f>
        <v>0</v>
      </c>
      <c r="H324" s="114">
        <f>SUM(H299:H323)</f>
        <v>5067.2845624547981</v>
      </c>
    </row>
    <row r="326" spans="1:8">
      <c r="A326" s="451" t="s">
        <v>7</v>
      </c>
      <c r="B326" s="451"/>
      <c r="C326" s="452" t="s">
        <v>272</v>
      </c>
      <c r="D326" s="452"/>
      <c r="E326" s="452" t="s">
        <v>273</v>
      </c>
      <c r="F326" s="452"/>
      <c r="G326" s="452"/>
    </row>
    <row r="333" spans="1:8" ht="10.5" customHeight="1"/>
    <row r="334" spans="1:8" ht="10.5" customHeight="1">
      <c r="G334" s="364"/>
    </row>
    <row r="335" spans="1:8" ht="10.5" customHeight="1"/>
    <row r="336" spans="1:8" ht="10.5" customHeight="1"/>
    <row r="337" spans="1:8" ht="17.25" customHeight="1">
      <c r="A337" s="445" t="s">
        <v>263</v>
      </c>
      <c r="B337" s="453"/>
      <c r="C337" s="453"/>
      <c r="D337" s="453"/>
      <c r="E337" s="453"/>
    </row>
    <row r="338" spans="1:8" ht="17.25" customHeight="1">
      <c r="A338" s="445" t="s">
        <v>586</v>
      </c>
      <c r="B338" s="453"/>
      <c r="C338" s="453"/>
      <c r="D338" s="453"/>
      <c r="E338" s="453"/>
      <c r="F338" s="452" t="s">
        <v>408</v>
      </c>
      <c r="G338" s="452"/>
    </row>
    <row r="339" spans="1:8" ht="17.25" customHeight="1" thickBot="1">
      <c r="A339" s="446" t="s">
        <v>247</v>
      </c>
      <c r="B339" s="446"/>
      <c r="C339" s="446"/>
      <c r="D339" s="446"/>
      <c r="E339" s="446"/>
      <c r="F339" s="334" t="s">
        <v>91</v>
      </c>
      <c r="G339" s="312">
        <f>تسعير!E34</f>
        <v>3.7750001532838997</v>
      </c>
    </row>
    <row r="340" spans="1:8" ht="21" customHeight="1">
      <c r="A340" s="19" t="s">
        <v>0</v>
      </c>
      <c r="B340" s="20" t="s">
        <v>78</v>
      </c>
      <c r="C340" s="20" t="s">
        <v>77</v>
      </c>
      <c r="D340" s="20" t="s">
        <v>80</v>
      </c>
      <c r="E340" s="20" t="s">
        <v>13</v>
      </c>
      <c r="F340" s="335" t="s">
        <v>83</v>
      </c>
      <c r="G340" s="335" t="s">
        <v>14</v>
      </c>
      <c r="H340" s="336" t="s">
        <v>79</v>
      </c>
    </row>
    <row r="341" spans="1:8" ht="35.25" customHeight="1">
      <c r="A341" s="337">
        <v>1</v>
      </c>
      <c r="B341" s="94"/>
      <c r="C341" s="137"/>
      <c r="D341" s="94"/>
      <c r="E341" s="94"/>
      <c r="F341" s="104">
        <f>E341/G3</f>
        <v>0</v>
      </c>
      <c r="G341" s="138"/>
      <c r="H341" s="105">
        <f>G341+F341</f>
        <v>0</v>
      </c>
    </row>
    <row r="342" spans="1:8" ht="21" customHeight="1">
      <c r="A342" s="337">
        <v>2</v>
      </c>
      <c r="B342" s="94"/>
      <c r="C342" s="94"/>
      <c r="D342" s="94"/>
      <c r="E342" s="94"/>
      <c r="F342" s="104">
        <f>E342/G3</f>
        <v>0</v>
      </c>
      <c r="G342" s="94"/>
      <c r="H342" s="105">
        <f t="shared" ref="H342:H365" si="8">G342+F342</f>
        <v>0</v>
      </c>
    </row>
    <row r="343" spans="1:8" ht="21" customHeight="1">
      <c r="A343" s="337">
        <v>3</v>
      </c>
      <c r="B343" s="94"/>
      <c r="C343" s="94"/>
      <c r="D343" s="94"/>
      <c r="E343" s="94"/>
      <c r="F343" s="104">
        <f>E343/G3</f>
        <v>0</v>
      </c>
      <c r="G343" s="94"/>
      <c r="H343" s="105">
        <f t="shared" si="8"/>
        <v>0</v>
      </c>
    </row>
    <row r="344" spans="1:8" ht="21" customHeight="1">
      <c r="A344" s="337">
        <v>4</v>
      </c>
      <c r="B344" s="94"/>
      <c r="C344" s="94"/>
      <c r="D344" s="94"/>
      <c r="E344" s="94"/>
      <c r="F344" s="104">
        <f>E344/G3</f>
        <v>0</v>
      </c>
      <c r="G344" s="94"/>
      <c r="H344" s="105">
        <f t="shared" si="8"/>
        <v>0</v>
      </c>
    </row>
    <row r="345" spans="1:8" ht="21" customHeight="1">
      <c r="A345" s="337">
        <v>5</v>
      </c>
      <c r="B345" s="94"/>
      <c r="C345" s="94"/>
      <c r="D345" s="94"/>
      <c r="E345" s="94"/>
      <c r="F345" s="104">
        <f>E345/G3</f>
        <v>0</v>
      </c>
      <c r="G345" s="94"/>
      <c r="H345" s="105">
        <f t="shared" si="8"/>
        <v>0</v>
      </c>
    </row>
    <row r="346" spans="1:8" ht="21" customHeight="1">
      <c r="A346" s="337">
        <v>6</v>
      </c>
      <c r="B346" s="94"/>
      <c r="C346" s="94"/>
      <c r="D346" s="94"/>
      <c r="E346" s="94"/>
      <c r="F346" s="104">
        <f>E346/G3</f>
        <v>0</v>
      </c>
      <c r="G346" s="94"/>
      <c r="H346" s="105">
        <f t="shared" si="8"/>
        <v>0</v>
      </c>
    </row>
    <row r="347" spans="1:8" ht="21" customHeight="1">
      <c r="A347" s="337">
        <v>7</v>
      </c>
      <c r="B347" s="94"/>
      <c r="C347" s="94"/>
      <c r="D347" s="94"/>
      <c r="E347" s="94"/>
      <c r="F347" s="104">
        <f>E347/G3</f>
        <v>0</v>
      </c>
      <c r="G347" s="94"/>
      <c r="H347" s="105">
        <f t="shared" si="8"/>
        <v>0</v>
      </c>
    </row>
    <row r="348" spans="1:8" ht="21" customHeight="1">
      <c r="A348" s="337">
        <v>8</v>
      </c>
      <c r="B348" s="94"/>
      <c r="C348" s="94"/>
      <c r="D348" s="94"/>
      <c r="E348" s="94"/>
      <c r="F348" s="104">
        <f>E348/G3</f>
        <v>0</v>
      </c>
      <c r="G348" s="94"/>
      <c r="H348" s="105">
        <f t="shared" si="8"/>
        <v>0</v>
      </c>
    </row>
    <row r="349" spans="1:8" ht="21" customHeight="1">
      <c r="A349" s="337">
        <v>9</v>
      </c>
      <c r="B349" s="94"/>
      <c r="C349" s="94"/>
      <c r="D349" s="94"/>
      <c r="E349" s="94"/>
      <c r="F349" s="104">
        <f>E349/G3</f>
        <v>0</v>
      </c>
      <c r="G349" s="94"/>
      <c r="H349" s="105">
        <f t="shared" si="8"/>
        <v>0</v>
      </c>
    </row>
    <row r="350" spans="1:8" ht="21" customHeight="1">
      <c r="A350" s="337">
        <v>10</v>
      </c>
      <c r="B350" s="94"/>
      <c r="C350" s="94"/>
      <c r="D350" s="94"/>
      <c r="E350" s="94"/>
      <c r="F350" s="104">
        <f>E350/G3</f>
        <v>0</v>
      </c>
      <c r="G350" s="94"/>
      <c r="H350" s="105">
        <f t="shared" si="8"/>
        <v>0</v>
      </c>
    </row>
    <row r="351" spans="1:8" ht="21" customHeight="1">
      <c r="A351" s="337">
        <v>11</v>
      </c>
      <c r="B351" s="94"/>
      <c r="C351" s="94"/>
      <c r="D351" s="94"/>
      <c r="E351" s="94"/>
      <c r="F351" s="104">
        <f>E351/G3</f>
        <v>0</v>
      </c>
      <c r="G351" s="94"/>
      <c r="H351" s="105">
        <f t="shared" si="8"/>
        <v>0</v>
      </c>
    </row>
    <row r="352" spans="1:8" ht="21" customHeight="1">
      <c r="A352" s="337">
        <v>12</v>
      </c>
      <c r="B352" s="94"/>
      <c r="C352" s="94"/>
      <c r="D352" s="94"/>
      <c r="E352" s="94"/>
      <c r="F352" s="104">
        <f>E352/G3</f>
        <v>0</v>
      </c>
      <c r="G352" s="94"/>
      <c r="H352" s="105">
        <f t="shared" si="8"/>
        <v>0</v>
      </c>
    </row>
    <row r="353" spans="1:8" ht="21" customHeight="1">
      <c r="A353" s="337">
        <v>13</v>
      </c>
      <c r="B353" s="94"/>
      <c r="C353" s="94"/>
      <c r="D353" s="94"/>
      <c r="E353" s="94"/>
      <c r="F353" s="104">
        <f>E353/G3</f>
        <v>0</v>
      </c>
      <c r="G353" s="94"/>
      <c r="H353" s="105">
        <f t="shared" si="8"/>
        <v>0</v>
      </c>
    </row>
    <row r="354" spans="1:8" ht="21" customHeight="1">
      <c r="A354" s="337">
        <v>14</v>
      </c>
      <c r="B354" s="94"/>
      <c r="C354" s="94"/>
      <c r="D354" s="94"/>
      <c r="E354" s="94"/>
      <c r="F354" s="104">
        <f>E354/G3</f>
        <v>0</v>
      </c>
      <c r="G354" s="94"/>
      <c r="H354" s="105">
        <f t="shared" si="8"/>
        <v>0</v>
      </c>
    </row>
    <row r="355" spans="1:8" ht="21" customHeight="1">
      <c r="A355" s="337">
        <v>15</v>
      </c>
      <c r="B355" s="94"/>
      <c r="C355" s="94"/>
      <c r="D355" s="94"/>
      <c r="E355" s="94"/>
      <c r="F355" s="104">
        <f>E355/G3</f>
        <v>0</v>
      </c>
      <c r="G355" s="94"/>
      <c r="H355" s="105">
        <f t="shared" si="8"/>
        <v>0</v>
      </c>
    </row>
    <row r="356" spans="1:8" ht="21" customHeight="1">
      <c r="A356" s="337">
        <v>16</v>
      </c>
      <c r="B356" s="94"/>
      <c r="C356" s="94"/>
      <c r="D356" s="94"/>
      <c r="E356" s="94"/>
      <c r="F356" s="104">
        <f>E356/G3</f>
        <v>0</v>
      </c>
      <c r="G356" s="94"/>
      <c r="H356" s="105">
        <f t="shared" si="8"/>
        <v>0</v>
      </c>
    </row>
    <row r="357" spans="1:8" ht="21" customHeight="1">
      <c r="A357" s="337">
        <v>17</v>
      </c>
      <c r="B357" s="94"/>
      <c r="C357" s="94"/>
      <c r="D357" s="94"/>
      <c r="E357" s="94"/>
      <c r="F357" s="104">
        <f>E357/G3</f>
        <v>0</v>
      </c>
      <c r="G357" s="94"/>
      <c r="H357" s="105">
        <f t="shared" si="8"/>
        <v>0</v>
      </c>
    </row>
    <row r="358" spans="1:8" ht="21" customHeight="1">
      <c r="A358" s="337">
        <v>18</v>
      </c>
      <c r="B358" s="94"/>
      <c r="C358" s="94"/>
      <c r="D358" s="94"/>
      <c r="E358" s="94"/>
      <c r="F358" s="104">
        <f>E358/G3</f>
        <v>0</v>
      </c>
      <c r="G358" s="94"/>
      <c r="H358" s="105">
        <f t="shared" si="8"/>
        <v>0</v>
      </c>
    </row>
    <row r="359" spans="1:8" ht="21" customHeight="1">
      <c r="A359" s="337">
        <v>19</v>
      </c>
      <c r="B359" s="94"/>
      <c r="C359" s="94"/>
      <c r="D359" s="94"/>
      <c r="E359" s="94"/>
      <c r="F359" s="104">
        <f>E359/G3</f>
        <v>0</v>
      </c>
      <c r="G359" s="94"/>
      <c r="H359" s="105">
        <f t="shared" si="8"/>
        <v>0</v>
      </c>
    </row>
    <row r="360" spans="1:8" ht="21" customHeight="1">
      <c r="A360" s="337">
        <v>20</v>
      </c>
      <c r="B360" s="94"/>
      <c r="C360" s="94"/>
      <c r="D360" s="94"/>
      <c r="E360" s="94"/>
      <c r="F360" s="104">
        <f>E360/G3</f>
        <v>0</v>
      </c>
      <c r="G360" s="94"/>
      <c r="H360" s="105">
        <f t="shared" si="8"/>
        <v>0</v>
      </c>
    </row>
    <row r="361" spans="1:8" ht="21" customHeight="1">
      <c r="A361" s="337">
        <v>21</v>
      </c>
      <c r="B361" s="94"/>
      <c r="C361" s="94"/>
      <c r="D361" s="94"/>
      <c r="E361" s="94"/>
      <c r="F361" s="104">
        <f>E361/G3</f>
        <v>0</v>
      </c>
      <c r="G361" s="94"/>
      <c r="H361" s="105">
        <f t="shared" si="8"/>
        <v>0</v>
      </c>
    </row>
    <row r="362" spans="1:8" ht="21" customHeight="1">
      <c r="A362" s="337">
        <v>22</v>
      </c>
      <c r="B362" s="94"/>
      <c r="C362" s="94"/>
      <c r="D362" s="94"/>
      <c r="E362" s="94"/>
      <c r="F362" s="104">
        <f>E362/G3</f>
        <v>0</v>
      </c>
      <c r="G362" s="94"/>
      <c r="H362" s="105">
        <f t="shared" si="8"/>
        <v>0</v>
      </c>
    </row>
    <row r="363" spans="1:8" ht="21" customHeight="1">
      <c r="A363" s="337">
        <v>23</v>
      </c>
      <c r="B363" s="94"/>
      <c r="C363" s="94"/>
      <c r="D363" s="94"/>
      <c r="E363" s="94"/>
      <c r="F363" s="104">
        <f>E363/G3</f>
        <v>0</v>
      </c>
      <c r="G363" s="94"/>
      <c r="H363" s="105">
        <f t="shared" si="8"/>
        <v>0</v>
      </c>
    </row>
    <row r="364" spans="1:8" ht="21" customHeight="1">
      <c r="A364" s="337">
        <v>24</v>
      </c>
      <c r="B364" s="94"/>
      <c r="C364" s="94"/>
      <c r="D364" s="94"/>
      <c r="E364" s="94"/>
      <c r="F364" s="104">
        <f>E364/G3</f>
        <v>0</v>
      </c>
      <c r="G364" s="94"/>
      <c r="H364" s="105">
        <f t="shared" si="8"/>
        <v>0</v>
      </c>
    </row>
    <row r="365" spans="1:8" ht="21" customHeight="1">
      <c r="A365" s="337">
        <v>25</v>
      </c>
      <c r="B365" s="94"/>
      <c r="C365" s="94"/>
      <c r="D365" s="94">
        <f>SUM(D341:D364)</f>
        <v>0</v>
      </c>
      <c r="E365" s="94"/>
      <c r="F365" s="104">
        <f>E365/G3</f>
        <v>0</v>
      </c>
      <c r="G365" s="94"/>
      <c r="H365" s="105">
        <f t="shared" si="8"/>
        <v>0</v>
      </c>
    </row>
    <row r="366" spans="1:8" ht="21" customHeight="1" thickBot="1">
      <c r="A366" s="448" t="s">
        <v>4</v>
      </c>
      <c r="B366" s="449"/>
      <c r="C366" s="449"/>
      <c r="D366" s="450"/>
      <c r="E366" s="107">
        <f>SUM(E341:E365)</f>
        <v>0</v>
      </c>
      <c r="F366" s="108">
        <f>E366/G3</f>
        <v>0</v>
      </c>
      <c r="G366" s="108">
        <f>SUM(G341:G365)</f>
        <v>0</v>
      </c>
      <c r="H366" s="121">
        <f>SUM(H341:H365)</f>
        <v>0</v>
      </c>
    </row>
    <row r="368" spans="1:8">
      <c r="A368" s="451" t="s">
        <v>7</v>
      </c>
      <c r="B368" s="451"/>
      <c r="C368" s="452" t="s">
        <v>272</v>
      </c>
      <c r="D368" s="452"/>
      <c r="E368" s="452" t="s">
        <v>273</v>
      </c>
      <c r="F368" s="452"/>
      <c r="G368" s="452"/>
    </row>
    <row r="374" spans="1:8" ht="12.75" customHeight="1"/>
    <row r="375" spans="1:8" ht="12.75" customHeight="1"/>
    <row r="376" spans="1:8" ht="12.75" customHeight="1"/>
    <row r="378" spans="1:8" ht="1.5" customHeight="1"/>
    <row r="379" spans="1:8" ht="17.25" customHeight="1">
      <c r="A379" s="445" t="s">
        <v>263</v>
      </c>
      <c r="B379" s="453"/>
      <c r="C379" s="453"/>
      <c r="D379" s="453"/>
      <c r="E379" s="453"/>
    </row>
    <row r="380" spans="1:8" ht="17.25" customHeight="1">
      <c r="A380" s="445" t="s">
        <v>586</v>
      </c>
      <c r="B380" s="453"/>
      <c r="C380" s="453"/>
      <c r="D380" s="453"/>
      <c r="E380" s="453"/>
      <c r="F380" s="452" t="s">
        <v>381</v>
      </c>
      <c r="G380" s="452"/>
    </row>
    <row r="381" spans="1:8" ht="17.25" customHeight="1" thickBot="1">
      <c r="A381" s="446" t="s">
        <v>103</v>
      </c>
      <c r="B381" s="446"/>
      <c r="C381" s="446"/>
      <c r="D381" s="446"/>
      <c r="E381" s="446"/>
      <c r="F381" s="334" t="s">
        <v>91</v>
      </c>
      <c r="G381" s="312">
        <f>تسعير!E34</f>
        <v>3.7750001532838997</v>
      </c>
    </row>
    <row r="382" spans="1:8" ht="21" customHeight="1">
      <c r="A382" s="19" t="s">
        <v>0</v>
      </c>
      <c r="B382" s="20" t="s">
        <v>78</v>
      </c>
      <c r="C382" s="341" t="s">
        <v>77</v>
      </c>
      <c r="D382" s="20" t="s">
        <v>80</v>
      </c>
      <c r="E382" s="20" t="s">
        <v>13</v>
      </c>
      <c r="F382" s="335" t="s">
        <v>83</v>
      </c>
      <c r="G382" s="335" t="s">
        <v>14</v>
      </c>
      <c r="H382" s="336" t="s">
        <v>79</v>
      </c>
    </row>
    <row r="383" spans="1:8" ht="21" customHeight="1">
      <c r="A383" s="337">
        <v>1</v>
      </c>
      <c r="B383" s="93" t="s">
        <v>383</v>
      </c>
      <c r="C383" s="346" t="s">
        <v>382</v>
      </c>
      <c r="D383" s="103">
        <v>3</v>
      </c>
      <c r="E383" s="94">
        <v>278</v>
      </c>
      <c r="F383" s="104">
        <f>E383/G3</f>
        <v>73.642381115710904</v>
      </c>
      <c r="G383" s="94"/>
      <c r="H383" s="105">
        <f>G383+F383</f>
        <v>73.642381115710904</v>
      </c>
    </row>
    <row r="384" spans="1:8" ht="21" customHeight="1">
      <c r="A384" s="337">
        <v>2</v>
      </c>
      <c r="B384" s="347"/>
      <c r="C384" s="92"/>
      <c r="D384" s="103"/>
      <c r="E384" s="94"/>
      <c r="F384" s="104">
        <f>E384/G3</f>
        <v>0</v>
      </c>
      <c r="G384" s="94"/>
      <c r="H384" s="105">
        <f t="shared" ref="H384:H407" si="9">G384+F384</f>
        <v>0</v>
      </c>
    </row>
    <row r="385" spans="1:8" ht="21" customHeight="1">
      <c r="A385" s="337">
        <v>3</v>
      </c>
      <c r="B385" s="93"/>
      <c r="C385" s="92"/>
      <c r="D385" s="103"/>
      <c r="E385" s="94"/>
      <c r="F385" s="104">
        <f>E385/G3</f>
        <v>0</v>
      </c>
      <c r="G385" s="94"/>
      <c r="H385" s="105">
        <f t="shared" si="9"/>
        <v>0</v>
      </c>
    </row>
    <row r="386" spans="1:8" ht="21" customHeight="1">
      <c r="A386" s="337">
        <v>4</v>
      </c>
      <c r="B386" s="93"/>
      <c r="C386" s="92"/>
      <c r="D386" s="103"/>
      <c r="E386" s="94"/>
      <c r="F386" s="104">
        <f>E386/G3</f>
        <v>0</v>
      </c>
      <c r="G386" s="94"/>
      <c r="H386" s="105">
        <f t="shared" si="9"/>
        <v>0</v>
      </c>
    </row>
    <row r="387" spans="1:8" ht="21" customHeight="1">
      <c r="A387" s="337">
        <v>5</v>
      </c>
      <c r="B387" s="93"/>
      <c r="C387" s="92"/>
      <c r="D387" s="103"/>
      <c r="E387" s="94"/>
      <c r="F387" s="104">
        <f>E387/G3</f>
        <v>0</v>
      </c>
      <c r="G387" s="94"/>
      <c r="H387" s="105">
        <f t="shared" si="9"/>
        <v>0</v>
      </c>
    </row>
    <row r="388" spans="1:8" ht="21" customHeight="1">
      <c r="A388" s="337">
        <v>6</v>
      </c>
      <c r="B388" s="93"/>
      <c r="C388" s="92"/>
      <c r="D388" s="103"/>
      <c r="E388" s="94"/>
      <c r="F388" s="104">
        <f>E388/G3</f>
        <v>0</v>
      </c>
      <c r="G388" s="94"/>
      <c r="H388" s="105">
        <f t="shared" si="9"/>
        <v>0</v>
      </c>
    </row>
    <row r="389" spans="1:8" ht="21" customHeight="1">
      <c r="A389" s="337">
        <v>7</v>
      </c>
      <c r="B389" s="93"/>
      <c r="C389" s="92"/>
      <c r="D389" s="103"/>
      <c r="E389" s="94"/>
      <c r="F389" s="104">
        <f>E389/G3</f>
        <v>0</v>
      </c>
      <c r="G389" s="94"/>
      <c r="H389" s="105">
        <f t="shared" si="9"/>
        <v>0</v>
      </c>
    </row>
    <row r="390" spans="1:8" ht="21" customHeight="1">
      <c r="A390" s="337">
        <v>8</v>
      </c>
      <c r="B390" s="93"/>
      <c r="C390" s="92"/>
      <c r="D390" s="103"/>
      <c r="E390" s="94"/>
      <c r="F390" s="104">
        <f>E390/G3</f>
        <v>0</v>
      </c>
      <c r="G390" s="94"/>
      <c r="H390" s="105">
        <f t="shared" si="9"/>
        <v>0</v>
      </c>
    </row>
    <row r="391" spans="1:8" ht="21" customHeight="1">
      <c r="A391" s="337">
        <v>9</v>
      </c>
      <c r="B391" s="93"/>
      <c r="C391" s="92"/>
      <c r="D391" s="103"/>
      <c r="E391" s="94"/>
      <c r="F391" s="104">
        <f>E391/G3</f>
        <v>0</v>
      </c>
      <c r="G391" s="94"/>
      <c r="H391" s="105">
        <f t="shared" si="9"/>
        <v>0</v>
      </c>
    </row>
    <row r="392" spans="1:8" ht="21" customHeight="1">
      <c r="A392" s="337">
        <v>10</v>
      </c>
      <c r="B392" s="93"/>
      <c r="C392" s="92"/>
      <c r="D392" s="103"/>
      <c r="E392" s="94"/>
      <c r="F392" s="104">
        <f>E392/G3</f>
        <v>0</v>
      </c>
      <c r="G392" s="94"/>
      <c r="H392" s="105">
        <f t="shared" si="9"/>
        <v>0</v>
      </c>
    </row>
    <row r="393" spans="1:8" ht="21" customHeight="1">
      <c r="A393" s="337">
        <v>11</v>
      </c>
      <c r="B393" s="93"/>
      <c r="C393" s="92"/>
      <c r="D393" s="103"/>
      <c r="E393" s="94"/>
      <c r="F393" s="104">
        <f>E393/G3</f>
        <v>0</v>
      </c>
      <c r="G393" s="94"/>
      <c r="H393" s="105">
        <f t="shared" si="9"/>
        <v>0</v>
      </c>
    </row>
    <row r="394" spans="1:8" ht="21" customHeight="1">
      <c r="A394" s="337">
        <v>12</v>
      </c>
      <c r="B394" s="93"/>
      <c r="C394" s="94"/>
      <c r="D394" s="103"/>
      <c r="E394" s="94"/>
      <c r="F394" s="104">
        <f>E394/G3</f>
        <v>0</v>
      </c>
      <c r="G394" s="94"/>
      <c r="H394" s="105">
        <f t="shared" si="9"/>
        <v>0</v>
      </c>
    </row>
    <row r="395" spans="1:8" ht="21" customHeight="1">
      <c r="A395" s="337">
        <v>13</v>
      </c>
      <c r="B395" s="93"/>
      <c r="C395" s="94"/>
      <c r="D395" s="103"/>
      <c r="E395" s="94"/>
      <c r="F395" s="104">
        <f>E395/G3</f>
        <v>0</v>
      </c>
      <c r="G395" s="94"/>
      <c r="H395" s="105">
        <f t="shared" si="9"/>
        <v>0</v>
      </c>
    </row>
    <row r="396" spans="1:8" ht="21" customHeight="1">
      <c r="A396" s="337">
        <v>14</v>
      </c>
      <c r="B396" s="94"/>
      <c r="C396" s="94"/>
      <c r="D396" s="94"/>
      <c r="E396" s="94"/>
      <c r="F396" s="104">
        <f>E396/G3</f>
        <v>0</v>
      </c>
      <c r="G396" s="94"/>
      <c r="H396" s="105">
        <f t="shared" si="9"/>
        <v>0</v>
      </c>
    </row>
    <row r="397" spans="1:8" ht="21" customHeight="1">
      <c r="A397" s="337">
        <v>15</v>
      </c>
      <c r="B397" s="94"/>
      <c r="C397" s="94"/>
      <c r="D397" s="94"/>
      <c r="E397" s="94"/>
      <c r="F397" s="104">
        <f>E397/G3</f>
        <v>0</v>
      </c>
      <c r="G397" s="94"/>
      <c r="H397" s="105">
        <f t="shared" si="9"/>
        <v>0</v>
      </c>
    </row>
    <row r="398" spans="1:8" ht="21" customHeight="1">
      <c r="A398" s="337">
        <v>16</v>
      </c>
      <c r="B398" s="94"/>
      <c r="C398" s="94"/>
      <c r="D398" s="94"/>
      <c r="E398" s="94"/>
      <c r="F398" s="104">
        <f>E398/G3</f>
        <v>0</v>
      </c>
      <c r="G398" s="94"/>
      <c r="H398" s="105">
        <f t="shared" si="9"/>
        <v>0</v>
      </c>
    </row>
    <row r="399" spans="1:8" ht="21" customHeight="1">
      <c r="A399" s="337">
        <v>17</v>
      </c>
      <c r="B399" s="94"/>
      <c r="C399" s="94"/>
      <c r="D399" s="94"/>
      <c r="E399" s="94"/>
      <c r="F399" s="104">
        <f>E399/G3</f>
        <v>0</v>
      </c>
      <c r="G399" s="94"/>
      <c r="H399" s="105">
        <f t="shared" si="9"/>
        <v>0</v>
      </c>
    </row>
    <row r="400" spans="1:8" ht="21" customHeight="1">
      <c r="A400" s="337">
        <v>18</v>
      </c>
      <c r="B400" s="94"/>
      <c r="C400" s="94"/>
      <c r="D400" s="94"/>
      <c r="E400" s="94"/>
      <c r="F400" s="104">
        <f>E400/G3</f>
        <v>0</v>
      </c>
      <c r="G400" s="94"/>
      <c r="H400" s="105">
        <f t="shared" si="9"/>
        <v>0</v>
      </c>
    </row>
    <row r="401" spans="1:8" ht="21" customHeight="1">
      <c r="A401" s="337">
        <v>19</v>
      </c>
      <c r="B401" s="94"/>
      <c r="C401" s="94"/>
      <c r="D401" s="94"/>
      <c r="E401" s="94"/>
      <c r="F401" s="104">
        <f>E401/G3</f>
        <v>0</v>
      </c>
      <c r="G401" s="94"/>
      <c r="H401" s="105">
        <f t="shared" si="9"/>
        <v>0</v>
      </c>
    </row>
    <row r="402" spans="1:8" ht="21" customHeight="1">
      <c r="A402" s="337">
        <v>20</v>
      </c>
      <c r="B402" s="94"/>
      <c r="C402" s="94"/>
      <c r="D402" s="94"/>
      <c r="E402" s="94"/>
      <c r="F402" s="104">
        <f>E402/G3</f>
        <v>0</v>
      </c>
      <c r="G402" s="94"/>
      <c r="H402" s="105">
        <f t="shared" si="9"/>
        <v>0</v>
      </c>
    </row>
    <row r="403" spans="1:8" ht="21" customHeight="1">
      <c r="A403" s="337">
        <v>21</v>
      </c>
      <c r="B403" s="94"/>
      <c r="C403" s="94"/>
      <c r="D403" s="94"/>
      <c r="E403" s="94"/>
      <c r="F403" s="104">
        <f>E403/G3</f>
        <v>0</v>
      </c>
      <c r="G403" s="94"/>
      <c r="H403" s="105">
        <f t="shared" si="9"/>
        <v>0</v>
      </c>
    </row>
    <row r="404" spans="1:8" ht="21" customHeight="1">
      <c r="A404" s="337">
        <v>22</v>
      </c>
      <c r="B404" s="94"/>
      <c r="C404" s="94"/>
      <c r="D404" s="94"/>
      <c r="E404" s="94"/>
      <c r="F404" s="104">
        <f>E404/G3</f>
        <v>0</v>
      </c>
      <c r="G404" s="94"/>
      <c r="H404" s="105">
        <f t="shared" si="9"/>
        <v>0</v>
      </c>
    </row>
    <row r="405" spans="1:8" ht="21" customHeight="1">
      <c r="A405" s="337">
        <v>23</v>
      </c>
      <c r="B405" s="94"/>
      <c r="C405" s="94"/>
      <c r="D405" s="94"/>
      <c r="E405" s="94"/>
      <c r="F405" s="104">
        <f>E405/G3</f>
        <v>0</v>
      </c>
      <c r="G405" s="94"/>
      <c r="H405" s="105">
        <f t="shared" si="9"/>
        <v>0</v>
      </c>
    </row>
    <row r="406" spans="1:8" ht="21" customHeight="1">
      <c r="A406" s="337">
        <v>24</v>
      </c>
      <c r="B406" s="94"/>
      <c r="C406" s="94"/>
      <c r="D406" s="94"/>
      <c r="E406" s="94"/>
      <c r="F406" s="104">
        <f>E406/G3</f>
        <v>0</v>
      </c>
      <c r="G406" s="94"/>
      <c r="H406" s="105">
        <f t="shared" si="9"/>
        <v>0</v>
      </c>
    </row>
    <row r="407" spans="1:8" ht="21" customHeight="1">
      <c r="A407" s="337">
        <v>25</v>
      </c>
      <c r="B407" s="94"/>
      <c r="C407" s="94"/>
      <c r="D407" s="94">
        <f>SUM(D383:D406)</f>
        <v>3</v>
      </c>
      <c r="E407" s="94"/>
      <c r="F407" s="104">
        <f>E407/G3</f>
        <v>0</v>
      </c>
      <c r="G407" s="94"/>
      <c r="H407" s="105">
        <f t="shared" si="9"/>
        <v>0</v>
      </c>
    </row>
    <row r="408" spans="1:8" ht="21" customHeight="1" thickBot="1">
      <c r="A408" s="448" t="s">
        <v>4</v>
      </c>
      <c r="B408" s="449"/>
      <c r="C408" s="449"/>
      <c r="D408" s="450"/>
      <c r="E408" s="107">
        <f>SUM(E383:E407)</f>
        <v>278</v>
      </c>
      <c r="F408" s="108">
        <f>E408/G3</f>
        <v>73.642381115710904</v>
      </c>
      <c r="G408" s="107">
        <f>SUM(G383:G407)</f>
        <v>0</v>
      </c>
      <c r="H408" s="121">
        <f>SUM(H383:H407)</f>
        <v>73.642381115710904</v>
      </c>
    </row>
    <row r="410" spans="1:8">
      <c r="A410" s="451" t="s">
        <v>7</v>
      </c>
      <c r="B410" s="451"/>
      <c r="C410" s="452" t="s">
        <v>272</v>
      </c>
      <c r="D410" s="452"/>
      <c r="E410" s="452" t="s">
        <v>273</v>
      </c>
      <c r="F410" s="452"/>
      <c r="G410" s="452"/>
    </row>
    <row r="413" spans="1:8" ht="12.75" customHeight="1"/>
    <row r="414" spans="1:8" ht="12.75" customHeight="1"/>
    <row r="415" spans="1:8" ht="12.75" customHeight="1"/>
    <row r="416" spans="1:8" ht="12.75" customHeight="1"/>
    <row r="417" spans="1:8" ht="12.75" customHeight="1"/>
    <row r="418" spans="1:8" ht="12.75" customHeight="1"/>
    <row r="421" spans="1:8" ht="17.25" customHeight="1">
      <c r="A421" s="445" t="s">
        <v>263</v>
      </c>
      <c r="B421" s="445"/>
      <c r="C421" s="445"/>
      <c r="D421" s="445"/>
      <c r="E421" s="445"/>
      <c r="F421" s="360"/>
      <c r="G421" s="360"/>
      <c r="H421" s="360"/>
    </row>
    <row r="422" spans="1:8" ht="17.25" customHeight="1">
      <c r="A422" s="445" t="s">
        <v>586</v>
      </c>
      <c r="B422" s="445"/>
      <c r="C422" s="445"/>
      <c r="D422" s="445"/>
      <c r="E422" s="445"/>
      <c r="F422" s="444" t="s">
        <v>408</v>
      </c>
      <c r="G422" s="444"/>
      <c r="H422" s="360"/>
    </row>
    <row r="423" spans="1:8" ht="17.25" customHeight="1" thickBot="1">
      <c r="A423" s="446" t="s">
        <v>104</v>
      </c>
      <c r="B423" s="446"/>
      <c r="C423" s="446"/>
      <c r="D423" s="446"/>
      <c r="E423" s="446"/>
      <c r="F423" s="360" t="s">
        <v>91</v>
      </c>
      <c r="G423" s="318">
        <f>تسعير!E34</f>
        <v>3.7750001532838997</v>
      </c>
      <c r="H423" s="360"/>
    </row>
    <row r="424" spans="1:8" ht="21" customHeight="1">
      <c r="A424" s="19" t="s">
        <v>0</v>
      </c>
      <c r="B424" s="20" t="s">
        <v>78</v>
      </c>
      <c r="C424" s="20" t="s">
        <v>77</v>
      </c>
      <c r="D424" s="20" t="s">
        <v>80</v>
      </c>
      <c r="E424" s="20" t="s">
        <v>13</v>
      </c>
      <c r="F424" s="20" t="s">
        <v>83</v>
      </c>
      <c r="G424" s="20" t="s">
        <v>14</v>
      </c>
      <c r="H424" s="21" t="s">
        <v>79</v>
      </c>
    </row>
    <row r="425" spans="1:8" ht="21" customHeight="1">
      <c r="A425" s="337">
        <v>1</v>
      </c>
      <c r="B425" s="94"/>
      <c r="C425" s="316"/>
      <c r="D425" s="94"/>
      <c r="E425" s="111"/>
      <c r="F425" s="109">
        <f>E425/G3</f>
        <v>0</v>
      </c>
      <c r="G425" s="111"/>
      <c r="H425" s="110">
        <f>G425+F425</f>
        <v>0</v>
      </c>
    </row>
    <row r="426" spans="1:8" ht="21" customHeight="1">
      <c r="A426" s="337">
        <v>2</v>
      </c>
      <c r="B426" s="94"/>
      <c r="C426" s="94"/>
      <c r="D426" s="94"/>
      <c r="E426" s="111"/>
      <c r="F426" s="109">
        <f>E426/G3</f>
        <v>0</v>
      </c>
      <c r="G426" s="111"/>
      <c r="H426" s="110">
        <f t="shared" ref="H426:H449" si="10">G426+F426</f>
        <v>0</v>
      </c>
    </row>
    <row r="427" spans="1:8" ht="21" customHeight="1">
      <c r="A427" s="337">
        <v>3</v>
      </c>
      <c r="B427" s="94"/>
      <c r="C427" s="94"/>
      <c r="D427" s="94"/>
      <c r="E427" s="111"/>
      <c r="F427" s="109">
        <f>E427/G3</f>
        <v>0</v>
      </c>
      <c r="G427" s="111"/>
      <c r="H427" s="110">
        <f t="shared" si="10"/>
        <v>0</v>
      </c>
    </row>
    <row r="428" spans="1:8" ht="21" customHeight="1">
      <c r="A428" s="337">
        <v>4</v>
      </c>
      <c r="B428" s="94"/>
      <c r="C428" s="94"/>
      <c r="D428" s="94"/>
      <c r="E428" s="111"/>
      <c r="F428" s="109">
        <f>E428/G3</f>
        <v>0</v>
      </c>
      <c r="G428" s="111"/>
      <c r="H428" s="110">
        <f t="shared" si="10"/>
        <v>0</v>
      </c>
    </row>
    <row r="429" spans="1:8" ht="21" customHeight="1">
      <c r="A429" s="337">
        <v>5</v>
      </c>
      <c r="B429" s="94"/>
      <c r="C429" s="94"/>
      <c r="D429" s="94"/>
      <c r="E429" s="111"/>
      <c r="F429" s="109">
        <f>E429/G3</f>
        <v>0</v>
      </c>
      <c r="G429" s="111"/>
      <c r="H429" s="110">
        <f t="shared" si="10"/>
        <v>0</v>
      </c>
    </row>
    <row r="430" spans="1:8" ht="21" customHeight="1">
      <c r="A430" s="337">
        <v>6</v>
      </c>
      <c r="B430" s="94"/>
      <c r="C430" s="94"/>
      <c r="D430" s="94"/>
      <c r="E430" s="111"/>
      <c r="F430" s="109">
        <f>E430/G3</f>
        <v>0</v>
      </c>
      <c r="G430" s="111"/>
      <c r="H430" s="110">
        <f t="shared" si="10"/>
        <v>0</v>
      </c>
    </row>
    <row r="431" spans="1:8" ht="21" customHeight="1">
      <c r="A431" s="337">
        <v>7</v>
      </c>
      <c r="B431" s="94"/>
      <c r="C431" s="94"/>
      <c r="D431" s="94"/>
      <c r="E431" s="111"/>
      <c r="F431" s="109">
        <f>E431/G3</f>
        <v>0</v>
      </c>
      <c r="G431" s="111"/>
      <c r="H431" s="110">
        <f t="shared" si="10"/>
        <v>0</v>
      </c>
    </row>
    <row r="432" spans="1:8" ht="21" customHeight="1">
      <c r="A432" s="337">
        <v>8</v>
      </c>
      <c r="B432" s="94"/>
      <c r="C432" s="94"/>
      <c r="D432" s="94"/>
      <c r="E432" s="111"/>
      <c r="F432" s="109">
        <f>E432/G3</f>
        <v>0</v>
      </c>
      <c r="G432" s="111"/>
      <c r="H432" s="110">
        <f t="shared" si="10"/>
        <v>0</v>
      </c>
    </row>
    <row r="433" spans="1:8" ht="21" customHeight="1">
      <c r="A433" s="337">
        <v>9</v>
      </c>
      <c r="B433" s="94"/>
      <c r="C433" s="94"/>
      <c r="D433" s="94"/>
      <c r="E433" s="111"/>
      <c r="F433" s="109">
        <f>E433/G3</f>
        <v>0</v>
      </c>
      <c r="G433" s="111"/>
      <c r="H433" s="110">
        <f t="shared" si="10"/>
        <v>0</v>
      </c>
    </row>
    <row r="434" spans="1:8" ht="21" customHeight="1">
      <c r="A434" s="337">
        <v>10</v>
      </c>
      <c r="B434" s="94"/>
      <c r="C434" s="94"/>
      <c r="D434" s="94"/>
      <c r="E434" s="111"/>
      <c r="F434" s="109">
        <f>E434/G3</f>
        <v>0</v>
      </c>
      <c r="G434" s="111"/>
      <c r="H434" s="110">
        <f t="shared" si="10"/>
        <v>0</v>
      </c>
    </row>
    <row r="435" spans="1:8" ht="21" customHeight="1">
      <c r="A435" s="337">
        <v>11</v>
      </c>
      <c r="B435" s="94"/>
      <c r="C435" s="94"/>
      <c r="D435" s="94"/>
      <c r="E435" s="111"/>
      <c r="F435" s="109">
        <f>E435/G3</f>
        <v>0</v>
      </c>
      <c r="G435" s="111"/>
      <c r="H435" s="110">
        <f t="shared" si="10"/>
        <v>0</v>
      </c>
    </row>
    <row r="436" spans="1:8" ht="21" customHeight="1">
      <c r="A436" s="337">
        <v>12</v>
      </c>
      <c r="B436" s="94"/>
      <c r="C436" s="94"/>
      <c r="D436" s="94"/>
      <c r="E436" s="111"/>
      <c r="F436" s="109">
        <f>E436/G3</f>
        <v>0</v>
      </c>
      <c r="G436" s="111"/>
      <c r="H436" s="110">
        <f t="shared" si="10"/>
        <v>0</v>
      </c>
    </row>
    <row r="437" spans="1:8" ht="21" customHeight="1">
      <c r="A437" s="337">
        <v>13</v>
      </c>
      <c r="B437" s="94"/>
      <c r="C437" s="94"/>
      <c r="D437" s="94"/>
      <c r="E437" s="111"/>
      <c r="F437" s="109">
        <f>E437/G3</f>
        <v>0</v>
      </c>
      <c r="G437" s="111"/>
      <c r="H437" s="110">
        <f t="shared" si="10"/>
        <v>0</v>
      </c>
    </row>
    <row r="438" spans="1:8" ht="21" customHeight="1">
      <c r="A438" s="337">
        <v>14</v>
      </c>
      <c r="B438" s="94"/>
      <c r="C438" s="94"/>
      <c r="D438" s="94"/>
      <c r="E438" s="111"/>
      <c r="F438" s="109">
        <f>E438/G3</f>
        <v>0</v>
      </c>
      <c r="G438" s="111"/>
      <c r="H438" s="110">
        <f t="shared" si="10"/>
        <v>0</v>
      </c>
    </row>
    <row r="439" spans="1:8" ht="21" customHeight="1">
      <c r="A439" s="337">
        <v>15</v>
      </c>
      <c r="B439" s="94"/>
      <c r="C439" s="94"/>
      <c r="D439" s="94"/>
      <c r="E439" s="111"/>
      <c r="F439" s="109">
        <f>E439/G3</f>
        <v>0</v>
      </c>
      <c r="G439" s="111"/>
      <c r="H439" s="110">
        <f t="shared" si="10"/>
        <v>0</v>
      </c>
    </row>
    <row r="440" spans="1:8" ht="21" customHeight="1">
      <c r="A440" s="337">
        <v>16</v>
      </c>
      <c r="B440" s="94"/>
      <c r="C440" s="94"/>
      <c r="D440" s="94"/>
      <c r="E440" s="111"/>
      <c r="F440" s="109">
        <f>E440/G3</f>
        <v>0</v>
      </c>
      <c r="G440" s="111"/>
      <c r="H440" s="110">
        <f t="shared" si="10"/>
        <v>0</v>
      </c>
    </row>
    <row r="441" spans="1:8" ht="21" customHeight="1">
      <c r="A441" s="337">
        <v>17</v>
      </c>
      <c r="B441" s="94"/>
      <c r="C441" s="94"/>
      <c r="D441" s="94"/>
      <c r="E441" s="111"/>
      <c r="F441" s="109">
        <f>E441/G3</f>
        <v>0</v>
      </c>
      <c r="G441" s="111"/>
      <c r="H441" s="110">
        <f t="shared" si="10"/>
        <v>0</v>
      </c>
    </row>
    <row r="442" spans="1:8" ht="21" customHeight="1">
      <c r="A442" s="337">
        <v>18</v>
      </c>
      <c r="B442" s="94"/>
      <c r="C442" s="94"/>
      <c r="D442" s="94"/>
      <c r="E442" s="111"/>
      <c r="F442" s="109">
        <f>E442/G3</f>
        <v>0</v>
      </c>
      <c r="G442" s="111"/>
      <c r="H442" s="110">
        <f t="shared" si="10"/>
        <v>0</v>
      </c>
    </row>
    <row r="443" spans="1:8" ht="21" customHeight="1">
      <c r="A443" s="337">
        <v>19</v>
      </c>
      <c r="B443" s="94"/>
      <c r="C443" s="94"/>
      <c r="D443" s="94"/>
      <c r="E443" s="111"/>
      <c r="F443" s="109">
        <f>E443/G3</f>
        <v>0</v>
      </c>
      <c r="G443" s="111"/>
      <c r="H443" s="110">
        <f t="shared" si="10"/>
        <v>0</v>
      </c>
    </row>
    <row r="444" spans="1:8" ht="21" customHeight="1">
      <c r="A444" s="337">
        <v>20</v>
      </c>
      <c r="B444" s="94"/>
      <c r="C444" s="94"/>
      <c r="D444" s="94"/>
      <c r="E444" s="111"/>
      <c r="F444" s="109">
        <f>E444/G3</f>
        <v>0</v>
      </c>
      <c r="G444" s="111"/>
      <c r="H444" s="110">
        <f t="shared" si="10"/>
        <v>0</v>
      </c>
    </row>
    <row r="445" spans="1:8" ht="21" customHeight="1">
      <c r="A445" s="337">
        <v>21</v>
      </c>
      <c r="B445" s="94"/>
      <c r="C445" s="94"/>
      <c r="D445" s="94"/>
      <c r="E445" s="111"/>
      <c r="F445" s="109">
        <f>E445/G3</f>
        <v>0</v>
      </c>
      <c r="G445" s="111"/>
      <c r="H445" s="110">
        <f t="shared" si="10"/>
        <v>0</v>
      </c>
    </row>
    <row r="446" spans="1:8" ht="21" customHeight="1">
      <c r="A446" s="337">
        <v>22</v>
      </c>
      <c r="B446" s="94"/>
      <c r="C446" s="94"/>
      <c r="D446" s="94"/>
      <c r="E446" s="111"/>
      <c r="F446" s="109">
        <f>E446/G3</f>
        <v>0</v>
      </c>
      <c r="G446" s="111"/>
      <c r="H446" s="110">
        <f t="shared" si="10"/>
        <v>0</v>
      </c>
    </row>
    <row r="447" spans="1:8" ht="21" customHeight="1">
      <c r="A447" s="337">
        <v>23</v>
      </c>
      <c r="B447" s="94"/>
      <c r="C447" s="94"/>
      <c r="D447" s="94"/>
      <c r="E447" s="111"/>
      <c r="F447" s="109">
        <f>E447/G3</f>
        <v>0</v>
      </c>
      <c r="G447" s="111"/>
      <c r="H447" s="110">
        <f t="shared" si="10"/>
        <v>0</v>
      </c>
    </row>
    <row r="448" spans="1:8" ht="21" customHeight="1">
      <c r="A448" s="337">
        <v>24</v>
      </c>
      <c r="B448" s="94"/>
      <c r="C448" s="94"/>
      <c r="D448" s="94"/>
      <c r="E448" s="111"/>
      <c r="F448" s="109">
        <f>E448/G3</f>
        <v>0</v>
      </c>
      <c r="G448" s="111"/>
      <c r="H448" s="110">
        <f t="shared" si="10"/>
        <v>0</v>
      </c>
    </row>
    <row r="449" spans="1:8" ht="21" customHeight="1">
      <c r="A449" s="337">
        <v>25</v>
      </c>
      <c r="B449" s="94"/>
      <c r="C449" s="94"/>
      <c r="D449" s="94"/>
      <c r="E449" s="111"/>
      <c r="F449" s="109">
        <f>E449/G3</f>
        <v>0</v>
      </c>
      <c r="G449" s="111"/>
      <c r="H449" s="110">
        <f t="shared" si="10"/>
        <v>0</v>
      </c>
    </row>
    <row r="450" spans="1:8" ht="21" customHeight="1" thickBot="1">
      <c r="A450" s="448" t="s">
        <v>4</v>
      </c>
      <c r="B450" s="449"/>
      <c r="C450" s="449"/>
      <c r="D450" s="450"/>
      <c r="E450" s="113">
        <f>SUM(E425:E449)</f>
        <v>0</v>
      </c>
      <c r="F450" s="109">
        <f>E450/G3</f>
        <v>0</v>
      </c>
      <c r="G450" s="113">
        <f>SUM(G425:G449)</f>
        <v>0</v>
      </c>
      <c r="H450" s="114">
        <f>SUM(H425:H449)</f>
        <v>0</v>
      </c>
    </row>
    <row r="452" spans="1:8">
      <c r="A452" s="451" t="s">
        <v>7</v>
      </c>
      <c r="B452" s="451"/>
      <c r="C452" s="452" t="s">
        <v>272</v>
      </c>
      <c r="D452" s="452"/>
      <c r="E452" s="452" t="s">
        <v>273</v>
      </c>
      <c r="F452" s="452"/>
      <c r="G452" s="452"/>
    </row>
    <row r="456" spans="1:8" ht="11.25" customHeight="1"/>
    <row r="457" spans="1:8" ht="11.25" customHeight="1"/>
    <row r="458" spans="1:8" ht="11.25" customHeight="1"/>
    <row r="459" spans="1:8" ht="11.25" customHeight="1"/>
    <row r="460" spans="1:8" ht="11.25" customHeight="1"/>
    <row r="461" spans="1:8" ht="11.25" customHeight="1"/>
    <row r="463" spans="1:8" ht="17.25" customHeight="1">
      <c r="A463" s="445" t="s">
        <v>263</v>
      </c>
      <c r="B463" s="445"/>
      <c r="C463" s="445"/>
      <c r="D463" s="445"/>
      <c r="E463" s="445"/>
      <c r="F463" s="360"/>
      <c r="G463" s="360"/>
    </row>
    <row r="464" spans="1:8" ht="17.25" customHeight="1">
      <c r="A464" s="445" t="s">
        <v>586</v>
      </c>
      <c r="B464" s="445"/>
      <c r="C464" s="445"/>
      <c r="D464" s="445"/>
      <c r="E464" s="445"/>
      <c r="F464" s="444" t="s">
        <v>605</v>
      </c>
      <c r="G464" s="444"/>
    </row>
    <row r="465" spans="1:8" ht="17.25" customHeight="1" thickBot="1">
      <c r="A465" s="446" t="s">
        <v>105</v>
      </c>
      <c r="B465" s="446"/>
      <c r="C465" s="446"/>
      <c r="D465" s="446"/>
      <c r="E465" s="446"/>
      <c r="F465" s="360" t="s">
        <v>91</v>
      </c>
      <c r="G465" s="403">
        <f>تسعير!E34</f>
        <v>3.7750001532838997</v>
      </c>
    </row>
    <row r="466" spans="1:8" ht="21" customHeight="1">
      <c r="A466" s="19" t="s">
        <v>0</v>
      </c>
      <c r="B466" s="20" t="s">
        <v>78</v>
      </c>
      <c r="C466" s="20" t="s">
        <v>77</v>
      </c>
      <c r="D466" s="20" t="s">
        <v>80</v>
      </c>
      <c r="E466" s="20" t="s">
        <v>13</v>
      </c>
      <c r="F466" s="20" t="s">
        <v>83</v>
      </c>
      <c r="G466" s="20" t="s">
        <v>14</v>
      </c>
      <c r="H466" s="336" t="s">
        <v>79</v>
      </c>
    </row>
    <row r="467" spans="1:8" ht="21" customHeight="1">
      <c r="A467" s="337">
        <v>1</v>
      </c>
      <c r="B467" s="94"/>
      <c r="C467" s="316" t="s">
        <v>596</v>
      </c>
      <c r="D467" s="94"/>
      <c r="E467" s="111">
        <v>1075</v>
      </c>
      <c r="F467" s="109">
        <f>E467/G3</f>
        <v>284.76820035751518</v>
      </c>
      <c r="G467" s="111"/>
      <c r="H467" s="110">
        <f>G467+F467</f>
        <v>284.76820035751518</v>
      </c>
    </row>
    <row r="468" spans="1:8" ht="21" customHeight="1">
      <c r="A468" s="337">
        <v>2</v>
      </c>
      <c r="B468" s="94"/>
      <c r="C468" s="94" t="s">
        <v>597</v>
      </c>
      <c r="D468" s="94"/>
      <c r="E468" s="111">
        <v>286</v>
      </c>
      <c r="F468" s="109">
        <f>E468/G3</f>
        <v>75.761586327673797</v>
      </c>
      <c r="G468" s="111"/>
      <c r="H468" s="110">
        <f t="shared" ref="H468:H491" si="11">G468+F468</f>
        <v>75.761586327673797</v>
      </c>
    </row>
    <row r="469" spans="1:8" ht="21" customHeight="1">
      <c r="A469" s="337">
        <v>3</v>
      </c>
      <c r="B469" s="94"/>
      <c r="C469" s="94" t="s">
        <v>599</v>
      </c>
      <c r="D469" s="94"/>
      <c r="E469" s="111"/>
      <c r="F469" s="109">
        <f>E469/G3</f>
        <v>0</v>
      </c>
      <c r="G469" s="111"/>
      <c r="H469" s="110">
        <f t="shared" si="11"/>
        <v>0</v>
      </c>
    </row>
    <row r="470" spans="1:8" ht="21" customHeight="1">
      <c r="A470" s="337">
        <v>4</v>
      </c>
      <c r="B470" s="94"/>
      <c r="C470" s="94"/>
      <c r="D470" s="94"/>
      <c r="E470" s="111"/>
      <c r="F470" s="109">
        <f>E470/G3</f>
        <v>0</v>
      </c>
      <c r="G470" s="111"/>
      <c r="H470" s="110">
        <f t="shared" si="11"/>
        <v>0</v>
      </c>
    </row>
    <row r="471" spans="1:8" ht="21" customHeight="1">
      <c r="A471" s="337">
        <v>5</v>
      </c>
      <c r="B471" s="94"/>
      <c r="C471" s="94"/>
      <c r="D471" s="94"/>
      <c r="E471" s="111"/>
      <c r="F471" s="109">
        <f>E471/G3</f>
        <v>0</v>
      </c>
      <c r="G471" s="111"/>
      <c r="H471" s="110">
        <f t="shared" si="11"/>
        <v>0</v>
      </c>
    </row>
    <row r="472" spans="1:8" ht="21" customHeight="1">
      <c r="A472" s="337">
        <v>6</v>
      </c>
      <c r="B472" s="94"/>
      <c r="C472" s="94"/>
      <c r="D472" s="94"/>
      <c r="E472" s="111"/>
      <c r="F472" s="109">
        <f>E472/G3</f>
        <v>0</v>
      </c>
      <c r="G472" s="111"/>
      <c r="H472" s="110">
        <f t="shared" si="11"/>
        <v>0</v>
      </c>
    </row>
    <row r="473" spans="1:8" ht="21" customHeight="1">
      <c r="A473" s="337">
        <v>7</v>
      </c>
      <c r="B473" s="94"/>
      <c r="C473" s="94"/>
      <c r="D473" s="94"/>
      <c r="E473" s="111"/>
      <c r="F473" s="109">
        <f>E473/G3</f>
        <v>0</v>
      </c>
      <c r="G473" s="111"/>
      <c r="H473" s="110">
        <f t="shared" si="11"/>
        <v>0</v>
      </c>
    </row>
    <row r="474" spans="1:8" ht="21" customHeight="1">
      <c r="A474" s="337">
        <v>8</v>
      </c>
      <c r="B474" s="94"/>
      <c r="C474" s="94"/>
      <c r="D474" s="94"/>
      <c r="E474" s="111"/>
      <c r="F474" s="109">
        <f>E474/G3</f>
        <v>0</v>
      </c>
      <c r="G474" s="111"/>
      <c r="H474" s="110">
        <f t="shared" si="11"/>
        <v>0</v>
      </c>
    </row>
    <row r="475" spans="1:8" ht="21" customHeight="1">
      <c r="A475" s="337">
        <v>9</v>
      </c>
      <c r="B475" s="94"/>
      <c r="C475" s="94"/>
      <c r="D475" s="94"/>
      <c r="E475" s="111"/>
      <c r="F475" s="109">
        <f>E475/G3</f>
        <v>0</v>
      </c>
      <c r="G475" s="111"/>
      <c r="H475" s="110">
        <f t="shared" si="11"/>
        <v>0</v>
      </c>
    </row>
    <row r="476" spans="1:8" ht="21" customHeight="1">
      <c r="A476" s="337">
        <v>10</v>
      </c>
      <c r="B476" s="94"/>
      <c r="C476" s="94"/>
      <c r="D476" s="94"/>
      <c r="E476" s="111"/>
      <c r="F476" s="109">
        <f>E476/G3</f>
        <v>0</v>
      </c>
      <c r="G476" s="111"/>
      <c r="H476" s="110">
        <f t="shared" si="11"/>
        <v>0</v>
      </c>
    </row>
    <row r="477" spans="1:8" ht="21" customHeight="1">
      <c r="A477" s="337">
        <v>11</v>
      </c>
      <c r="B477" s="94"/>
      <c r="C477" s="94"/>
      <c r="D477" s="94"/>
      <c r="E477" s="111"/>
      <c r="F477" s="109">
        <f>E477/G3</f>
        <v>0</v>
      </c>
      <c r="G477" s="111"/>
      <c r="H477" s="110">
        <f t="shared" si="11"/>
        <v>0</v>
      </c>
    </row>
    <row r="478" spans="1:8" ht="21" customHeight="1">
      <c r="A478" s="337">
        <v>12</v>
      </c>
      <c r="B478" s="94"/>
      <c r="C478" s="94"/>
      <c r="D478" s="94"/>
      <c r="E478" s="111"/>
      <c r="F478" s="109">
        <f>E478/G3</f>
        <v>0</v>
      </c>
      <c r="G478" s="111"/>
      <c r="H478" s="110">
        <f t="shared" si="11"/>
        <v>0</v>
      </c>
    </row>
    <row r="479" spans="1:8" ht="21" customHeight="1">
      <c r="A479" s="337">
        <v>13</v>
      </c>
      <c r="B479" s="94"/>
      <c r="C479" s="94"/>
      <c r="D479" s="94"/>
      <c r="E479" s="111"/>
      <c r="F479" s="109">
        <f>E479/G3</f>
        <v>0</v>
      </c>
      <c r="G479" s="111"/>
      <c r="H479" s="110">
        <f t="shared" si="11"/>
        <v>0</v>
      </c>
    </row>
    <row r="480" spans="1:8" ht="21" customHeight="1">
      <c r="A480" s="337">
        <v>14</v>
      </c>
      <c r="B480" s="94"/>
      <c r="C480" s="94"/>
      <c r="D480" s="94">
        <v>3</v>
      </c>
      <c r="E480" s="111"/>
      <c r="F480" s="109">
        <f>E480/G3</f>
        <v>0</v>
      </c>
      <c r="G480" s="111"/>
      <c r="H480" s="110">
        <f t="shared" si="11"/>
        <v>0</v>
      </c>
    </row>
    <row r="481" spans="1:8" ht="21" customHeight="1">
      <c r="A481" s="337">
        <v>15</v>
      </c>
      <c r="B481" s="94"/>
      <c r="C481" s="94"/>
      <c r="D481" s="94"/>
      <c r="E481" s="111"/>
      <c r="F481" s="109">
        <f>E481/G3</f>
        <v>0</v>
      </c>
      <c r="G481" s="111"/>
      <c r="H481" s="110">
        <f t="shared" si="11"/>
        <v>0</v>
      </c>
    </row>
    <row r="482" spans="1:8" ht="21" customHeight="1">
      <c r="A482" s="337">
        <v>16</v>
      </c>
      <c r="B482" s="94"/>
      <c r="C482" s="94"/>
      <c r="D482" s="94"/>
      <c r="E482" s="111"/>
      <c r="F482" s="109">
        <f>E482/G3</f>
        <v>0</v>
      </c>
      <c r="G482" s="111"/>
      <c r="H482" s="110">
        <f t="shared" si="11"/>
        <v>0</v>
      </c>
    </row>
    <row r="483" spans="1:8" ht="21" customHeight="1">
      <c r="A483" s="337">
        <v>17</v>
      </c>
      <c r="B483" s="94"/>
      <c r="C483" s="94"/>
      <c r="D483" s="94"/>
      <c r="E483" s="111"/>
      <c r="F483" s="109">
        <f>E483/G3</f>
        <v>0</v>
      </c>
      <c r="G483" s="111"/>
      <c r="H483" s="110">
        <f t="shared" si="11"/>
        <v>0</v>
      </c>
    </row>
    <row r="484" spans="1:8" ht="21" customHeight="1">
      <c r="A484" s="337">
        <v>18</v>
      </c>
      <c r="B484" s="94"/>
      <c r="C484" s="94"/>
      <c r="D484" s="94"/>
      <c r="E484" s="111"/>
      <c r="F484" s="109">
        <f>E484/G3</f>
        <v>0</v>
      </c>
      <c r="G484" s="111"/>
      <c r="H484" s="110">
        <f t="shared" si="11"/>
        <v>0</v>
      </c>
    </row>
    <row r="485" spans="1:8" ht="21" customHeight="1">
      <c r="A485" s="337">
        <v>19</v>
      </c>
      <c r="B485" s="94"/>
      <c r="C485" s="94"/>
      <c r="D485" s="94"/>
      <c r="E485" s="111"/>
      <c r="F485" s="109">
        <f>E485/G3</f>
        <v>0</v>
      </c>
      <c r="G485" s="111"/>
      <c r="H485" s="110">
        <f t="shared" si="11"/>
        <v>0</v>
      </c>
    </row>
    <row r="486" spans="1:8" ht="21" customHeight="1">
      <c r="A486" s="337">
        <v>20</v>
      </c>
      <c r="B486" s="94"/>
      <c r="C486" s="94"/>
      <c r="D486" s="94"/>
      <c r="E486" s="111"/>
      <c r="F486" s="109">
        <f>E486/G3</f>
        <v>0</v>
      </c>
      <c r="G486" s="111"/>
      <c r="H486" s="110">
        <f t="shared" si="11"/>
        <v>0</v>
      </c>
    </row>
    <row r="487" spans="1:8" ht="21" customHeight="1">
      <c r="A487" s="337">
        <v>21</v>
      </c>
      <c r="B487" s="94"/>
      <c r="C487" s="94"/>
      <c r="D487" s="94"/>
      <c r="E487" s="111"/>
      <c r="F487" s="109">
        <f>E487/G3</f>
        <v>0</v>
      </c>
      <c r="G487" s="111"/>
      <c r="H487" s="110">
        <f t="shared" si="11"/>
        <v>0</v>
      </c>
    </row>
    <row r="488" spans="1:8" ht="21" customHeight="1">
      <c r="A488" s="337">
        <v>22</v>
      </c>
      <c r="B488" s="94"/>
      <c r="C488" s="94"/>
      <c r="D488" s="94"/>
      <c r="E488" s="111"/>
      <c r="F488" s="109">
        <f>E488/G3</f>
        <v>0</v>
      </c>
      <c r="G488" s="111"/>
      <c r="H488" s="110">
        <f t="shared" si="11"/>
        <v>0</v>
      </c>
    </row>
    <row r="489" spans="1:8" ht="21" customHeight="1">
      <c r="A489" s="337">
        <v>23</v>
      </c>
      <c r="B489" s="94"/>
      <c r="C489" s="94"/>
      <c r="D489" s="94"/>
      <c r="E489" s="111"/>
      <c r="F489" s="109">
        <f>E489/G3</f>
        <v>0</v>
      </c>
      <c r="G489" s="111"/>
      <c r="H489" s="110">
        <f t="shared" si="11"/>
        <v>0</v>
      </c>
    </row>
    <row r="490" spans="1:8" ht="21" customHeight="1">
      <c r="A490" s="337">
        <v>24</v>
      </c>
      <c r="B490" s="94"/>
      <c r="C490" s="94"/>
      <c r="D490" s="94"/>
      <c r="E490" s="111"/>
      <c r="F490" s="109">
        <f>E490/G3</f>
        <v>0</v>
      </c>
      <c r="G490" s="111"/>
      <c r="H490" s="110">
        <f t="shared" si="11"/>
        <v>0</v>
      </c>
    </row>
    <row r="491" spans="1:8" ht="21" customHeight="1">
      <c r="A491" s="337">
        <v>25</v>
      </c>
      <c r="B491" s="94"/>
      <c r="C491" s="94"/>
      <c r="D491" s="94">
        <f>SUM(D467:D490)</f>
        <v>3</v>
      </c>
      <c r="E491" s="111"/>
      <c r="F491" s="109">
        <f>E491/G3</f>
        <v>0</v>
      </c>
      <c r="G491" s="111"/>
      <c r="H491" s="110">
        <f t="shared" si="11"/>
        <v>0</v>
      </c>
    </row>
    <row r="492" spans="1:8" ht="21" customHeight="1" thickBot="1">
      <c r="A492" s="448" t="s">
        <v>4</v>
      </c>
      <c r="B492" s="449"/>
      <c r="C492" s="449"/>
      <c r="D492" s="450"/>
      <c r="E492" s="113">
        <f>SUM(E467:E491)</f>
        <v>1361</v>
      </c>
      <c r="F492" s="113">
        <f>E492/G3</f>
        <v>360.52978668518898</v>
      </c>
      <c r="G492" s="113">
        <f>SUM(G467:G491)</f>
        <v>0</v>
      </c>
      <c r="H492" s="114">
        <f>SUM(H467:H491)</f>
        <v>360.52978668518898</v>
      </c>
    </row>
    <row r="494" spans="1:8">
      <c r="A494" s="451" t="s">
        <v>7</v>
      </c>
      <c r="B494" s="451"/>
      <c r="C494" s="452" t="s">
        <v>272</v>
      </c>
      <c r="D494" s="452"/>
      <c r="E494" s="452" t="s">
        <v>273</v>
      </c>
      <c r="F494" s="452"/>
      <c r="G494" s="452"/>
    </row>
  </sheetData>
  <mergeCells count="109">
    <mergeCell ref="A465:E465"/>
    <mergeCell ref="A492:D492"/>
    <mergeCell ref="A494:B494"/>
    <mergeCell ref="C494:D494"/>
    <mergeCell ref="E494:G494"/>
    <mergeCell ref="F296:G296"/>
    <mergeCell ref="A421:E421"/>
    <mergeCell ref="A422:E422"/>
    <mergeCell ref="A423:E423"/>
    <mergeCell ref="A450:D450"/>
    <mergeCell ref="A452:B452"/>
    <mergeCell ref="C452:D452"/>
    <mergeCell ref="E452:G452"/>
    <mergeCell ref="A463:E463"/>
    <mergeCell ref="A464:E464"/>
    <mergeCell ref="A368:B368"/>
    <mergeCell ref="C368:D368"/>
    <mergeCell ref="E368:G368"/>
    <mergeCell ref="F338:G338"/>
    <mergeCell ref="A379:E379"/>
    <mergeCell ref="A380:E380"/>
    <mergeCell ref="A381:E381"/>
    <mergeCell ref="A408:D408"/>
    <mergeCell ref="A410:B410"/>
    <mergeCell ref="C410:D410"/>
    <mergeCell ref="E410:G410"/>
    <mergeCell ref="F380:G380"/>
    <mergeCell ref="A297:E297"/>
    <mergeCell ref="A324:D324"/>
    <mergeCell ref="A326:B326"/>
    <mergeCell ref="C326:D326"/>
    <mergeCell ref="E326:G326"/>
    <mergeCell ref="A337:E337"/>
    <mergeCell ref="A338:E338"/>
    <mergeCell ref="A339:E339"/>
    <mergeCell ref="A366:D366"/>
    <mergeCell ref="A253:E253"/>
    <mergeCell ref="A254:E254"/>
    <mergeCell ref="A255:E255"/>
    <mergeCell ref="A282:D282"/>
    <mergeCell ref="A284:B284"/>
    <mergeCell ref="C284:D284"/>
    <mergeCell ref="E284:G284"/>
    <mergeCell ref="A295:E295"/>
    <mergeCell ref="A296:E296"/>
    <mergeCell ref="F254:G254"/>
    <mergeCell ref="A240:D240"/>
    <mergeCell ref="A128:E128"/>
    <mergeCell ref="A129:E129"/>
    <mergeCell ref="A156:D156"/>
    <mergeCell ref="A158:B158"/>
    <mergeCell ref="C158:D158"/>
    <mergeCell ref="E158:G158"/>
    <mergeCell ref="A87:E87"/>
    <mergeCell ref="A114:D114"/>
    <mergeCell ref="A116:B116"/>
    <mergeCell ref="C116:D116"/>
    <mergeCell ref="E116:G116"/>
    <mergeCell ref="F128:G128"/>
    <mergeCell ref="F170:G170"/>
    <mergeCell ref="F212:G212"/>
    <mergeCell ref="J2:L2"/>
    <mergeCell ref="J1:L1"/>
    <mergeCell ref="J3:L3"/>
    <mergeCell ref="J4:L4"/>
    <mergeCell ref="J5:L5"/>
    <mergeCell ref="A242:B242"/>
    <mergeCell ref="C242:D242"/>
    <mergeCell ref="E242:G242"/>
    <mergeCell ref="J6:L6"/>
    <mergeCell ref="J7:L7"/>
    <mergeCell ref="J8:L8"/>
    <mergeCell ref="J9:L9"/>
    <mergeCell ref="J10:L10"/>
    <mergeCell ref="J11:L11"/>
    <mergeCell ref="A169:E169"/>
    <mergeCell ref="A170:E170"/>
    <mergeCell ref="A171:E171"/>
    <mergeCell ref="A198:D198"/>
    <mergeCell ref="A200:B200"/>
    <mergeCell ref="C200:D200"/>
    <mergeCell ref="E200:G200"/>
    <mergeCell ref="J12:L12"/>
    <mergeCell ref="A211:E211"/>
    <mergeCell ref="A212:E212"/>
    <mergeCell ref="F422:G422"/>
    <mergeCell ref="F464:G464"/>
    <mergeCell ref="A1:E1"/>
    <mergeCell ref="A2:E2"/>
    <mergeCell ref="A3:E3"/>
    <mergeCell ref="A43:E43"/>
    <mergeCell ref="A44:E44"/>
    <mergeCell ref="A127:E127"/>
    <mergeCell ref="A72:D72"/>
    <mergeCell ref="A74:B74"/>
    <mergeCell ref="C74:D74"/>
    <mergeCell ref="E74:G74"/>
    <mergeCell ref="A85:E85"/>
    <mergeCell ref="A86:E86"/>
    <mergeCell ref="F86:G86"/>
    <mergeCell ref="F43:G43"/>
    <mergeCell ref="F44:G44"/>
    <mergeCell ref="A45:E45"/>
    <mergeCell ref="A30:D30"/>
    <mergeCell ref="A32:B32"/>
    <mergeCell ref="C32:D32"/>
    <mergeCell ref="E32:G32"/>
    <mergeCell ref="F2:G2"/>
    <mergeCell ref="A213:E213"/>
  </mergeCells>
  <hyperlinks>
    <hyperlink ref="J2:L2" location="'ريز جاري'!A45" display="حقوق،بازخريدي و...كاركنان بومي"/>
    <hyperlink ref="A45:E45" location="'ريز جاري'!A1" display="هزينه جاري:حقوق، بازخريدي و...كاركنان بومي"/>
    <hyperlink ref="J3:L3" location="'ريز جاري'!A87" display="خريد اقلام مصرفي"/>
    <hyperlink ref="A87:E87" location="'ريز جاري'!A1" display="هزينه جاري:خريد اقلام مصرفي"/>
    <hyperlink ref="J4:L4" location="'ريز جاري'!A129" display="هزينه آب برق گاز و ساير سوخت ها"/>
    <hyperlink ref="A129:E129" location="'ريز جاري'!A1" display="هزينه جاري:هزينه آب برق گاز و ساير سوخت ها"/>
    <hyperlink ref="J5:L5" location="'ريز جاري'!A171" display="تعمير و نگهداري خودرو"/>
    <hyperlink ref="A171:E171" location="'ريز جاري'!A1" display="هزينه جاري:تعمير و نگهداري خودرو"/>
    <hyperlink ref="J6:L6" location="'ريز جاري'!A213" display="ترميم و نگهداري جزئي ساختمان"/>
    <hyperlink ref="A213:E213" location="'ريز جاري'!A1" display="هزينه جاري:ترميم و نگهداري جزئي ساختمان"/>
    <hyperlink ref="J7:L7" location="'ريز جاري'!A255" display="حمل و نقل و ارتباطات"/>
    <hyperlink ref="A255:E255" location="'ريز جاري'!A1" display="هزينه جاري:حمل و نقل و ارتباطات"/>
    <hyperlink ref="J8:L8" location="'ريز جاري'!A297" display="تلفن،فاكس و اينترنت"/>
    <hyperlink ref="A297:E297" location="'ريز جاري'!A1" display="هزينه جاري:تلفن،فاكس و اينترنت"/>
    <hyperlink ref="J9:L9" location="'ريز جاري'!A339" display="هزينه اجاره ساختمان نمايندگي"/>
    <hyperlink ref="J10:L10" location="'ريز جاري'!A381" display="كمك هزينه درمان و بيمه كاركنان"/>
    <hyperlink ref="J11:L11" location="'ريز جاري'!A428" display="هزينه هاي خارج از مصوب و تخصيص"/>
    <hyperlink ref="J12:L12" location="'ريز جاري'!A465" display="هزينه هاي پيش بيني نشده"/>
    <hyperlink ref="A465:E465" location="'ريز جاري'!A1" display="هزينه هاي جاري: پيش بيني نشده"/>
    <hyperlink ref="A423:E423" location="'ريز جاري'!A1" display="هزينه هاي جاري: خارج از مصوب و تخصيص"/>
    <hyperlink ref="A381:E381" location="'ريز جاري'!A1" display="هزينه جاري:كمك هزينه درمان و بيمه كاركنان"/>
    <hyperlink ref="A339:E339" location="'ريز جاري'!A1" display="هزينه جاري:اجاره ساختمان نمايندگي"/>
    <hyperlink ref="J1:L1" location="'ريز جاري'!A1" display="هزينه بانكي(كارمزد)"/>
    <hyperlink ref="A3:E3" location="Sheet2!A1" display="هزينه بانكي(كارمزد)"/>
  </hyperlinks>
  <pageMargins left="0.39370078740157483" right="0.59055118110236227" top="0.39370078740157483" bottom="0.39370078740157483" header="0.31496062992125984" footer="0.31496062992125984"/>
  <pageSetup paperSize="9" orientation="portrait" verticalDpi="300" r:id="rId1"/>
</worksheet>
</file>

<file path=xl/worksheets/sheet3.xml><?xml version="1.0" encoding="utf-8"?>
<worksheet xmlns="http://schemas.openxmlformats.org/spreadsheetml/2006/main" xmlns:r="http://schemas.openxmlformats.org/officeDocument/2006/relationships">
  <sheetPr>
    <tabColor rgb="FF92D050"/>
  </sheetPr>
  <dimension ref="A1:O812"/>
  <sheetViews>
    <sheetView rightToLeft="1" topLeftCell="A686" zoomScaleNormal="100" workbookViewId="0">
      <selection activeCell="A213" sqref="A213:E213"/>
    </sheetView>
  </sheetViews>
  <sheetFormatPr defaultRowHeight="15.75"/>
  <cols>
    <col min="1" max="1" width="4.7109375" style="356" customWidth="1"/>
    <col min="2" max="2" width="9.7109375" style="356" customWidth="1"/>
    <col min="3" max="3" width="30.7109375" style="356" customWidth="1"/>
    <col min="4" max="4" width="4.7109375" style="333" customWidth="1"/>
    <col min="5" max="8" width="10.7109375" style="333" customWidth="1"/>
    <col min="9" max="9" width="1.5703125" style="356" customWidth="1"/>
    <col min="10" max="16384" width="9.140625" style="356"/>
  </cols>
  <sheetData>
    <row r="1" spans="1:15" ht="17.25" customHeight="1">
      <c r="A1" s="445" t="s">
        <v>262</v>
      </c>
      <c r="B1" s="453"/>
      <c r="C1" s="453"/>
      <c r="D1" s="453"/>
      <c r="E1" s="453"/>
      <c r="J1" s="457" t="s">
        <v>106</v>
      </c>
      <c r="K1" s="457"/>
      <c r="L1" s="457"/>
      <c r="M1" s="458"/>
      <c r="N1" s="363"/>
      <c r="O1" s="363"/>
    </row>
    <row r="2" spans="1:15" ht="17.25" customHeight="1">
      <c r="A2" s="445" t="s">
        <v>586</v>
      </c>
      <c r="B2" s="453"/>
      <c r="C2" s="453"/>
      <c r="D2" s="453"/>
      <c r="E2" s="453"/>
      <c r="F2" s="444" t="s">
        <v>520</v>
      </c>
      <c r="G2" s="444"/>
      <c r="J2" s="457" t="s">
        <v>353</v>
      </c>
      <c r="K2" s="457"/>
      <c r="L2" s="457"/>
      <c r="M2" s="458"/>
      <c r="N2" s="458"/>
      <c r="O2" s="363"/>
    </row>
    <row r="3" spans="1:15" ht="17.25" customHeight="1" thickBot="1">
      <c r="A3" s="446" t="s">
        <v>107</v>
      </c>
      <c r="B3" s="446"/>
      <c r="C3" s="446"/>
      <c r="D3" s="446"/>
      <c r="E3" s="446"/>
      <c r="F3" s="334" t="s">
        <v>91</v>
      </c>
      <c r="G3" s="312">
        <f>تسعير!E34</f>
        <v>3.7750001532838997</v>
      </c>
      <c r="J3" s="459" t="s">
        <v>249</v>
      </c>
      <c r="K3" s="459"/>
      <c r="L3" s="459"/>
      <c r="M3" s="458"/>
      <c r="N3" s="363"/>
      <c r="O3" s="363"/>
    </row>
    <row r="4" spans="1:15" ht="21" customHeight="1" thickBot="1">
      <c r="A4" s="340" t="s">
        <v>0</v>
      </c>
      <c r="B4" s="341" t="s">
        <v>78</v>
      </c>
      <c r="C4" s="341" t="s">
        <v>77</v>
      </c>
      <c r="D4" s="341" t="s">
        <v>80</v>
      </c>
      <c r="E4" s="341" t="s">
        <v>13</v>
      </c>
      <c r="F4" s="351" t="s">
        <v>83</v>
      </c>
      <c r="G4" s="351" t="s">
        <v>14</v>
      </c>
      <c r="H4" s="352" t="s">
        <v>79</v>
      </c>
      <c r="J4" s="460" t="s">
        <v>251</v>
      </c>
      <c r="K4" s="460"/>
      <c r="L4" s="460"/>
      <c r="M4" s="458"/>
      <c r="N4" s="363"/>
      <c r="O4" s="363"/>
    </row>
    <row r="5" spans="1:15" ht="21" customHeight="1">
      <c r="A5" s="365">
        <v>1</v>
      </c>
      <c r="B5" s="140" t="s">
        <v>495</v>
      </c>
      <c r="C5" s="366" t="s">
        <v>505</v>
      </c>
      <c r="D5" s="140"/>
      <c r="E5" s="140"/>
      <c r="F5" s="313">
        <f>E5/G3</f>
        <v>0</v>
      </c>
      <c r="G5" s="314">
        <v>500</v>
      </c>
      <c r="H5" s="315">
        <f>G5+F5</f>
        <v>500</v>
      </c>
      <c r="J5" s="461" t="s">
        <v>423</v>
      </c>
      <c r="K5" s="461"/>
      <c r="L5" s="461"/>
      <c r="M5" s="461"/>
      <c r="N5" s="461"/>
      <c r="O5" s="363"/>
    </row>
    <row r="6" spans="1:15" ht="21" customHeight="1">
      <c r="A6" s="367">
        <v>2</v>
      </c>
      <c r="B6" s="94" t="s">
        <v>496</v>
      </c>
      <c r="C6" s="96" t="s">
        <v>506</v>
      </c>
      <c r="D6" s="94"/>
      <c r="E6" s="94"/>
      <c r="F6" s="109">
        <f>E6/G3</f>
        <v>0</v>
      </c>
      <c r="G6" s="111">
        <v>150</v>
      </c>
      <c r="H6" s="110">
        <f t="shared" ref="H6:H29" si="0">G6+F6</f>
        <v>150</v>
      </c>
      <c r="J6" s="459" t="s">
        <v>253</v>
      </c>
      <c r="K6" s="459"/>
      <c r="L6" s="459"/>
      <c r="M6" s="458"/>
      <c r="N6" s="363"/>
      <c r="O6" s="363"/>
    </row>
    <row r="7" spans="1:15" ht="21" customHeight="1">
      <c r="A7" s="367">
        <v>3</v>
      </c>
      <c r="B7" s="94" t="s">
        <v>497</v>
      </c>
      <c r="C7" s="96" t="s">
        <v>507</v>
      </c>
      <c r="D7" s="94"/>
      <c r="E7" s="94">
        <v>35</v>
      </c>
      <c r="F7" s="109">
        <f>E7/G3</f>
        <v>9.271522802337703</v>
      </c>
      <c r="G7" s="111"/>
      <c r="H7" s="110">
        <f t="shared" si="0"/>
        <v>9.271522802337703</v>
      </c>
      <c r="J7" s="459" t="s">
        <v>255</v>
      </c>
      <c r="K7" s="459"/>
      <c r="L7" s="459"/>
      <c r="M7" s="458"/>
      <c r="N7" s="458"/>
      <c r="O7" s="363"/>
    </row>
    <row r="8" spans="1:15" ht="21" customHeight="1">
      <c r="A8" s="367">
        <v>4</v>
      </c>
      <c r="B8" s="94" t="s">
        <v>498</v>
      </c>
      <c r="C8" s="96" t="s">
        <v>508</v>
      </c>
      <c r="D8" s="94"/>
      <c r="E8" s="94">
        <v>49</v>
      </c>
      <c r="F8" s="109">
        <f>E8/G3</f>
        <v>12.980131923272785</v>
      </c>
      <c r="G8" s="111"/>
      <c r="H8" s="110">
        <f t="shared" si="0"/>
        <v>12.980131923272785</v>
      </c>
      <c r="J8" s="457" t="s">
        <v>436</v>
      </c>
      <c r="K8" s="457"/>
      <c r="L8" s="457"/>
      <c r="M8" s="457"/>
      <c r="N8" s="457"/>
      <c r="O8" s="459"/>
    </row>
    <row r="9" spans="1:15" ht="21" customHeight="1">
      <c r="A9" s="367">
        <v>5</v>
      </c>
      <c r="B9" s="94" t="s">
        <v>499</v>
      </c>
      <c r="C9" s="96" t="s">
        <v>508</v>
      </c>
      <c r="D9" s="94"/>
      <c r="E9" s="94">
        <v>58</v>
      </c>
      <c r="F9" s="109">
        <f>E9/G3</f>
        <v>15.364237786731051</v>
      </c>
      <c r="G9" s="111"/>
      <c r="H9" s="110">
        <f t="shared" si="0"/>
        <v>15.364237786731051</v>
      </c>
      <c r="J9" s="459" t="s">
        <v>258</v>
      </c>
      <c r="K9" s="459"/>
      <c r="L9" s="459"/>
      <c r="M9" s="458"/>
      <c r="N9" s="458"/>
      <c r="O9" s="363"/>
    </row>
    <row r="10" spans="1:15" ht="21" customHeight="1">
      <c r="A10" s="367">
        <v>6</v>
      </c>
      <c r="B10" s="94" t="s">
        <v>499</v>
      </c>
      <c r="C10" s="96" t="s">
        <v>509</v>
      </c>
      <c r="D10" s="94"/>
      <c r="E10" s="94">
        <v>330</v>
      </c>
      <c r="F10" s="109">
        <f>E10/G3</f>
        <v>87.41721499346977</v>
      </c>
      <c r="G10" s="111"/>
      <c r="H10" s="110">
        <f t="shared" si="0"/>
        <v>87.41721499346977</v>
      </c>
      <c r="J10" s="459" t="s">
        <v>260</v>
      </c>
      <c r="K10" s="459"/>
      <c r="L10" s="459"/>
      <c r="M10" s="458"/>
      <c r="N10" s="458"/>
      <c r="O10" s="363"/>
    </row>
    <row r="11" spans="1:15" ht="21" customHeight="1">
      <c r="A11" s="367">
        <v>7</v>
      </c>
      <c r="B11" s="94" t="s">
        <v>500</v>
      </c>
      <c r="C11" s="96" t="s">
        <v>510</v>
      </c>
      <c r="D11" s="94"/>
      <c r="E11" s="94">
        <v>150</v>
      </c>
      <c r="F11" s="109">
        <f>E11/G3</f>
        <v>39.735097724304438</v>
      </c>
      <c r="G11" s="111"/>
      <c r="H11" s="110">
        <f t="shared" si="0"/>
        <v>39.735097724304438</v>
      </c>
      <c r="J11" s="457" t="s">
        <v>437</v>
      </c>
      <c r="K11" s="457"/>
      <c r="L11" s="457"/>
      <c r="M11" s="457"/>
      <c r="N11" s="457"/>
      <c r="O11" s="457"/>
    </row>
    <row r="12" spans="1:15" ht="21" customHeight="1">
      <c r="A12" s="367">
        <v>8</v>
      </c>
      <c r="B12" s="94" t="s">
        <v>501</v>
      </c>
      <c r="C12" s="96" t="s">
        <v>511</v>
      </c>
      <c r="D12" s="94"/>
      <c r="E12" s="94">
        <v>3809</v>
      </c>
      <c r="F12" s="109">
        <f>E12/G3</f>
        <v>1009.0065815458374</v>
      </c>
      <c r="G12" s="111"/>
      <c r="H12" s="110">
        <f t="shared" si="0"/>
        <v>1009.0065815458374</v>
      </c>
      <c r="J12" s="457" t="s">
        <v>438</v>
      </c>
      <c r="K12" s="457"/>
      <c r="L12" s="457"/>
      <c r="M12" s="457"/>
      <c r="N12" s="457"/>
      <c r="O12" s="457"/>
    </row>
    <row r="13" spans="1:15" ht="21" customHeight="1">
      <c r="A13" s="367">
        <v>9</v>
      </c>
      <c r="B13" s="94" t="s">
        <v>499</v>
      </c>
      <c r="C13" s="96" t="s">
        <v>512</v>
      </c>
      <c r="D13" s="94"/>
      <c r="E13" s="94">
        <v>150</v>
      </c>
      <c r="F13" s="109">
        <f>E13/G3</f>
        <v>39.735097724304438</v>
      </c>
      <c r="G13" s="111"/>
      <c r="H13" s="110">
        <f t="shared" si="0"/>
        <v>39.735097724304438</v>
      </c>
      <c r="J13" s="457" t="s">
        <v>439</v>
      </c>
      <c r="K13" s="457"/>
      <c r="L13" s="457"/>
      <c r="M13" s="457"/>
      <c r="N13" s="457"/>
      <c r="O13" s="457"/>
    </row>
    <row r="14" spans="1:15" ht="21" customHeight="1">
      <c r="A14" s="367">
        <v>10</v>
      </c>
      <c r="B14" s="94" t="s">
        <v>499</v>
      </c>
      <c r="C14" s="96" t="s">
        <v>512</v>
      </c>
      <c r="D14" s="94"/>
      <c r="E14" s="94">
        <v>100</v>
      </c>
      <c r="F14" s="109">
        <f>E14/G3</f>
        <v>26.490065149536296</v>
      </c>
      <c r="G14" s="111"/>
      <c r="H14" s="110">
        <f t="shared" si="0"/>
        <v>26.490065149536296</v>
      </c>
      <c r="J14" s="457" t="s">
        <v>440</v>
      </c>
      <c r="K14" s="457"/>
      <c r="L14" s="457"/>
      <c r="M14" s="457"/>
      <c r="N14" s="457"/>
      <c r="O14" s="457"/>
    </row>
    <row r="15" spans="1:15" ht="21" customHeight="1">
      <c r="A15" s="367">
        <v>11</v>
      </c>
      <c r="B15" s="94" t="s">
        <v>499</v>
      </c>
      <c r="C15" s="96" t="s">
        <v>512</v>
      </c>
      <c r="D15" s="94"/>
      <c r="E15" s="94">
        <v>80</v>
      </c>
      <c r="F15" s="109">
        <f>E15/G3</f>
        <v>21.192052119629036</v>
      </c>
      <c r="G15" s="111"/>
      <c r="H15" s="110">
        <f t="shared" si="0"/>
        <v>21.192052119629036</v>
      </c>
      <c r="J15" s="461" t="s">
        <v>441</v>
      </c>
      <c r="K15" s="461"/>
      <c r="L15" s="461"/>
      <c r="M15" s="461"/>
      <c r="N15" s="461"/>
      <c r="O15" s="461"/>
    </row>
    <row r="16" spans="1:15" ht="21" customHeight="1">
      <c r="A16" s="367">
        <v>12</v>
      </c>
      <c r="B16" s="94" t="s">
        <v>499</v>
      </c>
      <c r="C16" s="96" t="s">
        <v>513</v>
      </c>
      <c r="D16" s="94"/>
      <c r="E16" s="94">
        <v>1000</v>
      </c>
      <c r="F16" s="109">
        <f>E16/G3</f>
        <v>264.90065149536292</v>
      </c>
      <c r="G16" s="111"/>
      <c r="H16" s="110">
        <f t="shared" si="0"/>
        <v>264.90065149536292</v>
      </c>
      <c r="J16" s="457" t="s">
        <v>442</v>
      </c>
      <c r="K16" s="457"/>
      <c r="L16" s="457"/>
      <c r="M16" s="457"/>
      <c r="N16" s="457"/>
      <c r="O16" s="457"/>
    </row>
    <row r="17" spans="1:15" ht="21" customHeight="1">
      <c r="A17" s="367">
        <v>13</v>
      </c>
      <c r="B17" s="94" t="s">
        <v>502</v>
      </c>
      <c r="C17" s="96" t="s">
        <v>514</v>
      </c>
      <c r="D17" s="94"/>
      <c r="E17" s="94">
        <v>60</v>
      </c>
      <c r="F17" s="109">
        <f>E17/G3</f>
        <v>15.894039089721776</v>
      </c>
      <c r="G17" s="111"/>
      <c r="H17" s="110">
        <f t="shared" si="0"/>
        <v>15.894039089721776</v>
      </c>
      <c r="J17" s="457" t="s">
        <v>443</v>
      </c>
      <c r="K17" s="457"/>
      <c r="L17" s="457"/>
      <c r="M17" s="457"/>
      <c r="N17" s="457"/>
      <c r="O17" s="457"/>
    </row>
    <row r="18" spans="1:15" ht="21" customHeight="1">
      <c r="A18" s="367">
        <v>14</v>
      </c>
      <c r="B18" s="94" t="s">
        <v>503</v>
      </c>
      <c r="C18" s="96" t="s">
        <v>515</v>
      </c>
      <c r="D18" s="94"/>
      <c r="E18" s="94">
        <v>60</v>
      </c>
      <c r="F18" s="109">
        <f>E18/G3</f>
        <v>15.894039089721776</v>
      </c>
      <c r="G18" s="111"/>
      <c r="H18" s="110">
        <f t="shared" si="0"/>
        <v>15.894039089721776</v>
      </c>
      <c r="J18" s="457" t="s">
        <v>444</v>
      </c>
      <c r="K18" s="457"/>
      <c r="L18" s="457"/>
      <c r="M18" s="457"/>
      <c r="N18" s="457"/>
      <c r="O18" s="457"/>
    </row>
    <row r="19" spans="1:15" ht="21" customHeight="1">
      <c r="A19" s="367">
        <v>15</v>
      </c>
      <c r="B19" s="94" t="s">
        <v>497</v>
      </c>
      <c r="C19" s="96" t="s">
        <v>516</v>
      </c>
      <c r="D19" s="94"/>
      <c r="E19" s="94">
        <v>1200</v>
      </c>
      <c r="F19" s="109">
        <f>E19/G3</f>
        <v>317.88078179443551</v>
      </c>
      <c r="G19" s="111"/>
      <c r="H19" s="110">
        <f t="shared" si="0"/>
        <v>317.88078179443551</v>
      </c>
      <c r="J19" s="463"/>
      <c r="K19" s="463"/>
      <c r="L19" s="463"/>
      <c r="M19" s="463"/>
      <c r="N19" s="463"/>
      <c r="O19" s="463"/>
    </row>
    <row r="20" spans="1:15" ht="21" customHeight="1">
      <c r="A20" s="367">
        <v>16</v>
      </c>
      <c r="B20" s="94" t="s">
        <v>504</v>
      </c>
      <c r="C20" s="96" t="s">
        <v>517</v>
      </c>
      <c r="D20" s="94"/>
      <c r="E20" s="94">
        <v>343.2</v>
      </c>
      <c r="F20" s="109">
        <f>E20/G3</f>
        <v>90.913903593208559</v>
      </c>
      <c r="G20" s="111"/>
      <c r="H20" s="110">
        <f t="shared" si="0"/>
        <v>90.913903593208559</v>
      </c>
    </row>
    <row r="21" spans="1:15" ht="21" customHeight="1">
      <c r="A21" s="367">
        <v>17</v>
      </c>
      <c r="B21" s="94" t="s">
        <v>500</v>
      </c>
      <c r="C21" s="96" t="s">
        <v>602</v>
      </c>
      <c r="D21" s="94"/>
      <c r="E21" s="94"/>
      <c r="F21" s="109">
        <f>E21/G3</f>
        <v>0</v>
      </c>
      <c r="G21" s="111"/>
      <c r="H21" s="110">
        <f t="shared" si="0"/>
        <v>0</v>
      </c>
    </row>
    <row r="22" spans="1:15" ht="30.75" customHeight="1">
      <c r="A22" s="367">
        <v>18</v>
      </c>
      <c r="B22" s="94" t="s">
        <v>499</v>
      </c>
      <c r="C22" s="362" t="s">
        <v>519</v>
      </c>
      <c r="D22" s="94"/>
      <c r="E22" s="94">
        <v>1001</v>
      </c>
      <c r="F22" s="109">
        <f>E22/G3</f>
        <v>265.16555214685832</v>
      </c>
      <c r="G22" s="111"/>
      <c r="H22" s="110">
        <f t="shared" si="0"/>
        <v>265.16555214685832</v>
      </c>
    </row>
    <row r="23" spans="1:15" ht="21" customHeight="1">
      <c r="A23" s="367">
        <v>19</v>
      </c>
      <c r="B23" s="94"/>
      <c r="C23" s="96" t="s">
        <v>600</v>
      </c>
      <c r="D23" s="94"/>
      <c r="E23" s="94"/>
      <c r="F23" s="109">
        <f>E23/G3</f>
        <v>0</v>
      </c>
      <c r="G23" s="111"/>
      <c r="H23" s="110">
        <f t="shared" si="0"/>
        <v>0</v>
      </c>
    </row>
    <row r="24" spans="1:15" ht="30" customHeight="1">
      <c r="A24" s="367">
        <v>20</v>
      </c>
      <c r="B24" s="94"/>
      <c r="C24" s="362" t="s">
        <v>518</v>
      </c>
      <c r="D24" s="94"/>
      <c r="E24" s="94">
        <v>429</v>
      </c>
      <c r="F24" s="109">
        <f>E24/G3</f>
        <v>113.6423794915107</v>
      </c>
      <c r="G24" s="111"/>
      <c r="H24" s="110">
        <f t="shared" si="0"/>
        <v>113.6423794915107</v>
      </c>
    </row>
    <row r="25" spans="1:15" ht="21" customHeight="1">
      <c r="A25" s="367">
        <v>21</v>
      </c>
      <c r="B25" s="94"/>
      <c r="C25" s="94" t="s">
        <v>601</v>
      </c>
      <c r="D25" s="94"/>
      <c r="E25" s="94"/>
      <c r="F25" s="109">
        <f>E25/G3</f>
        <v>0</v>
      </c>
      <c r="G25" s="111"/>
      <c r="H25" s="110">
        <f t="shared" si="0"/>
        <v>0</v>
      </c>
    </row>
    <row r="26" spans="1:15" ht="21" customHeight="1">
      <c r="A26" s="367">
        <v>22</v>
      </c>
      <c r="B26" s="94"/>
      <c r="C26" s="94"/>
      <c r="D26" s="94">
        <v>31</v>
      </c>
      <c r="E26" s="94"/>
      <c r="F26" s="109">
        <f>E26/G3</f>
        <v>0</v>
      </c>
      <c r="G26" s="111"/>
      <c r="H26" s="110">
        <f t="shared" si="0"/>
        <v>0</v>
      </c>
    </row>
    <row r="27" spans="1:15" ht="21" customHeight="1">
      <c r="A27" s="367">
        <v>23</v>
      </c>
      <c r="B27" s="94"/>
      <c r="C27" s="94"/>
      <c r="D27" s="94"/>
      <c r="E27" s="94"/>
      <c r="F27" s="109">
        <f>E27/G3</f>
        <v>0</v>
      </c>
      <c r="G27" s="111"/>
      <c r="H27" s="110">
        <f t="shared" si="0"/>
        <v>0</v>
      </c>
    </row>
    <row r="28" spans="1:15" ht="21" customHeight="1">
      <c r="A28" s="367">
        <v>24</v>
      </c>
      <c r="B28" s="94"/>
      <c r="C28" s="94"/>
      <c r="D28" s="94"/>
      <c r="E28" s="94"/>
      <c r="F28" s="109">
        <f>E28/G3</f>
        <v>0</v>
      </c>
      <c r="G28" s="111"/>
      <c r="H28" s="110">
        <f t="shared" si="0"/>
        <v>0</v>
      </c>
    </row>
    <row r="29" spans="1:15" ht="21" customHeight="1">
      <c r="A29" s="367">
        <v>25</v>
      </c>
      <c r="B29" s="94"/>
      <c r="C29" s="381" t="s">
        <v>521</v>
      </c>
      <c r="D29" s="94">
        <f>SUM(D5:D28)</f>
        <v>31</v>
      </c>
      <c r="E29" s="94"/>
      <c r="F29" s="109">
        <f>E29/G3</f>
        <v>0</v>
      </c>
      <c r="G29" s="111"/>
      <c r="H29" s="110">
        <f t="shared" si="0"/>
        <v>0</v>
      </c>
    </row>
    <row r="30" spans="1:15" ht="21" customHeight="1" thickBot="1">
      <c r="A30" s="448" t="s">
        <v>4</v>
      </c>
      <c r="B30" s="449"/>
      <c r="C30" s="449"/>
      <c r="D30" s="450"/>
      <c r="E30" s="107">
        <f>SUM(E5:E29)</f>
        <v>8854.2000000000007</v>
      </c>
      <c r="F30" s="113">
        <f>E30/G3</f>
        <v>2345.4833484702426</v>
      </c>
      <c r="G30" s="113">
        <f>SUM(G5:G29)</f>
        <v>650</v>
      </c>
      <c r="H30" s="114">
        <f>SUM(H5:H29)</f>
        <v>2995.4833484702431</v>
      </c>
    </row>
    <row r="32" spans="1:15">
      <c r="A32" s="451" t="s">
        <v>7</v>
      </c>
      <c r="B32" s="451"/>
      <c r="C32" s="452" t="s">
        <v>8</v>
      </c>
      <c r="D32" s="452"/>
      <c r="E32" s="452" t="s">
        <v>81</v>
      </c>
      <c r="F32" s="452"/>
      <c r="G32" s="452"/>
    </row>
    <row r="34" spans="1:8" ht="18.75" customHeight="1"/>
    <row r="35" spans="1:8" ht="18.75" customHeight="1"/>
    <row r="36" spans="1:8" ht="18.75" customHeight="1"/>
    <row r="37" spans="1:8" ht="18.75" customHeight="1"/>
    <row r="43" spans="1:8" ht="17.25" customHeight="1">
      <c r="A43" s="445" t="s">
        <v>262</v>
      </c>
      <c r="B43" s="447"/>
      <c r="C43" s="447"/>
      <c r="D43" s="447"/>
      <c r="E43" s="447"/>
      <c r="F43" s="339"/>
      <c r="G43" s="339"/>
      <c r="H43" s="339"/>
    </row>
    <row r="44" spans="1:8" ht="17.25" customHeight="1">
      <c r="A44" s="445" t="s">
        <v>586</v>
      </c>
      <c r="B44" s="447"/>
      <c r="C44" s="447"/>
      <c r="D44" s="447"/>
      <c r="E44" s="447"/>
      <c r="F44" s="462" t="s">
        <v>380</v>
      </c>
      <c r="G44" s="462"/>
      <c r="H44" s="339"/>
    </row>
    <row r="45" spans="1:8" ht="17.25" customHeight="1" thickBot="1">
      <c r="A45" s="446" t="s">
        <v>352</v>
      </c>
      <c r="B45" s="446"/>
      <c r="C45" s="446"/>
      <c r="D45" s="446"/>
      <c r="E45" s="446"/>
      <c r="F45" s="360" t="s">
        <v>91</v>
      </c>
      <c r="G45" s="318">
        <f>تسعير!E34</f>
        <v>3.7750001532838997</v>
      </c>
      <c r="H45" s="339"/>
    </row>
    <row r="46" spans="1:8" ht="21" customHeight="1" thickBot="1">
      <c r="A46" s="340" t="s">
        <v>0</v>
      </c>
      <c r="B46" s="341" t="s">
        <v>78</v>
      </c>
      <c r="C46" s="341" t="s">
        <v>77</v>
      </c>
      <c r="D46" s="341" t="s">
        <v>80</v>
      </c>
      <c r="E46" s="341" t="s">
        <v>13</v>
      </c>
      <c r="F46" s="341" t="s">
        <v>83</v>
      </c>
      <c r="G46" s="341" t="s">
        <v>14</v>
      </c>
      <c r="H46" s="342" t="s">
        <v>79</v>
      </c>
    </row>
    <row r="47" spans="1:8" ht="21" customHeight="1">
      <c r="A47" s="343">
        <v>1</v>
      </c>
      <c r="B47" s="140" t="s">
        <v>371</v>
      </c>
      <c r="C47" s="344" t="s">
        <v>372</v>
      </c>
      <c r="D47" s="140"/>
      <c r="E47" s="140">
        <v>100</v>
      </c>
      <c r="F47" s="141">
        <f>E47/G3</f>
        <v>26.490065149536296</v>
      </c>
      <c r="G47" s="140"/>
      <c r="H47" s="142">
        <f>G47+F47</f>
        <v>26.490065149536296</v>
      </c>
    </row>
    <row r="48" spans="1:8" ht="21" customHeight="1">
      <c r="A48" s="345">
        <v>2</v>
      </c>
      <c r="B48" s="94" t="s">
        <v>373</v>
      </c>
      <c r="C48" s="94" t="s">
        <v>379</v>
      </c>
      <c r="D48" s="94"/>
      <c r="E48" s="94">
        <v>425</v>
      </c>
      <c r="F48" s="104">
        <f>E48/G3</f>
        <v>112.58277688552926</v>
      </c>
      <c r="G48" s="94"/>
      <c r="H48" s="105">
        <f t="shared" ref="H48:H71" si="1">G48+F48</f>
        <v>112.58277688552926</v>
      </c>
    </row>
    <row r="49" spans="1:8" ht="21" customHeight="1">
      <c r="A49" s="345">
        <v>3</v>
      </c>
      <c r="B49" s="94" t="s">
        <v>375</v>
      </c>
      <c r="C49" s="94" t="s">
        <v>374</v>
      </c>
      <c r="D49" s="94"/>
      <c r="E49" s="94">
        <v>3315</v>
      </c>
      <c r="F49" s="104">
        <f>E49/G3</f>
        <v>878.14565970712817</v>
      </c>
      <c r="G49" s="94"/>
      <c r="H49" s="105">
        <f t="shared" si="1"/>
        <v>878.14565970712817</v>
      </c>
    </row>
    <row r="50" spans="1:8" ht="21" customHeight="1">
      <c r="A50" s="345">
        <v>4</v>
      </c>
      <c r="B50" s="94" t="s">
        <v>376</v>
      </c>
      <c r="C50" s="94" t="s">
        <v>377</v>
      </c>
      <c r="D50" s="94"/>
      <c r="E50" s="94">
        <v>540</v>
      </c>
      <c r="F50" s="104">
        <f>E50/G3</f>
        <v>143.04635180749599</v>
      </c>
      <c r="G50" s="94"/>
      <c r="H50" s="105">
        <f t="shared" si="1"/>
        <v>143.04635180749599</v>
      </c>
    </row>
    <row r="51" spans="1:8" ht="21" customHeight="1">
      <c r="A51" s="345">
        <v>5</v>
      </c>
      <c r="B51" s="94"/>
      <c r="C51" s="94" t="s">
        <v>378</v>
      </c>
      <c r="D51" s="94"/>
      <c r="E51" s="94">
        <v>1760</v>
      </c>
      <c r="F51" s="104">
        <f>E51/G3</f>
        <v>466.22514663183875</v>
      </c>
      <c r="G51" s="94"/>
      <c r="H51" s="105">
        <f t="shared" si="1"/>
        <v>466.22514663183875</v>
      </c>
    </row>
    <row r="52" spans="1:8" ht="21" customHeight="1">
      <c r="A52" s="345">
        <v>6</v>
      </c>
      <c r="B52" s="94"/>
      <c r="C52" s="94"/>
      <c r="D52" s="94">
        <v>19</v>
      </c>
      <c r="E52" s="94"/>
      <c r="F52" s="104">
        <f>E52/G3</f>
        <v>0</v>
      </c>
      <c r="G52" s="94"/>
      <c r="H52" s="105">
        <f t="shared" si="1"/>
        <v>0</v>
      </c>
    </row>
    <row r="53" spans="1:8" ht="21" customHeight="1">
      <c r="A53" s="345">
        <v>7</v>
      </c>
      <c r="B53" s="94"/>
      <c r="C53" s="94"/>
      <c r="D53" s="94"/>
      <c r="E53" s="94"/>
      <c r="F53" s="104">
        <f>E53/G3</f>
        <v>0</v>
      </c>
      <c r="G53" s="94"/>
      <c r="H53" s="105">
        <f t="shared" si="1"/>
        <v>0</v>
      </c>
    </row>
    <row r="54" spans="1:8" ht="21" customHeight="1">
      <c r="A54" s="345">
        <v>8</v>
      </c>
      <c r="B54" s="94"/>
      <c r="C54" s="94"/>
      <c r="D54" s="94"/>
      <c r="E54" s="94"/>
      <c r="F54" s="104">
        <f>E54/G3</f>
        <v>0</v>
      </c>
      <c r="G54" s="94"/>
      <c r="H54" s="105">
        <f t="shared" si="1"/>
        <v>0</v>
      </c>
    </row>
    <row r="55" spans="1:8" ht="21" customHeight="1">
      <c r="A55" s="345">
        <v>9</v>
      </c>
      <c r="B55" s="94"/>
      <c r="C55" s="94"/>
      <c r="D55" s="94"/>
      <c r="E55" s="94"/>
      <c r="F55" s="104">
        <f>E55/G3</f>
        <v>0</v>
      </c>
      <c r="G55" s="94"/>
      <c r="H55" s="105">
        <f t="shared" si="1"/>
        <v>0</v>
      </c>
    </row>
    <row r="56" spans="1:8" ht="21" customHeight="1">
      <c r="A56" s="345">
        <v>10</v>
      </c>
      <c r="B56" s="94"/>
      <c r="C56" s="94"/>
      <c r="D56" s="94"/>
      <c r="E56" s="94"/>
      <c r="F56" s="104">
        <f>E56/G3</f>
        <v>0</v>
      </c>
      <c r="G56" s="94"/>
      <c r="H56" s="105">
        <f t="shared" si="1"/>
        <v>0</v>
      </c>
    </row>
    <row r="57" spans="1:8" ht="21" customHeight="1">
      <c r="A57" s="345">
        <v>11</v>
      </c>
      <c r="B57" s="94"/>
      <c r="C57" s="94"/>
      <c r="D57" s="94"/>
      <c r="E57" s="94"/>
      <c r="F57" s="104">
        <f>E57/G3</f>
        <v>0</v>
      </c>
      <c r="G57" s="94"/>
      <c r="H57" s="105">
        <f t="shared" si="1"/>
        <v>0</v>
      </c>
    </row>
    <row r="58" spans="1:8" ht="21" customHeight="1">
      <c r="A58" s="345">
        <v>12</v>
      </c>
      <c r="B58" s="94"/>
      <c r="C58" s="94"/>
      <c r="D58" s="94"/>
      <c r="E58" s="94"/>
      <c r="F58" s="104">
        <f>E58/G3</f>
        <v>0</v>
      </c>
      <c r="G58" s="94"/>
      <c r="H58" s="105">
        <f t="shared" si="1"/>
        <v>0</v>
      </c>
    </row>
    <row r="59" spans="1:8" ht="21" customHeight="1">
      <c r="A59" s="345">
        <v>13</v>
      </c>
      <c r="B59" s="94"/>
      <c r="C59" s="94"/>
      <c r="D59" s="94"/>
      <c r="E59" s="94"/>
      <c r="F59" s="104">
        <f>E59/G3</f>
        <v>0</v>
      </c>
      <c r="G59" s="94"/>
      <c r="H59" s="105">
        <f t="shared" si="1"/>
        <v>0</v>
      </c>
    </row>
    <row r="60" spans="1:8" ht="21" customHeight="1">
      <c r="A60" s="345">
        <v>14</v>
      </c>
      <c r="B60" s="94"/>
      <c r="C60" s="94"/>
      <c r="D60" s="94"/>
      <c r="E60" s="94"/>
      <c r="F60" s="104">
        <f>E60/G3</f>
        <v>0</v>
      </c>
      <c r="G60" s="94"/>
      <c r="H60" s="105">
        <f t="shared" si="1"/>
        <v>0</v>
      </c>
    </row>
    <row r="61" spans="1:8" ht="21" customHeight="1">
      <c r="A61" s="345">
        <v>15</v>
      </c>
      <c r="B61" s="94"/>
      <c r="C61" s="94"/>
      <c r="D61" s="94"/>
      <c r="E61" s="94"/>
      <c r="F61" s="104">
        <f>E61/G3</f>
        <v>0</v>
      </c>
      <c r="G61" s="94"/>
      <c r="H61" s="105">
        <f t="shared" si="1"/>
        <v>0</v>
      </c>
    </row>
    <row r="62" spans="1:8" ht="21" customHeight="1">
      <c r="A62" s="345">
        <v>16</v>
      </c>
      <c r="B62" s="94"/>
      <c r="C62" s="94"/>
      <c r="D62" s="94"/>
      <c r="E62" s="94"/>
      <c r="F62" s="104">
        <f>E62/G3</f>
        <v>0</v>
      </c>
      <c r="G62" s="94"/>
      <c r="H62" s="105">
        <f t="shared" si="1"/>
        <v>0</v>
      </c>
    </row>
    <row r="63" spans="1:8" ht="21" customHeight="1">
      <c r="A63" s="345">
        <v>17</v>
      </c>
      <c r="B63" s="94"/>
      <c r="C63" s="94"/>
      <c r="D63" s="94"/>
      <c r="E63" s="94"/>
      <c r="F63" s="104">
        <f>E63/G3</f>
        <v>0</v>
      </c>
      <c r="G63" s="94"/>
      <c r="H63" s="105">
        <f t="shared" si="1"/>
        <v>0</v>
      </c>
    </row>
    <row r="64" spans="1:8" ht="21" customHeight="1">
      <c r="A64" s="345">
        <v>18</v>
      </c>
      <c r="B64" s="94"/>
      <c r="C64" s="94"/>
      <c r="D64" s="94"/>
      <c r="E64" s="94"/>
      <c r="F64" s="104">
        <f>E64/G3</f>
        <v>0</v>
      </c>
      <c r="G64" s="94"/>
      <c r="H64" s="105">
        <f t="shared" si="1"/>
        <v>0</v>
      </c>
    </row>
    <row r="65" spans="1:8" ht="21" customHeight="1">
      <c r="A65" s="345">
        <v>19</v>
      </c>
      <c r="B65" s="94"/>
      <c r="C65" s="94"/>
      <c r="D65" s="94"/>
      <c r="E65" s="94"/>
      <c r="F65" s="104">
        <f>E65/G3</f>
        <v>0</v>
      </c>
      <c r="G65" s="94"/>
      <c r="H65" s="105">
        <f t="shared" si="1"/>
        <v>0</v>
      </c>
    </row>
    <row r="66" spans="1:8" ht="21" customHeight="1">
      <c r="A66" s="345">
        <v>20</v>
      </c>
      <c r="B66" s="94"/>
      <c r="C66" s="94"/>
      <c r="D66" s="94"/>
      <c r="E66" s="94"/>
      <c r="F66" s="104">
        <f>E66/G3</f>
        <v>0</v>
      </c>
      <c r="G66" s="94"/>
      <c r="H66" s="105">
        <f t="shared" si="1"/>
        <v>0</v>
      </c>
    </row>
    <row r="67" spans="1:8" ht="21" customHeight="1">
      <c r="A67" s="345">
        <v>21</v>
      </c>
      <c r="B67" s="94"/>
      <c r="C67" s="94"/>
      <c r="D67" s="94"/>
      <c r="E67" s="94"/>
      <c r="F67" s="104">
        <f>E67/G3</f>
        <v>0</v>
      </c>
      <c r="G67" s="94"/>
      <c r="H67" s="105">
        <f t="shared" si="1"/>
        <v>0</v>
      </c>
    </row>
    <row r="68" spans="1:8" ht="21" customHeight="1">
      <c r="A68" s="345">
        <v>22</v>
      </c>
      <c r="B68" s="94"/>
      <c r="C68" s="94"/>
      <c r="D68" s="94"/>
      <c r="E68" s="94"/>
      <c r="F68" s="104">
        <f>E68/G3</f>
        <v>0</v>
      </c>
      <c r="G68" s="94"/>
      <c r="H68" s="105">
        <f t="shared" si="1"/>
        <v>0</v>
      </c>
    </row>
    <row r="69" spans="1:8" ht="21" customHeight="1">
      <c r="A69" s="345">
        <v>23</v>
      </c>
      <c r="B69" s="94"/>
      <c r="C69" s="94"/>
      <c r="D69" s="94"/>
      <c r="E69" s="94"/>
      <c r="F69" s="104">
        <f>E69/G3</f>
        <v>0</v>
      </c>
      <c r="G69" s="94"/>
      <c r="H69" s="105">
        <f t="shared" si="1"/>
        <v>0</v>
      </c>
    </row>
    <row r="70" spans="1:8" ht="21" customHeight="1">
      <c r="A70" s="345">
        <v>24</v>
      </c>
      <c r="B70" s="94"/>
      <c r="C70" s="94"/>
      <c r="D70" s="94"/>
      <c r="E70" s="94"/>
      <c r="F70" s="104">
        <f>E70/G3</f>
        <v>0</v>
      </c>
      <c r="G70" s="94"/>
      <c r="H70" s="105">
        <f t="shared" si="1"/>
        <v>0</v>
      </c>
    </row>
    <row r="71" spans="1:8" ht="21" customHeight="1">
      <c r="A71" s="345">
        <v>25</v>
      </c>
      <c r="B71" s="94"/>
      <c r="C71" s="94"/>
      <c r="D71" s="94"/>
      <c r="E71" s="94"/>
      <c r="F71" s="104">
        <f>E71/G3</f>
        <v>0</v>
      </c>
      <c r="G71" s="94"/>
      <c r="H71" s="105">
        <f t="shared" si="1"/>
        <v>0</v>
      </c>
    </row>
    <row r="72" spans="1:8" ht="21" customHeight="1" thickBot="1">
      <c r="A72" s="448" t="s">
        <v>4</v>
      </c>
      <c r="B72" s="449"/>
      <c r="C72" s="449"/>
      <c r="D72" s="450"/>
      <c r="E72" s="107">
        <f>SUM(E47:E71)</f>
        <v>6140</v>
      </c>
      <c r="F72" s="108">
        <f>E72/G3</f>
        <v>1626.4900001815286</v>
      </c>
      <c r="G72" s="107">
        <f>SUM(G47:G71)</f>
        <v>0</v>
      </c>
      <c r="H72" s="121">
        <f>SUM(H47:H71)</f>
        <v>1626.4900001815283</v>
      </c>
    </row>
    <row r="74" spans="1:8">
      <c r="A74" s="451" t="s">
        <v>7</v>
      </c>
      <c r="B74" s="451"/>
      <c r="C74" s="452" t="s">
        <v>8</v>
      </c>
      <c r="D74" s="452"/>
      <c r="E74" s="452" t="s">
        <v>81</v>
      </c>
      <c r="F74" s="452"/>
      <c r="G74" s="452"/>
    </row>
    <row r="85" spans="1:8" ht="17.25" customHeight="1">
      <c r="A85" s="445" t="s">
        <v>262</v>
      </c>
      <c r="B85" s="453"/>
      <c r="C85" s="453"/>
      <c r="D85" s="453"/>
      <c r="E85" s="453"/>
    </row>
    <row r="86" spans="1:8" ht="17.25" customHeight="1">
      <c r="A86" s="445" t="s">
        <v>586</v>
      </c>
      <c r="B86" s="453"/>
      <c r="C86" s="453"/>
      <c r="D86" s="453"/>
      <c r="E86" s="453"/>
      <c r="F86" s="452" t="s">
        <v>606</v>
      </c>
      <c r="G86" s="452"/>
    </row>
    <row r="87" spans="1:8" ht="17.25" customHeight="1" thickBot="1">
      <c r="A87" s="446" t="s">
        <v>250</v>
      </c>
      <c r="B87" s="446"/>
      <c r="C87" s="446"/>
      <c r="D87" s="446"/>
      <c r="E87" s="446"/>
      <c r="F87" s="334" t="s">
        <v>91</v>
      </c>
      <c r="G87" s="402">
        <f>تسعير!E34</f>
        <v>3.7750001532838997</v>
      </c>
    </row>
    <row r="88" spans="1:8" ht="21" customHeight="1" thickBot="1">
      <c r="A88" s="340" t="s">
        <v>0</v>
      </c>
      <c r="B88" s="341" t="s">
        <v>78</v>
      </c>
      <c r="C88" s="341" t="s">
        <v>77</v>
      </c>
      <c r="D88" s="341" t="s">
        <v>80</v>
      </c>
      <c r="E88" s="341" t="s">
        <v>13</v>
      </c>
      <c r="F88" s="351" t="s">
        <v>83</v>
      </c>
      <c r="G88" s="351" t="s">
        <v>14</v>
      </c>
      <c r="H88" s="352" t="s">
        <v>79</v>
      </c>
    </row>
    <row r="89" spans="1:8" ht="30" customHeight="1">
      <c r="A89" s="343">
        <v>1</v>
      </c>
      <c r="B89" s="353"/>
      <c r="C89" s="139" t="s">
        <v>607</v>
      </c>
      <c r="D89" s="354"/>
      <c r="E89" s="140">
        <v>898</v>
      </c>
      <c r="F89" s="141">
        <f>E89/G3</f>
        <v>237.88078504283592</v>
      </c>
      <c r="G89" s="146"/>
      <c r="H89" s="142">
        <f>G89+F89</f>
        <v>237.88078504283592</v>
      </c>
    </row>
    <row r="90" spans="1:8" ht="21" customHeight="1">
      <c r="A90" s="345">
        <v>2</v>
      </c>
      <c r="B90" s="93"/>
      <c r="C90" s="92" t="s">
        <v>608</v>
      </c>
      <c r="D90" s="103"/>
      <c r="E90" s="94">
        <v>14794.78</v>
      </c>
      <c r="F90" s="104">
        <f>E90/G3</f>
        <v>3919.146860730566</v>
      </c>
      <c r="G90" s="94"/>
      <c r="H90" s="105">
        <f t="shared" ref="H90:H113" si="2">G90+F90</f>
        <v>3919.146860730566</v>
      </c>
    </row>
    <row r="91" spans="1:8" ht="21" customHeight="1">
      <c r="A91" s="345">
        <v>3</v>
      </c>
      <c r="B91" s="93"/>
      <c r="C91" s="94" t="s">
        <v>609</v>
      </c>
      <c r="D91" s="103"/>
      <c r="E91" s="94"/>
      <c r="F91" s="104">
        <f>E91/G3</f>
        <v>0</v>
      </c>
      <c r="G91" s="94"/>
      <c r="H91" s="105">
        <f t="shared" si="2"/>
        <v>0</v>
      </c>
    </row>
    <row r="92" spans="1:8" ht="21" customHeight="1">
      <c r="A92" s="345">
        <v>4</v>
      </c>
      <c r="B92" s="93"/>
      <c r="C92" s="94"/>
      <c r="D92" s="103">
        <v>22</v>
      </c>
      <c r="E92" s="94"/>
      <c r="F92" s="104">
        <f>E92/G3</f>
        <v>0</v>
      </c>
      <c r="G92" s="94"/>
      <c r="H92" s="105">
        <f t="shared" si="2"/>
        <v>0</v>
      </c>
    </row>
    <row r="93" spans="1:8" ht="21" customHeight="1">
      <c r="A93" s="345">
        <v>5</v>
      </c>
      <c r="B93" s="93"/>
      <c r="C93" s="96"/>
      <c r="D93" s="103"/>
      <c r="E93" s="94"/>
      <c r="F93" s="104">
        <f>E93/G45</f>
        <v>0</v>
      </c>
      <c r="G93" s="94"/>
      <c r="H93" s="105">
        <f t="shared" si="2"/>
        <v>0</v>
      </c>
    </row>
    <row r="94" spans="1:8" ht="21" customHeight="1">
      <c r="A94" s="345">
        <v>6</v>
      </c>
      <c r="B94" s="93"/>
      <c r="C94" s="96"/>
      <c r="D94" s="103"/>
      <c r="E94" s="94"/>
      <c r="F94" s="104">
        <f>E94/G3</f>
        <v>0</v>
      </c>
      <c r="G94" s="94"/>
      <c r="H94" s="105">
        <f t="shared" si="2"/>
        <v>0</v>
      </c>
    </row>
    <row r="95" spans="1:8" ht="21" customHeight="1">
      <c r="A95" s="345">
        <v>7</v>
      </c>
      <c r="B95" s="94"/>
      <c r="C95" s="94"/>
      <c r="D95" s="94"/>
      <c r="E95" s="94"/>
      <c r="F95" s="104">
        <f>E95/G3</f>
        <v>0</v>
      </c>
      <c r="G95" s="94"/>
      <c r="H95" s="105">
        <f t="shared" si="2"/>
        <v>0</v>
      </c>
    </row>
    <row r="96" spans="1:8" ht="21" customHeight="1">
      <c r="A96" s="345">
        <v>8</v>
      </c>
      <c r="B96" s="94"/>
      <c r="C96" s="94"/>
      <c r="D96" s="94"/>
      <c r="E96" s="94"/>
      <c r="F96" s="104">
        <f>E96/G3</f>
        <v>0</v>
      </c>
      <c r="G96" s="94"/>
      <c r="H96" s="105">
        <f t="shared" si="2"/>
        <v>0</v>
      </c>
    </row>
    <row r="97" spans="1:8" ht="21" customHeight="1">
      <c r="A97" s="345">
        <v>9</v>
      </c>
      <c r="B97" s="94"/>
      <c r="C97" s="94"/>
      <c r="D97" s="94"/>
      <c r="E97" s="94"/>
      <c r="F97" s="104">
        <f>E97/G3</f>
        <v>0</v>
      </c>
      <c r="G97" s="94"/>
      <c r="H97" s="105">
        <f t="shared" si="2"/>
        <v>0</v>
      </c>
    </row>
    <row r="98" spans="1:8" ht="21" customHeight="1">
      <c r="A98" s="345">
        <v>10</v>
      </c>
      <c r="B98" s="94"/>
      <c r="C98" s="94"/>
      <c r="D98" s="94"/>
      <c r="E98" s="94"/>
      <c r="F98" s="104">
        <f>E98/G3</f>
        <v>0</v>
      </c>
      <c r="G98" s="94"/>
      <c r="H98" s="105">
        <f t="shared" si="2"/>
        <v>0</v>
      </c>
    </row>
    <row r="99" spans="1:8" ht="21" customHeight="1">
      <c r="A99" s="345">
        <v>11</v>
      </c>
      <c r="B99" s="94"/>
      <c r="C99" s="94"/>
      <c r="D99" s="94"/>
      <c r="E99" s="94"/>
      <c r="F99" s="104">
        <f>E99/G3</f>
        <v>0</v>
      </c>
      <c r="G99" s="94"/>
      <c r="H99" s="105">
        <f t="shared" si="2"/>
        <v>0</v>
      </c>
    </row>
    <row r="100" spans="1:8" ht="21" customHeight="1">
      <c r="A100" s="345">
        <v>12</v>
      </c>
      <c r="B100" s="94"/>
      <c r="C100" s="94"/>
      <c r="D100" s="94"/>
      <c r="E100" s="94"/>
      <c r="F100" s="104">
        <f>E100/G3</f>
        <v>0</v>
      </c>
      <c r="G100" s="94"/>
      <c r="H100" s="105">
        <f t="shared" si="2"/>
        <v>0</v>
      </c>
    </row>
    <row r="101" spans="1:8" ht="21" customHeight="1">
      <c r="A101" s="345">
        <v>13</v>
      </c>
      <c r="B101" s="94"/>
      <c r="C101" s="94"/>
      <c r="D101" s="94"/>
      <c r="E101" s="94"/>
      <c r="F101" s="104">
        <f>E101/G3</f>
        <v>0</v>
      </c>
      <c r="G101" s="94"/>
      <c r="H101" s="105">
        <f t="shared" si="2"/>
        <v>0</v>
      </c>
    </row>
    <row r="102" spans="1:8" ht="21" customHeight="1">
      <c r="A102" s="345">
        <v>14</v>
      </c>
      <c r="B102" s="94"/>
      <c r="C102" s="94"/>
      <c r="D102" s="94"/>
      <c r="E102" s="94"/>
      <c r="F102" s="104">
        <f>E102/G3</f>
        <v>0</v>
      </c>
      <c r="G102" s="94"/>
      <c r="H102" s="105">
        <f t="shared" si="2"/>
        <v>0</v>
      </c>
    </row>
    <row r="103" spans="1:8" ht="21" customHeight="1">
      <c r="A103" s="345">
        <v>15</v>
      </c>
      <c r="B103" s="94"/>
      <c r="C103" s="94"/>
      <c r="D103" s="94"/>
      <c r="E103" s="94"/>
      <c r="F103" s="104">
        <f>E103/G3</f>
        <v>0</v>
      </c>
      <c r="G103" s="94"/>
      <c r="H103" s="105">
        <f t="shared" si="2"/>
        <v>0</v>
      </c>
    </row>
    <row r="104" spans="1:8" ht="21" customHeight="1">
      <c r="A104" s="345">
        <v>16</v>
      </c>
      <c r="B104" s="94"/>
      <c r="C104" s="94"/>
      <c r="D104" s="94"/>
      <c r="E104" s="94"/>
      <c r="F104" s="104">
        <f>E104/G3</f>
        <v>0</v>
      </c>
      <c r="G104" s="94"/>
      <c r="H104" s="105">
        <f t="shared" si="2"/>
        <v>0</v>
      </c>
    </row>
    <row r="105" spans="1:8" ht="21" customHeight="1">
      <c r="A105" s="345">
        <v>17</v>
      </c>
      <c r="B105" s="94"/>
      <c r="C105" s="94"/>
      <c r="D105" s="94"/>
      <c r="E105" s="94"/>
      <c r="F105" s="104">
        <f>E105/G3</f>
        <v>0</v>
      </c>
      <c r="G105" s="94"/>
      <c r="H105" s="105">
        <f t="shared" si="2"/>
        <v>0</v>
      </c>
    </row>
    <row r="106" spans="1:8" ht="21" customHeight="1">
      <c r="A106" s="345">
        <v>18</v>
      </c>
      <c r="B106" s="94"/>
      <c r="C106" s="94"/>
      <c r="D106" s="94"/>
      <c r="E106" s="94"/>
      <c r="F106" s="104">
        <f>E106/G3</f>
        <v>0</v>
      </c>
      <c r="G106" s="94"/>
      <c r="H106" s="105">
        <f t="shared" si="2"/>
        <v>0</v>
      </c>
    </row>
    <row r="107" spans="1:8" ht="21" customHeight="1">
      <c r="A107" s="345">
        <v>19</v>
      </c>
      <c r="B107" s="94"/>
      <c r="C107" s="94"/>
      <c r="D107" s="94"/>
      <c r="E107" s="94"/>
      <c r="F107" s="104">
        <f>E107/G3</f>
        <v>0</v>
      </c>
      <c r="G107" s="94"/>
      <c r="H107" s="105">
        <f t="shared" si="2"/>
        <v>0</v>
      </c>
    </row>
    <row r="108" spans="1:8" ht="21" customHeight="1">
      <c r="A108" s="345">
        <v>20</v>
      </c>
      <c r="B108" s="94"/>
      <c r="C108" s="94"/>
      <c r="D108" s="94"/>
      <c r="E108" s="94"/>
      <c r="F108" s="104">
        <f>E108/G3</f>
        <v>0</v>
      </c>
      <c r="G108" s="94"/>
      <c r="H108" s="105">
        <f t="shared" si="2"/>
        <v>0</v>
      </c>
    </row>
    <row r="109" spans="1:8" ht="21" customHeight="1">
      <c r="A109" s="345">
        <v>21</v>
      </c>
      <c r="B109" s="94"/>
      <c r="C109" s="94"/>
      <c r="D109" s="94"/>
      <c r="E109" s="94"/>
      <c r="F109" s="104">
        <f>E109/G3</f>
        <v>0</v>
      </c>
      <c r="G109" s="94"/>
      <c r="H109" s="105">
        <f t="shared" si="2"/>
        <v>0</v>
      </c>
    </row>
    <row r="110" spans="1:8" ht="21" customHeight="1">
      <c r="A110" s="345">
        <v>22</v>
      </c>
      <c r="B110" s="94"/>
      <c r="C110" s="94"/>
      <c r="D110" s="94"/>
      <c r="E110" s="94"/>
      <c r="F110" s="104">
        <f>E110/G3</f>
        <v>0</v>
      </c>
      <c r="G110" s="94"/>
      <c r="H110" s="105">
        <f t="shared" si="2"/>
        <v>0</v>
      </c>
    </row>
    <row r="111" spans="1:8" ht="21" customHeight="1">
      <c r="A111" s="345">
        <v>23</v>
      </c>
      <c r="B111" s="94"/>
      <c r="C111" s="94"/>
      <c r="D111" s="94"/>
      <c r="E111" s="94"/>
      <c r="F111" s="104">
        <f>E111/G3</f>
        <v>0</v>
      </c>
      <c r="G111" s="94"/>
      <c r="H111" s="105">
        <f t="shared" si="2"/>
        <v>0</v>
      </c>
    </row>
    <row r="112" spans="1:8" ht="21" customHeight="1">
      <c r="A112" s="345">
        <v>24</v>
      </c>
      <c r="B112" s="94"/>
      <c r="C112" s="94"/>
      <c r="D112" s="94"/>
      <c r="E112" s="94"/>
      <c r="F112" s="104">
        <f>E112/G3</f>
        <v>0</v>
      </c>
      <c r="G112" s="94"/>
      <c r="H112" s="105">
        <f t="shared" si="2"/>
        <v>0</v>
      </c>
    </row>
    <row r="113" spans="1:8" ht="21" customHeight="1">
      <c r="A113" s="345">
        <v>25</v>
      </c>
      <c r="B113" s="94"/>
      <c r="C113" s="94"/>
      <c r="D113" s="94">
        <f>SUM(D89:D112)</f>
        <v>22</v>
      </c>
      <c r="E113" s="94"/>
      <c r="F113" s="104">
        <f>E113/G3</f>
        <v>0</v>
      </c>
      <c r="G113" s="94"/>
      <c r="H113" s="105">
        <f t="shared" si="2"/>
        <v>0</v>
      </c>
    </row>
    <row r="114" spans="1:8" ht="21" customHeight="1" thickBot="1">
      <c r="A114" s="448" t="s">
        <v>4</v>
      </c>
      <c r="B114" s="449"/>
      <c r="C114" s="449"/>
      <c r="D114" s="450"/>
      <c r="E114" s="107">
        <f>SUM(E89:E113)</f>
        <v>15692.78</v>
      </c>
      <c r="F114" s="108">
        <f>E114/G3</f>
        <v>4157.0276457734017</v>
      </c>
      <c r="G114" s="115">
        <f>SUM(G89:G113)</f>
        <v>0</v>
      </c>
      <c r="H114" s="121">
        <f>SUM(H89:H113)</f>
        <v>4157.0276457734017</v>
      </c>
    </row>
    <row r="116" spans="1:8">
      <c r="A116" s="451" t="s">
        <v>7</v>
      </c>
      <c r="B116" s="451"/>
      <c r="C116" s="452" t="s">
        <v>272</v>
      </c>
      <c r="D116" s="452"/>
      <c r="E116" s="452" t="s">
        <v>273</v>
      </c>
      <c r="F116" s="452"/>
      <c r="G116" s="452"/>
    </row>
    <row r="127" spans="1:8" ht="17.25" customHeight="1">
      <c r="A127" s="445" t="s">
        <v>262</v>
      </c>
      <c r="B127" s="453"/>
      <c r="C127" s="453"/>
      <c r="D127" s="453"/>
      <c r="E127" s="453"/>
    </row>
    <row r="128" spans="1:8" ht="17.25" customHeight="1">
      <c r="A128" s="445" t="s">
        <v>586</v>
      </c>
      <c r="B128" s="453"/>
      <c r="C128" s="453"/>
      <c r="D128" s="453"/>
      <c r="E128" s="453"/>
      <c r="F128" s="452" t="s">
        <v>573</v>
      </c>
      <c r="G128" s="452"/>
    </row>
    <row r="129" spans="1:8" ht="17.25" customHeight="1" thickBot="1">
      <c r="A129" s="446" t="s">
        <v>252</v>
      </c>
      <c r="B129" s="446"/>
      <c r="C129" s="446"/>
      <c r="D129" s="446"/>
      <c r="E129" s="446"/>
      <c r="F129" s="334" t="s">
        <v>91</v>
      </c>
      <c r="G129" s="312">
        <f>تسعير!E34</f>
        <v>3.7750001532838997</v>
      </c>
    </row>
    <row r="130" spans="1:8" ht="21" customHeight="1">
      <c r="A130" s="349" t="s">
        <v>0</v>
      </c>
      <c r="B130" s="20" t="s">
        <v>78</v>
      </c>
      <c r="C130" s="20" t="s">
        <v>77</v>
      </c>
      <c r="D130" s="20" t="s">
        <v>80</v>
      </c>
      <c r="E130" s="20" t="s">
        <v>13</v>
      </c>
      <c r="F130" s="335" t="s">
        <v>83</v>
      </c>
      <c r="G130" s="335" t="s">
        <v>14</v>
      </c>
      <c r="H130" s="336" t="s">
        <v>79</v>
      </c>
    </row>
    <row r="131" spans="1:8" ht="30" customHeight="1">
      <c r="A131" s="345">
        <v>1</v>
      </c>
      <c r="B131" s="94"/>
      <c r="C131" s="145" t="s">
        <v>570</v>
      </c>
      <c r="D131" s="94"/>
      <c r="E131" s="94">
        <v>13459</v>
      </c>
      <c r="F131" s="104">
        <f>E131/G3</f>
        <v>3565.2978684760897</v>
      </c>
      <c r="G131" s="94"/>
      <c r="H131" s="105">
        <f>G131+F131</f>
        <v>3565.2978684760897</v>
      </c>
    </row>
    <row r="132" spans="1:8" ht="21" customHeight="1">
      <c r="A132" s="345">
        <v>2</v>
      </c>
      <c r="B132" s="94"/>
      <c r="C132" s="94" t="s">
        <v>571</v>
      </c>
      <c r="D132" s="94"/>
      <c r="E132" s="94">
        <v>1595.88</v>
      </c>
      <c r="F132" s="104">
        <f>E132/G3</f>
        <v>422.74965170841983</v>
      </c>
      <c r="G132" s="94"/>
      <c r="H132" s="105">
        <f t="shared" ref="H132:H155" si="3">G132+F132</f>
        <v>422.74965170841983</v>
      </c>
    </row>
    <row r="133" spans="1:8" ht="21" customHeight="1">
      <c r="A133" s="345">
        <v>3</v>
      </c>
      <c r="B133" s="94"/>
      <c r="C133" s="94" t="s">
        <v>572</v>
      </c>
      <c r="D133" s="94"/>
      <c r="E133" s="94"/>
      <c r="F133" s="104">
        <f>E133/G3</f>
        <v>0</v>
      </c>
      <c r="G133" s="94"/>
      <c r="H133" s="105">
        <f t="shared" si="3"/>
        <v>0</v>
      </c>
    </row>
    <row r="134" spans="1:8" ht="21" customHeight="1">
      <c r="A134" s="345">
        <v>4</v>
      </c>
      <c r="B134" s="94"/>
      <c r="C134" s="94"/>
      <c r="D134" s="94"/>
      <c r="E134" s="94"/>
      <c r="F134" s="104">
        <f>E134/G3</f>
        <v>0</v>
      </c>
      <c r="G134" s="94"/>
      <c r="H134" s="105">
        <f t="shared" si="3"/>
        <v>0</v>
      </c>
    </row>
    <row r="135" spans="1:8" ht="21" customHeight="1">
      <c r="A135" s="345">
        <v>5</v>
      </c>
      <c r="B135" s="94"/>
      <c r="C135" s="94"/>
      <c r="D135" s="94"/>
      <c r="E135" s="94"/>
      <c r="F135" s="104">
        <f>E135/G3</f>
        <v>0</v>
      </c>
      <c r="G135" s="94"/>
      <c r="H135" s="105">
        <f t="shared" si="3"/>
        <v>0</v>
      </c>
    </row>
    <row r="136" spans="1:8" ht="21" customHeight="1">
      <c r="A136" s="345">
        <v>6</v>
      </c>
      <c r="B136" s="94"/>
      <c r="C136" s="94"/>
      <c r="D136" s="94"/>
      <c r="E136" s="94"/>
      <c r="F136" s="104">
        <f>E136/G3</f>
        <v>0</v>
      </c>
      <c r="G136" s="94"/>
      <c r="H136" s="105">
        <f t="shared" si="3"/>
        <v>0</v>
      </c>
    </row>
    <row r="137" spans="1:8" ht="21" customHeight="1">
      <c r="A137" s="345">
        <v>7</v>
      </c>
      <c r="B137" s="94"/>
      <c r="C137" s="94"/>
      <c r="D137" s="94"/>
      <c r="E137" s="94"/>
      <c r="F137" s="104">
        <f>E137/G3</f>
        <v>0</v>
      </c>
      <c r="G137" s="94"/>
      <c r="H137" s="105">
        <f t="shared" si="3"/>
        <v>0</v>
      </c>
    </row>
    <row r="138" spans="1:8" ht="21" customHeight="1">
      <c r="A138" s="345">
        <v>8</v>
      </c>
      <c r="B138" s="94"/>
      <c r="C138" s="94"/>
      <c r="D138" s="94"/>
      <c r="E138" s="94"/>
      <c r="F138" s="104">
        <f>E138/G3</f>
        <v>0</v>
      </c>
      <c r="G138" s="94"/>
      <c r="H138" s="105">
        <f t="shared" si="3"/>
        <v>0</v>
      </c>
    </row>
    <row r="139" spans="1:8" ht="21" customHeight="1">
      <c r="A139" s="345">
        <v>9</v>
      </c>
      <c r="B139" s="94"/>
      <c r="C139" s="94"/>
      <c r="D139" s="94"/>
      <c r="E139" s="94"/>
      <c r="F139" s="104">
        <f>E139/G3</f>
        <v>0</v>
      </c>
      <c r="G139" s="94"/>
      <c r="H139" s="105">
        <f t="shared" si="3"/>
        <v>0</v>
      </c>
    </row>
    <row r="140" spans="1:8" ht="21" customHeight="1">
      <c r="A140" s="345">
        <v>10</v>
      </c>
      <c r="B140" s="94"/>
      <c r="C140" s="94"/>
      <c r="D140" s="94"/>
      <c r="E140" s="94"/>
      <c r="F140" s="104">
        <f>E140/G3</f>
        <v>0</v>
      </c>
      <c r="G140" s="94"/>
      <c r="H140" s="105">
        <f t="shared" si="3"/>
        <v>0</v>
      </c>
    </row>
    <row r="141" spans="1:8" ht="21" customHeight="1">
      <c r="A141" s="345">
        <v>11</v>
      </c>
      <c r="B141" s="94"/>
      <c r="C141" s="94"/>
      <c r="D141" s="94"/>
      <c r="E141" s="94"/>
      <c r="F141" s="104">
        <f>E141/G3</f>
        <v>0</v>
      </c>
      <c r="G141" s="94"/>
      <c r="H141" s="105">
        <f t="shared" si="3"/>
        <v>0</v>
      </c>
    </row>
    <row r="142" spans="1:8" ht="21" customHeight="1">
      <c r="A142" s="345">
        <v>12</v>
      </c>
      <c r="B142" s="94"/>
      <c r="C142" s="94"/>
      <c r="D142" s="94"/>
      <c r="E142" s="94"/>
      <c r="F142" s="104">
        <f>E142/G3</f>
        <v>0</v>
      </c>
      <c r="G142" s="94"/>
      <c r="H142" s="105">
        <f t="shared" si="3"/>
        <v>0</v>
      </c>
    </row>
    <row r="143" spans="1:8" ht="21" customHeight="1">
      <c r="A143" s="345">
        <v>13</v>
      </c>
      <c r="B143" s="94"/>
      <c r="C143" s="94"/>
      <c r="D143" s="94"/>
      <c r="E143" s="94"/>
      <c r="F143" s="104">
        <f>E143/G3</f>
        <v>0</v>
      </c>
      <c r="G143" s="94"/>
      <c r="H143" s="105">
        <f t="shared" si="3"/>
        <v>0</v>
      </c>
    </row>
    <row r="144" spans="1:8" ht="21" customHeight="1">
      <c r="A144" s="345">
        <v>14</v>
      </c>
      <c r="B144" s="94"/>
      <c r="C144" s="94"/>
      <c r="D144" s="94"/>
      <c r="E144" s="94"/>
      <c r="F144" s="104">
        <f>E144/G3</f>
        <v>0</v>
      </c>
      <c r="G144" s="94"/>
      <c r="H144" s="105">
        <f t="shared" si="3"/>
        <v>0</v>
      </c>
    </row>
    <row r="145" spans="1:8" ht="21" customHeight="1">
      <c r="A145" s="345">
        <v>15</v>
      </c>
      <c r="B145" s="94"/>
      <c r="C145" s="94"/>
      <c r="D145" s="94"/>
      <c r="E145" s="94"/>
      <c r="F145" s="104">
        <f>E145/G3</f>
        <v>0</v>
      </c>
      <c r="G145" s="94"/>
      <c r="H145" s="105">
        <f t="shared" si="3"/>
        <v>0</v>
      </c>
    </row>
    <row r="146" spans="1:8" ht="21" customHeight="1">
      <c r="A146" s="345">
        <v>16</v>
      </c>
      <c r="B146" s="94"/>
      <c r="C146" s="94"/>
      <c r="D146" s="94"/>
      <c r="E146" s="94"/>
      <c r="F146" s="104">
        <f>E146/G3</f>
        <v>0</v>
      </c>
      <c r="G146" s="94"/>
      <c r="H146" s="105">
        <f t="shared" si="3"/>
        <v>0</v>
      </c>
    </row>
    <row r="147" spans="1:8" ht="21" customHeight="1">
      <c r="A147" s="345">
        <v>17</v>
      </c>
      <c r="B147" s="94"/>
      <c r="C147" s="94"/>
      <c r="D147" s="94"/>
      <c r="E147" s="94"/>
      <c r="F147" s="104">
        <f>E147/G3</f>
        <v>0</v>
      </c>
      <c r="G147" s="94"/>
      <c r="H147" s="105">
        <f t="shared" si="3"/>
        <v>0</v>
      </c>
    </row>
    <row r="148" spans="1:8" ht="21" customHeight="1">
      <c r="A148" s="345">
        <v>18</v>
      </c>
      <c r="B148" s="94"/>
      <c r="C148" s="94"/>
      <c r="D148" s="94"/>
      <c r="E148" s="94"/>
      <c r="F148" s="104">
        <f>E148/G3</f>
        <v>0</v>
      </c>
      <c r="G148" s="94"/>
      <c r="H148" s="105">
        <f t="shared" si="3"/>
        <v>0</v>
      </c>
    </row>
    <row r="149" spans="1:8" ht="21" customHeight="1">
      <c r="A149" s="345">
        <v>19</v>
      </c>
      <c r="B149" s="94"/>
      <c r="C149" s="94"/>
      <c r="D149" s="94"/>
      <c r="E149" s="94"/>
      <c r="F149" s="104">
        <f>E149/G3</f>
        <v>0</v>
      </c>
      <c r="G149" s="94"/>
      <c r="H149" s="105">
        <f t="shared" si="3"/>
        <v>0</v>
      </c>
    </row>
    <row r="150" spans="1:8" ht="21" customHeight="1">
      <c r="A150" s="345">
        <v>20</v>
      </c>
      <c r="B150" s="94"/>
      <c r="C150" s="94"/>
      <c r="D150" s="94"/>
      <c r="E150" s="94"/>
      <c r="F150" s="104">
        <f>E150/G3</f>
        <v>0</v>
      </c>
      <c r="G150" s="94"/>
      <c r="H150" s="105">
        <f t="shared" si="3"/>
        <v>0</v>
      </c>
    </row>
    <row r="151" spans="1:8" ht="21" customHeight="1">
      <c r="A151" s="345">
        <v>21</v>
      </c>
      <c r="B151" s="94"/>
      <c r="C151" s="94"/>
      <c r="D151" s="94"/>
      <c r="E151" s="94"/>
      <c r="F151" s="104">
        <f>E151/G3</f>
        <v>0</v>
      </c>
      <c r="G151" s="94"/>
      <c r="H151" s="105">
        <f t="shared" si="3"/>
        <v>0</v>
      </c>
    </row>
    <row r="152" spans="1:8" ht="21" customHeight="1">
      <c r="A152" s="345">
        <v>22</v>
      </c>
      <c r="B152" s="94"/>
      <c r="C152" s="94"/>
      <c r="D152" s="94"/>
      <c r="E152" s="94"/>
      <c r="F152" s="104">
        <f>E152/G3</f>
        <v>0</v>
      </c>
      <c r="G152" s="94"/>
      <c r="H152" s="105">
        <f t="shared" si="3"/>
        <v>0</v>
      </c>
    </row>
    <row r="153" spans="1:8" ht="21" customHeight="1">
      <c r="A153" s="345">
        <v>23</v>
      </c>
      <c r="B153" s="94"/>
      <c r="C153" s="94"/>
      <c r="D153" s="94"/>
      <c r="E153" s="94"/>
      <c r="F153" s="104">
        <f>E153/G3</f>
        <v>0</v>
      </c>
      <c r="G153" s="94"/>
      <c r="H153" s="105">
        <f t="shared" si="3"/>
        <v>0</v>
      </c>
    </row>
    <row r="154" spans="1:8" ht="21" customHeight="1">
      <c r="A154" s="345">
        <v>24</v>
      </c>
      <c r="B154" s="94"/>
      <c r="C154" s="94"/>
      <c r="D154" s="94"/>
      <c r="E154" s="94"/>
      <c r="F154" s="104">
        <f>E154/G3</f>
        <v>0</v>
      </c>
      <c r="G154" s="94"/>
      <c r="H154" s="105">
        <f t="shared" si="3"/>
        <v>0</v>
      </c>
    </row>
    <row r="155" spans="1:8" ht="21" customHeight="1">
      <c r="A155" s="345">
        <v>25</v>
      </c>
      <c r="B155" s="94"/>
      <c r="C155" s="94"/>
      <c r="D155" s="94">
        <f>SUM(D131:D154)</f>
        <v>0</v>
      </c>
      <c r="E155" s="94"/>
      <c r="F155" s="104">
        <f>E155/G3</f>
        <v>0</v>
      </c>
      <c r="G155" s="94"/>
      <c r="H155" s="105">
        <f t="shared" si="3"/>
        <v>0</v>
      </c>
    </row>
    <row r="156" spans="1:8" ht="21" customHeight="1" thickBot="1">
      <c r="A156" s="448" t="s">
        <v>4</v>
      </c>
      <c r="B156" s="449"/>
      <c r="C156" s="449"/>
      <c r="D156" s="450"/>
      <c r="E156" s="107">
        <f>SUM(E131:E155)</f>
        <v>15054.880000000001</v>
      </c>
      <c r="F156" s="108">
        <f>E156/G3</f>
        <v>3988.0475201845097</v>
      </c>
      <c r="G156" s="107">
        <f>SUM(G131:G155)</f>
        <v>0</v>
      </c>
      <c r="H156" s="121">
        <f>SUM(H131:H155)</f>
        <v>3988.0475201845093</v>
      </c>
    </row>
    <row r="158" spans="1:8">
      <c r="A158" s="451" t="s">
        <v>7</v>
      </c>
      <c r="B158" s="451"/>
      <c r="C158" s="452" t="s">
        <v>272</v>
      </c>
      <c r="D158" s="452"/>
      <c r="E158" s="452" t="s">
        <v>275</v>
      </c>
      <c r="F158" s="452"/>
      <c r="G158" s="452"/>
    </row>
    <row r="169" spans="1:8" ht="17.25" customHeight="1">
      <c r="A169" s="445" t="s">
        <v>262</v>
      </c>
      <c r="B169" s="453"/>
      <c r="C169" s="453"/>
      <c r="D169" s="453"/>
      <c r="E169" s="453"/>
    </row>
    <row r="170" spans="1:8" ht="17.25" customHeight="1">
      <c r="A170" s="445" t="s">
        <v>586</v>
      </c>
      <c r="B170" s="453"/>
      <c r="C170" s="453"/>
      <c r="D170" s="453"/>
      <c r="E170" s="453"/>
      <c r="F170" s="452" t="s">
        <v>425</v>
      </c>
      <c r="G170" s="452"/>
    </row>
    <row r="171" spans="1:8" ht="17.25" customHeight="1" thickBot="1">
      <c r="A171" s="446" t="s">
        <v>423</v>
      </c>
      <c r="B171" s="446"/>
      <c r="C171" s="446"/>
      <c r="D171" s="446"/>
      <c r="E171" s="446"/>
      <c r="F171" s="334" t="s">
        <v>91</v>
      </c>
      <c r="G171" s="402">
        <f>تسعير!E34</f>
        <v>3.7750001532838997</v>
      </c>
    </row>
    <row r="172" spans="1:8" ht="21" customHeight="1">
      <c r="A172" s="349" t="s">
        <v>0</v>
      </c>
      <c r="B172" s="20" t="s">
        <v>78</v>
      </c>
      <c r="C172" s="20" t="s">
        <v>77</v>
      </c>
      <c r="D172" s="20" t="s">
        <v>80</v>
      </c>
      <c r="E172" s="20" t="s">
        <v>13</v>
      </c>
      <c r="F172" s="335" t="s">
        <v>83</v>
      </c>
      <c r="G172" s="335" t="s">
        <v>14</v>
      </c>
      <c r="H172" s="336" t="s">
        <v>79</v>
      </c>
    </row>
    <row r="173" spans="1:8" ht="21" customHeight="1">
      <c r="A173" s="345">
        <v>1</v>
      </c>
      <c r="B173" s="94" t="s">
        <v>426</v>
      </c>
      <c r="C173" s="144" t="s">
        <v>431</v>
      </c>
      <c r="D173" s="94"/>
      <c r="E173" s="94">
        <v>57</v>
      </c>
      <c r="F173" s="104">
        <f>E173/G3</f>
        <v>15.099337135235688</v>
      </c>
      <c r="G173" s="94"/>
      <c r="H173" s="105">
        <f>G173+F173</f>
        <v>15.099337135235688</v>
      </c>
    </row>
    <row r="174" spans="1:8" ht="21" customHeight="1">
      <c r="A174" s="345">
        <v>2</v>
      </c>
      <c r="B174" s="94" t="s">
        <v>427</v>
      </c>
      <c r="C174" s="94" t="s">
        <v>432</v>
      </c>
      <c r="D174" s="94"/>
      <c r="E174" s="94">
        <v>29</v>
      </c>
      <c r="F174" s="104">
        <f>E174/G3</f>
        <v>7.6821188933655256</v>
      </c>
      <c r="G174" s="94"/>
      <c r="H174" s="105">
        <f t="shared" ref="H174:H197" si="4">G174+F174</f>
        <v>7.6821188933655256</v>
      </c>
    </row>
    <row r="175" spans="1:8" ht="21" customHeight="1">
      <c r="A175" s="345">
        <v>3</v>
      </c>
      <c r="B175" s="94" t="s">
        <v>428</v>
      </c>
      <c r="C175" s="94" t="s">
        <v>432</v>
      </c>
      <c r="D175" s="94"/>
      <c r="E175" s="94">
        <v>38</v>
      </c>
      <c r="F175" s="104">
        <f>E175/G3</f>
        <v>10.066224756823791</v>
      </c>
      <c r="G175" s="94"/>
      <c r="H175" s="105">
        <f t="shared" si="4"/>
        <v>10.066224756823791</v>
      </c>
    </row>
    <row r="176" spans="1:8" ht="21" customHeight="1">
      <c r="A176" s="345">
        <v>4</v>
      </c>
      <c r="B176" s="94" t="s">
        <v>429</v>
      </c>
      <c r="C176" s="94" t="s">
        <v>433</v>
      </c>
      <c r="D176" s="94"/>
      <c r="E176" s="94">
        <v>47</v>
      </c>
      <c r="F176" s="104">
        <f>E176/G3</f>
        <v>12.450330620282058</v>
      </c>
      <c r="G176" s="94"/>
      <c r="H176" s="105">
        <f t="shared" si="4"/>
        <v>12.450330620282058</v>
      </c>
    </row>
    <row r="177" spans="1:8" ht="21" customHeight="1">
      <c r="A177" s="345">
        <v>5</v>
      </c>
      <c r="B177" s="94" t="s">
        <v>430</v>
      </c>
      <c r="C177" s="94" t="s">
        <v>434</v>
      </c>
      <c r="D177" s="94"/>
      <c r="E177" s="94">
        <v>1001</v>
      </c>
      <c r="F177" s="104">
        <f>E177/G3</f>
        <v>265.16555214685832</v>
      </c>
      <c r="G177" s="94"/>
      <c r="H177" s="105">
        <f t="shared" si="4"/>
        <v>265.16555214685832</v>
      </c>
    </row>
    <row r="178" spans="1:8" ht="21" customHeight="1">
      <c r="A178" s="345">
        <v>6</v>
      </c>
      <c r="B178" s="94"/>
      <c r="C178" s="94" t="s">
        <v>603</v>
      </c>
      <c r="D178" s="94"/>
      <c r="E178" s="94"/>
      <c r="F178" s="104">
        <f>E178/G3</f>
        <v>0</v>
      </c>
      <c r="G178" s="94"/>
      <c r="H178" s="105">
        <f t="shared" si="4"/>
        <v>0</v>
      </c>
    </row>
    <row r="179" spans="1:8" ht="21" customHeight="1">
      <c r="A179" s="345">
        <v>7</v>
      </c>
      <c r="B179" s="94"/>
      <c r="C179" s="94"/>
      <c r="D179" s="94">
        <v>11</v>
      </c>
      <c r="E179" s="94"/>
      <c r="F179" s="104">
        <f>E179/G3</f>
        <v>0</v>
      </c>
      <c r="G179" s="94"/>
      <c r="H179" s="105">
        <f t="shared" si="4"/>
        <v>0</v>
      </c>
    </row>
    <row r="180" spans="1:8" ht="21" customHeight="1">
      <c r="A180" s="345">
        <v>8</v>
      </c>
      <c r="B180" s="94"/>
      <c r="C180" s="94"/>
      <c r="D180" s="94"/>
      <c r="E180" s="94"/>
      <c r="F180" s="104">
        <f>E180/G3</f>
        <v>0</v>
      </c>
      <c r="G180" s="94"/>
      <c r="H180" s="105">
        <f t="shared" si="4"/>
        <v>0</v>
      </c>
    </row>
    <row r="181" spans="1:8" ht="21" customHeight="1">
      <c r="A181" s="345">
        <v>9</v>
      </c>
      <c r="B181" s="94"/>
      <c r="C181" s="94"/>
      <c r="D181" s="94"/>
      <c r="E181" s="94"/>
      <c r="F181" s="104">
        <f>E181/G3</f>
        <v>0</v>
      </c>
      <c r="G181" s="94"/>
      <c r="H181" s="105">
        <f t="shared" si="4"/>
        <v>0</v>
      </c>
    </row>
    <row r="182" spans="1:8" ht="21" customHeight="1">
      <c r="A182" s="345">
        <v>10</v>
      </c>
      <c r="B182" s="94"/>
      <c r="C182" s="94"/>
      <c r="D182" s="94"/>
      <c r="E182" s="94"/>
      <c r="F182" s="104">
        <f>E182/G3</f>
        <v>0</v>
      </c>
      <c r="G182" s="94"/>
      <c r="H182" s="105">
        <f t="shared" si="4"/>
        <v>0</v>
      </c>
    </row>
    <row r="183" spans="1:8" ht="21" customHeight="1">
      <c r="A183" s="345">
        <v>11</v>
      </c>
      <c r="B183" s="94"/>
      <c r="C183" s="94"/>
      <c r="D183" s="94"/>
      <c r="E183" s="94"/>
      <c r="F183" s="104">
        <f>E183/G3</f>
        <v>0</v>
      </c>
      <c r="G183" s="94"/>
      <c r="H183" s="105">
        <f t="shared" si="4"/>
        <v>0</v>
      </c>
    </row>
    <row r="184" spans="1:8" ht="21" customHeight="1">
      <c r="A184" s="345">
        <v>12</v>
      </c>
      <c r="B184" s="94"/>
      <c r="C184" s="94"/>
      <c r="D184" s="94"/>
      <c r="E184" s="94"/>
      <c r="F184" s="104">
        <f>E184/G3</f>
        <v>0</v>
      </c>
      <c r="G184" s="94"/>
      <c r="H184" s="105">
        <f t="shared" si="4"/>
        <v>0</v>
      </c>
    </row>
    <row r="185" spans="1:8" ht="21" customHeight="1">
      <c r="A185" s="345">
        <v>13</v>
      </c>
      <c r="B185" s="94"/>
      <c r="C185" s="94"/>
      <c r="D185" s="94"/>
      <c r="E185" s="94"/>
      <c r="F185" s="104">
        <f>E185/G3</f>
        <v>0</v>
      </c>
      <c r="G185" s="94"/>
      <c r="H185" s="105">
        <f t="shared" si="4"/>
        <v>0</v>
      </c>
    </row>
    <row r="186" spans="1:8" ht="21" customHeight="1">
      <c r="A186" s="345">
        <v>14</v>
      </c>
      <c r="B186" s="94"/>
      <c r="C186" s="94"/>
      <c r="D186" s="94"/>
      <c r="E186" s="94"/>
      <c r="F186" s="104">
        <f>E186/G3</f>
        <v>0</v>
      </c>
      <c r="G186" s="94"/>
      <c r="H186" s="105">
        <f t="shared" si="4"/>
        <v>0</v>
      </c>
    </row>
    <row r="187" spans="1:8" ht="21" customHeight="1">
      <c r="A187" s="345">
        <v>15</v>
      </c>
      <c r="B187" s="94"/>
      <c r="C187" s="94"/>
      <c r="D187" s="94"/>
      <c r="E187" s="94"/>
      <c r="F187" s="104">
        <f>E187/G3</f>
        <v>0</v>
      </c>
      <c r="G187" s="94"/>
      <c r="H187" s="105">
        <f t="shared" si="4"/>
        <v>0</v>
      </c>
    </row>
    <row r="188" spans="1:8" ht="21" customHeight="1">
      <c r="A188" s="345">
        <v>16</v>
      </c>
      <c r="B188" s="94"/>
      <c r="C188" s="94"/>
      <c r="D188" s="94"/>
      <c r="E188" s="94"/>
      <c r="F188" s="104">
        <f>E188/G3</f>
        <v>0</v>
      </c>
      <c r="G188" s="94"/>
      <c r="H188" s="105">
        <f t="shared" si="4"/>
        <v>0</v>
      </c>
    </row>
    <row r="189" spans="1:8" ht="21" customHeight="1">
      <c r="A189" s="345">
        <v>17</v>
      </c>
      <c r="B189" s="94"/>
      <c r="C189" s="94"/>
      <c r="D189" s="94"/>
      <c r="E189" s="94"/>
      <c r="F189" s="104">
        <f>E189/G3</f>
        <v>0</v>
      </c>
      <c r="G189" s="94"/>
      <c r="H189" s="105">
        <f t="shared" si="4"/>
        <v>0</v>
      </c>
    </row>
    <row r="190" spans="1:8" ht="21" customHeight="1">
      <c r="A190" s="345">
        <v>18</v>
      </c>
      <c r="B190" s="94"/>
      <c r="C190" s="94"/>
      <c r="D190" s="94"/>
      <c r="E190" s="94"/>
      <c r="F190" s="104">
        <f>E190/G3</f>
        <v>0</v>
      </c>
      <c r="G190" s="94"/>
      <c r="H190" s="105">
        <f t="shared" si="4"/>
        <v>0</v>
      </c>
    </row>
    <row r="191" spans="1:8" ht="21" customHeight="1">
      <c r="A191" s="345">
        <v>19</v>
      </c>
      <c r="B191" s="94"/>
      <c r="C191" s="94"/>
      <c r="D191" s="94"/>
      <c r="E191" s="94"/>
      <c r="F191" s="104">
        <f>E191/G3</f>
        <v>0</v>
      </c>
      <c r="G191" s="94"/>
      <c r="H191" s="105">
        <f t="shared" si="4"/>
        <v>0</v>
      </c>
    </row>
    <row r="192" spans="1:8" ht="21" customHeight="1">
      <c r="A192" s="345">
        <v>20</v>
      </c>
      <c r="B192" s="94"/>
      <c r="C192" s="94"/>
      <c r="D192" s="94"/>
      <c r="E192" s="94"/>
      <c r="F192" s="104">
        <f>E192/G3</f>
        <v>0</v>
      </c>
      <c r="G192" s="94"/>
      <c r="H192" s="105">
        <f t="shared" si="4"/>
        <v>0</v>
      </c>
    </row>
    <row r="193" spans="1:8" ht="21" customHeight="1">
      <c r="A193" s="345">
        <v>21</v>
      </c>
      <c r="B193" s="94"/>
      <c r="C193" s="94"/>
      <c r="D193" s="94"/>
      <c r="E193" s="94"/>
      <c r="F193" s="104">
        <f>E193/G3</f>
        <v>0</v>
      </c>
      <c r="G193" s="94"/>
      <c r="H193" s="105">
        <f t="shared" si="4"/>
        <v>0</v>
      </c>
    </row>
    <row r="194" spans="1:8" ht="21" customHeight="1">
      <c r="A194" s="345">
        <v>22</v>
      </c>
      <c r="B194" s="94"/>
      <c r="C194" s="94"/>
      <c r="D194" s="94"/>
      <c r="E194" s="94"/>
      <c r="F194" s="104">
        <f>E194/G3</f>
        <v>0</v>
      </c>
      <c r="G194" s="94"/>
      <c r="H194" s="105">
        <f t="shared" si="4"/>
        <v>0</v>
      </c>
    </row>
    <row r="195" spans="1:8" ht="21" customHeight="1">
      <c r="A195" s="345">
        <v>23</v>
      </c>
      <c r="B195" s="94"/>
      <c r="C195" s="94"/>
      <c r="D195" s="94"/>
      <c r="E195" s="94"/>
      <c r="F195" s="104">
        <f>E195/G3</f>
        <v>0</v>
      </c>
      <c r="G195" s="94"/>
      <c r="H195" s="105">
        <f t="shared" si="4"/>
        <v>0</v>
      </c>
    </row>
    <row r="196" spans="1:8" ht="21" customHeight="1">
      <c r="A196" s="345">
        <v>24</v>
      </c>
      <c r="B196" s="94"/>
      <c r="C196" s="94"/>
      <c r="D196" s="94"/>
      <c r="E196" s="94"/>
      <c r="F196" s="104">
        <f>E196/G3</f>
        <v>0</v>
      </c>
      <c r="G196" s="94"/>
      <c r="H196" s="105">
        <f t="shared" si="4"/>
        <v>0</v>
      </c>
    </row>
    <row r="197" spans="1:8" ht="21" customHeight="1">
      <c r="A197" s="345">
        <v>25</v>
      </c>
      <c r="B197" s="94"/>
      <c r="C197" s="94"/>
      <c r="D197" s="94"/>
      <c r="E197" s="94"/>
      <c r="F197" s="104">
        <f>E197/G3</f>
        <v>0</v>
      </c>
      <c r="G197" s="94"/>
      <c r="H197" s="105">
        <f t="shared" si="4"/>
        <v>0</v>
      </c>
    </row>
    <row r="198" spans="1:8" ht="21" customHeight="1" thickBot="1">
      <c r="A198" s="448" t="s">
        <v>4</v>
      </c>
      <c r="B198" s="449"/>
      <c r="C198" s="449"/>
      <c r="D198" s="450"/>
      <c r="E198" s="107">
        <f>SUM(E173:E197)</f>
        <v>1172</v>
      </c>
      <c r="F198" s="108">
        <f>E198/G3</f>
        <v>310.46356355256535</v>
      </c>
      <c r="G198" s="107">
        <f>SUM(G173:G197)</f>
        <v>0</v>
      </c>
      <c r="H198" s="121">
        <f>SUM(H173:H197)</f>
        <v>310.4635635525654</v>
      </c>
    </row>
    <row r="200" spans="1:8">
      <c r="A200" s="451" t="s">
        <v>7</v>
      </c>
      <c r="B200" s="451"/>
      <c r="C200" s="452" t="s">
        <v>274</v>
      </c>
      <c r="D200" s="452"/>
      <c r="E200" s="452" t="s">
        <v>275</v>
      </c>
      <c r="F200" s="452"/>
      <c r="G200" s="452"/>
    </row>
    <row r="211" spans="1:8" ht="17.25" customHeight="1">
      <c r="A211" s="445" t="s">
        <v>262</v>
      </c>
      <c r="B211" s="453"/>
      <c r="C211" s="453"/>
      <c r="D211" s="453"/>
      <c r="E211" s="453"/>
    </row>
    <row r="212" spans="1:8" ht="17.25" customHeight="1">
      <c r="A212" s="445" t="s">
        <v>586</v>
      </c>
      <c r="B212" s="453"/>
      <c r="C212" s="453"/>
      <c r="D212" s="453"/>
      <c r="E212" s="453"/>
      <c r="F212" s="452" t="s">
        <v>422</v>
      </c>
      <c r="G212" s="452"/>
    </row>
    <row r="213" spans="1:8" ht="17.25" customHeight="1" thickBot="1">
      <c r="A213" s="446" t="s">
        <v>254</v>
      </c>
      <c r="B213" s="446"/>
      <c r="C213" s="446"/>
      <c r="D213" s="446"/>
      <c r="E213" s="446"/>
      <c r="F213" s="334" t="s">
        <v>91</v>
      </c>
      <c r="G213" s="402">
        <f>تسعير!E34</f>
        <v>3.7750001532838997</v>
      </c>
    </row>
    <row r="214" spans="1:8" ht="21" customHeight="1">
      <c r="A214" s="349" t="s">
        <v>0</v>
      </c>
      <c r="B214" s="20" t="s">
        <v>78</v>
      </c>
      <c r="C214" s="341" t="s">
        <v>77</v>
      </c>
      <c r="D214" s="20" t="s">
        <v>80</v>
      </c>
      <c r="E214" s="20" t="s">
        <v>13</v>
      </c>
      <c r="F214" s="335" t="s">
        <v>83</v>
      </c>
      <c r="G214" s="335" t="s">
        <v>14</v>
      </c>
      <c r="H214" s="336" t="s">
        <v>79</v>
      </c>
    </row>
    <row r="215" spans="1:8" ht="21" customHeight="1">
      <c r="A215" s="345">
        <v>1</v>
      </c>
      <c r="B215" s="93" t="s">
        <v>369</v>
      </c>
      <c r="C215" s="92" t="s">
        <v>370</v>
      </c>
      <c r="D215" s="103">
        <v>5</v>
      </c>
      <c r="E215" s="119">
        <v>2040</v>
      </c>
      <c r="F215" s="279">
        <f>E215/G3</f>
        <v>540.39732905054041</v>
      </c>
      <c r="G215" s="119"/>
      <c r="H215" s="297">
        <f>G215+F215</f>
        <v>540.39732905054041</v>
      </c>
    </row>
    <row r="216" spans="1:8" ht="21" customHeight="1">
      <c r="A216" s="345">
        <v>2</v>
      </c>
      <c r="B216" s="93"/>
      <c r="C216" s="92"/>
      <c r="D216" s="103"/>
      <c r="E216" s="119"/>
      <c r="F216" s="279">
        <f>E216/G3</f>
        <v>0</v>
      </c>
      <c r="G216" s="119"/>
      <c r="H216" s="297">
        <f t="shared" ref="H216:H239" si="5">G216+F216</f>
        <v>0</v>
      </c>
    </row>
    <row r="217" spans="1:8" ht="21" customHeight="1">
      <c r="A217" s="345">
        <v>3</v>
      </c>
      <c r="B217" s="93"/>
      <c r="C217" s="94"/>
      <c r="D217" s="103"/>
      <c r="E217" s="119"/>
      <c r="F217" s="279">
        <f>E217/G3</f>
        <v>0</v>
      </c>
      <c r="G217" s="119"/>
      <c r="H217" s="297">
        <f t="shared" si="5"/>
        <v>0</v>
      </c>
    </row>
    <row r="218" spans="1:8" ht="21" customHeight="1">
      <c r="A218" s="345">
        <v>4</v>
      </c>
      <c r="B218" s="93"/>
      <c r="C218" s="94"/>
      <c r="D218" s="103"/>
      <c r="E218" s="119"/>
      <c r="F218" s="279">
        <f>E218/G3</f>
        <v>0</v>
      </c>
      <c r="G218" s="119"/>
      <c r="H218" s="297">
        <f t="shared" si="5"/>
        <v>0</v>
      </c>
    </row>
    <row r="219" spans="1:8" ht="21" customHeight="1">
      <c r="A219" s="345">
        <v>5</v>
      </c>
      <c r="B219" s="94"/>
      <c r="C219" s="94"/>
      <c r="D219" s="94"/>
      <c r="E219" s="119"/>
      <c r="F219" s="279">
        <f>E219/G3</f>
        <v>0</v>
      </c>
      <c r="G219" s="119"/>
      <c r="H219" s="297">
        <f t="shared" si="5"/>
        <v>0</v>
      </c>
    </row>
    <row r="220" spans="1:8" ht="21" customHeight="1">
      <c r="A220" s="345">
        <v>6</v>
      </c>
      <c r="B220" s="94"/>
      <c r="C220" s="94"/>
      <c r="D220" s="94"/>
      <c r="E220" s="119"/>
      <c r="F220" s="279">
        <f>E220/G3</f>
        <v>0</v>
      </c>
      <c r="G220" s="119"/>
      <c r="H220" s="297">
        <f t="shared" si="5"/>
        <v>0</v>
      </c>
    </row>
    <row r="221" spans="1:8" ht="21" customHeight="1">
      <c r="A221" s="345">
        <v>7</v>
      </c>
      <c r="B221" s="94"/>
      <c r="C221" s="94"/>
      <c r="D221" s="94"/>
      <c r="E221" s="119"/>
      <c r="F221" s="279">
        <f>E221/G3</f>
        <v>0</v>
      </c>
      <c r="G221" s="119"/>
      <c r="H221" s="297">
        <f t="shared" si="5"/>
        <v>0</v>
      </c>
    </row>
    <row r="222" spans="1:8" ht="21" customHeight="1">
      <c r="A222" s="345">
        <v>8</v>
      </c>
      <c r="B222" s="94"/>
      <c r="C222" s="94"/>
      <c r="D222" s="94"/>
      <c r="E222" s="119"/>
      <c r="F222" s="279">
        <f>E222/G3</f>
        <v>0</v>
      </c>
      <c r="G222" s="119"/>
      <c r="H222" s="297">
        <f t="shared" si="5"/>
        <v>0</v>
      </c>
    </row>
    <row r="223" spans="1:8" ht="21" customHeight="1">
      <c r="A223" s="345">
        <v>9</v>
      </c>
      <c r="B223" s="94"/>
      <c r="C223" s="94"/>
      <c r="D223" s="94"/>
      <c r="E223" s="119"/>
      <c r="F223" s="279">
        <f>E223/G3</f>
        <v>0</v>
      </c>
      <c r="G223" s="119"/>
      <c r="H223" s="297">
        <f t="shared" si="5"/>
        <v>0</v>
      </c>
    </row>
    <row r="224" spans="1:8" ht="21" customHeight="1">
      <c r="A224" s="345">
        <v>10</v>
      </c>
      <c r="B224" s="94"/>
      <c r="C224" s="94"/>
      <c r="D224" s="94"/>
      <c r="E224" s="119"/>
      <c r="F224" s="279">
        <f>E224/G3</f>
        <v>0</v>
      </c>
      <c r="G224" s="119"/>
      <c r="H224" s="297">
        <f t="shared" si="5"/>
        <v>0</v>
      </c>
    </row>
    <row r="225" spans="1:8" ht="21" customHeight="1">
      <c r="A225" s="345">
        <v>11</v>
      </c>
      <c r="B225" s="94"/>
      <c r="C225" s="94"/>
      <c r="D225" s="94"/>
      <c r="E225" s="119"/>
      <c r="F225" s="279">
        <f>E225/G3</f>
        <v>0</v>
      </c>
      <c r="G225" s="119"/>
      <c r="H225" s="297">
        <f t="shared" si="5"/>
        <v>0</v>
      </c>
    </row>
    <row r="226" spans="1:8" ht="21" customHeight="1">
      <c r="A226" s="345">
        <v>12</v>
      </c>
      <c r="B226" s="94"/>
      <c r="C226" s="94"/>
      <c r="D226" s="94"/>
      <c r="E226" s="119"/>
      <c r="F226" s="279">
        <f>E226/G3</f>
        <v>0</v>
      </c>
      <c r="G226" s="119"/>
      <c r="H226" s="297">
        <f t="shared" si="5"/>
        <v>0</v>
      </c>
    </row>
    <row r="227" spans="1:8" ht="21" customHeight="1">
      <c r="A227" s="345">
        <v>13</v>
      </c>
      <c r="B227" s="94"/>
      <c r="C227" s="94"/>
      <c r="D227" s="94"/>
      <c r="E227" s="119"/>
      <c r="F227" s="279">
        <f>E227/G3</f>
        <v>0</v>
      </c>
      <c r="G227" s="119"/>
      <c r="H227" s="297">
        <f t="shared" si="5"/>
        <v>0</v>
      </c>
    </row>
    <row r="228" spans="1:8" ht="21" customHeight="1">
      <c r="A228" s="345">
        <v>14</v>
      </c>
      <c r="B228" s="94"/>
      <c r="C228" s="94"/>
      <c r="D228" s="94"/>
      <c r="E228" s="119"/>
      <c r="F228" s="279">
        <f>E228/G3</f>
        <v>0</v>
      </c>
      <c r="G228" s="119"/>
      <c r="H228" s="297">
        <f t="shared" si="5"/>
        <v>0</v>
      </c>
    </row>
    <row r="229" spans="1:8" ht="21" customHeight="1">
      <c r="A229" s="345">
        <v>15</v>
      </c>
      <c r="B229" s="94"/>
      <c r="C229" s="94"/>
      <c r="D229" s="94"/>
      <c r="E229" s="119"/>
      <c r="F229" s="279">
        <f>E229/G3</f>
        <v>0</v>
      </c>
      <c r="G229" s="119"/>
      <c r="H229" s="297">
        <f t="shared" si="5"/>
        <v>0</v>
      </c>
    </row>
    <row r="230" spans="1:8" ht="21" customHeight="1">
      <c r="A230" s="345">
        <v>16</v>
      </c>
      <c r="B230" s="94"/>
      <c r="C230" s="94"/>
      <c r="D230" s="94"/>
      <c r="E230" s="119"/>
      <c r="F230" s="279">
        <f>E230/G3</f>
        <v>0</v>
      </c>
      <c r="G230" s="119"/>
      <c r="H230" s="297">
        <f t="shared" si="5"/>
        <v>0</v>
      </c>
    </row>
    <row r="231" spans="1:8" ht="21" customHeight="1">
      <c r="A231" s="345">
        <v>17</v>
      </c>
      <c r="B231" s="94"/>
      <c r="C231" s="94"/>
      <c r="D231" s="94"/>
      <c r="E231" s="119"/>
      <c r="F231" s="279">
        <f>E231/G3</f>
        <v>0</v>
      </c>
      <c r="G231" s="119"/>
      <c r="H231" s="297">
        <f t="shared" si="5"/>
        <v>0</v>
      </c>
    </row>
    <row r="232" spans="1:8" ht="21" customHeight="1">
      <c r="A232" s="345">
        <v>18</v>
      </c>
      <c r="B232" s="94"/>
      <c r="C232" s="94"/>
      <c r="D232" s="94"/>
      <c r="E232" s="119"/>
      <c r="F232" s="279">
        <f>E232/G3</f>
        <v>0</v>
      </c>
      <c r="G232" s="119"/>
      <c r="H232" s="297">
        <f t="shared" si="5"/>
        <v>0</v>
      </c>
    </row>
    <row r="233" spans="1:8" ht="21" customHeight="1">
      <c r="A233" s="345">
        <v>19</v>
      </c>
      <c r="B233" s="94"/>
      <c r="C233" s="94"/>
      <c r="D233" s="94"/>
      <c r="E233" s="119"/>
      <c r="F233" s="279">
        <f>E233/G3</f>
        <v>0</v>
      </c>
      <c r="G233" s="119"/>
      <c r="H233" s="297">
        <f t="shared" si="5"/>
        <v>0</v>
      </c>
    </row>
    <row r="234" spans="1:8" ht="21" customHeight="1">
      <c r="A234" s="345">
        <v>20</v>
      </c>
      <c r="B234" s="94"/>
      <c r="C234" s="94"/>
      <c r="D234" s="94"/>
      <c r="E234" s="119"/>
      <c r="F234" s="279">
        <f>E234/G3</f>
        <v>0</v>
      </c>
      <c r="G234" s="119"/>
      <c r="H234" s="297">
        <f t="shared" si="5"/>
        <v>0</v>
      </c>
    </row>
    <row r="235" spans="1:8" ht="21" customHeight="1">
      <c r="A235" s="345">
        <v>21</v>
      </c>
      <c r="B235" s="94"/>
      <c r="C235" s="94"/>
      <c r="D235" s="94"/>
      <c r="E235" s="119"/>
      <c r="F235" s="279">
        <f>E235/G3</f>
        <v>0</v>
      </c>
      <c r="G235" s="119"/>
      <c r="H235" s="297">
        <f t="shared" si="5"/>
        <v>0</v>
      </c>
    </row>
    <row r="236" spans="1:8" ht="21" customHeight="1">
      <c r="A236" s="345">
        <v>22</v>
      </c>
      <c r="B236" s="94"/>
      <c r="C236" s="94"/>
      <c r="D236" s="94"/>
      <c r="E236" s="119"/>
      <c r="F236" s="279">
        <f>E236/G3</f>
        <v>0</v>
      </c>
      <c r="G236" s="119"/>
      <c r="H236" s="297">
        <f t="shared" si="5"/>
        <v>0</v>
      </c>
    </row>
    <row r="237" spans="1:8" ht="21" customHeight="1">
      <c r="A237" s="345">
        <v>23</v>
      </c>
      <c r="B237" s="94"/>
      <c r="C237" s="94"/>
      <c r="D237" s="94"/>
      <c r="E237" s="119"/>
      <c r="F237" s="279">
        <f>E237/G3</f>
        <v>0</v>
      </c>
      <c r="G237" s="119"/>
      <c r="H237" s="297">
        <f t="shared" si="5"/>
        <v>0</v>
      </c>
    </row>
    <row r="238" spans="1:8" ht="21" customHeight="1">
      <c r="A238" s="345">
        <v>24</v>
      </c>
      <c r="B238" s="94"/>
      <c r="C238" s="94"/>
      <c r="D238" s="94"/>
      <c r="E238" s="119"/>
      <c r="F238" s="279">
        <f>E238/G3</f>
        <v>0</v>
      </c>
      <c r="G238" s="119"/>
      <c r="H238" s="297">
        <f t="shared" si="5"/>
        <v>0</v>
      </c>
    </row>
    <row r="239" spans="1:8" ht="21" customHeight="1">
      <c r="A239" s="345">
        <v>25</v>
      </c>
      <c r="B239" s="94"/>
      <c r="C239" s="94"/>
      <c r="D239" s="94">
        <f>SUM(D215:D238)</f>
        <v>5</v>
      </c>
      <c r="E239" s="119"/>
      <c r="F239" s="279">
        <f>E239/G3</f>
        <v>0</v>
      </c>
      <c r="G239" s="119"/>
      <c r="H239" s="297">
        <f t="shared" si="5"/>
        <v>0</v>
      </c>
    </row>
    <row r="240" spans="1:8" ht="21" customHeight="1" thickBot="1">
      <c r="A240" s="448" t="s">
        <v>4</v>
      </c>
      <c r="B240" s="449"/>
      <c r="C240" s="449"/>
      <c r="D240" s="450"/>
      <c r="E240" s="120">
        <f>SUM(E215:E239)</f>
        <v>2040</v>
      </c>
      <c r="F240" s="120">
        <f>E240/G3</f>
        <v>540.39732905054041</v>
      </c>
      <c r="G240" s="120">
        <f>SUM(G215:G239)</f>
        <v>0</v>
      </c>
      <c r="H240" s="298">
        <f>SUM(H215:H239)</f>
        <v>540.39732905054041</v>
      </c>
    </row>
    <row r="242" spans="1:8">
      <c r="A242" s="451" t="s">
        <v>7</v>
      </c>
      <c r="B242" s="451"/>
      <c r="C242" s="452" t="s">
        <v>274</v>
      </c>
      <c r="D242" s="452"/>
      <c r="E242" s="452" t="s">
        <v>275</v>
      </c>
      <c r="F242" s="452"/>
      <c r="G242" s="452"/>
    </row>
    <row r="244" spans="1:8" ht="12" customHeight="1"/>
    <row r="245" spans="1:8" ht="12" customHeight="1"/>
    <row r="246" spans="1:8" ht="12" customHeight="1"/>
    <row r="247" spans="1:8" ht="12" customHeight="1"/>
    <row r="248" spans="1:8" ht="12" customHeight="1"/>
    <row r="249" spans="1:8" ht="12" customHeight="1"/>
    <row r="250" spans="1:8" ht="12" customHeight="1"/>
    <row r="253" spans="1:8" ht="17.25" customHeight="1">
      <c r="A253" s="445" t="s">
        <v>262</v>
      </c>
      <c r="B253" s="453"/>
      <c r="C253" s="453"/>
      <c r="D253" s="453"/>
      <c r="E253" s="453"/>
    </row>
    <row r="254" spans="1:8" ht="17.25" customHeight="1">
      <c r="A254" s="445" t="s">
        <v>586</v>
      </c>
      <c r="B254" s="453"/>
      <c r="C254" s="453"/>
      <c r="D254" s="453"/>
      <c r="E254" s="453"/>
      <c r="F254" s="452" t="s">
        <v>549</v>
      </c>
      <c r="G254" s="452"/>
    </row>
    <row r="255" spans="1:8" ht="17.25" customHeight="1" thickBot="1">
      <c r="A255" s="446" t="s">
        <v>256</v>
      </c>
      <c r="B255" s="446"/>
      <c r="C255" s="446"/>
      <c r="D255" s="446"/>
      <c r="E255" s="446"/>
      <c r="F255" s="334" t="s">
        <v>91</v>
      </c>
      <c r="G255" s="402">
        <f>تسعير!E34</f>
        <v>3.7750001532838997</v>
      </c>
    </row>
    <row r="256" spans="1:8" ht="21" customHeight="1">
      <c r="A256" s="349" t="s">
        <v>0</v>
      </c>
      <c r="B256" s="20" t="s">
        <v>78</v>
      </c>
      <c r="C256" s="341" t="s">
        <v>77</v>
      </c>
      <c r="D256" s="20" t="s">
        <v>80</v>
      </c>
      <c r="E256" s="20" t="s">
        <v>13</v>
      </c>
      <c r="F256" s="335" t="s">
        <v>83</v>
      </c>
      <c r="G256" s="335" t="s">
        <v>14</v>
      </c>
      <c r="H256" s="336" t="s">
        <v>79</v>
      </c>
    </row>
    <row r="257" spans="1:8" ht="30" customHeight="1">
      <c r="A257" s="345">
        <v>1</v>
      </c>
      <c r="B257" s="93"/>
      <c r="C257" s="95" t="s">
        <v>550</v>
      </c>
      <c r="D257" s="103"/>
      <c r="E257" s="94">
        <v>500</v>
      </c>
      <c r="F257" s="104">
        <f>E257/G3</f>
        <v>132.45032574768146</v>
      </c>
      <c r="G257" s="94"/>
      <c r="H257" s="105">
        <f t="shared" ref="H257:H263" si="6">G257+F257</f>
        <v>132.45032574768146</v>
      </c>
    </row>
    <row r="258" spans="1:8" ht="30" customHeight="1">
      <c r="A258" s="345">
        <v>2</v>
      </c>
      <c r="B258" s="93"/>
      <c r="C258" s="95" t="s">
        <v>551</v>
      </c>
      <c r="D258" s="103"/>
      <c r="E258" s="94">
        <v>490</v>
      </c>
      <c r="F258" s="104">
        <f>E258/G3</f>
        <v>129.80131923272785</v>
      </c>
      <c r="G258" s="106"/>
      <c r="H258" s="105">
        <f t="shared" si="6"/>
        <v>129.80131923272785</v>
      </c>
    </row>
    <row r="259" spans="1:8" ht="30" customHeight="1">
      <c r="A259" s="345">
        <v>3</v>
      </c>
      <c r="B259" s="93"/>
      <c r="C259" s="95" t="s">
        <v>552</v>
      </c>
      <c r="D259" s="103"/>
      <c r="E259" s="94">
        <v>285</v>
      </c>
      <c r="F259" s="104">
        <f>E259/G3</f>
        <v>75.496685676178444</v>
      </c>
      <c r="G259" s="106"/>
      <c r="H259" s="105">
        <f t="shared" si="6"/>
        <v>75.496685676178444</v>
      </c>
    </row>
    <row r="260" spans="1:8" ht="30" customHeight="1">
      <c r="A260" s="345">
        <v>4</v>
      </c>
      <c r="B260" s="93"/>
      <c r="C260" s="95" t="s">
        <v>553</v>
      </c>
      <c r="D260" s="103"/>
      <c r="E260" s="94">
        <v>7722</v>
      </c>
      <c r="F260" s="104">
        <f>E260/G3</f>
        <v>2045.5628308471926</v>
      </c>
      <c r="G260" s="106"/>
      <c r="H260" s="105">
        <f t="shared" si="6"/>
        <v>2045.5628308471926</v>
      </c>
    </row>
    <row r="261" spans="1:8" ht="30" customHeight="1">
      <c r="A261" s="345">
        <v>5</v>
      </c>
      <c r="B261" s="93"/>
      <c r="C261" s="95" t="s">
        <v>554</v>
      </c>
      <c r="D261" s="103"/>
      <c r="E261" s="94">
        <v>285</v>
      </c>
      <c r="F261" s="104">
        <f>E261/G3</f>
        <v>75.496685676178444</v>
      </c>
      <c r="G261" s="106"/>
      <c r="H261" s="105">
        <f t="shared" si="6"/>
        <v>75.496685676178444</v>
      </c>
    </row>
    <row r="262" spans="1:8" ht="30" customHeight="1">
      <c r="A262" s="345">
        <v>6</v>
      </c>
      <c r="B262" s="93"/>
      <c r="C262" s="95" t="s">
        <v>555</v>
      </c>
      <c r="D262" s="103"/>
      <c r="E262" s="94">
        <v>572</v>
      </c>
      <c r="F262" s="104">
        <f>E262/G3</f>
        <v>151.52317265534759</v>
      </c>
      <c r="G262" s="106"/>
      <c r="H262" s="105">
        <f t="shared" si="6"/>
        <v>151.52317265534759</v>
      </c>
    </row>
    <row r="263" spans="1:8" ht="30" customHeight="1">
      <c r="A263" s="345">
        <v>7</v>
      </c>
      <c r="B263" s="93"/>
      <c r="C263" s="95" t="s">
        <v>556</v>
      </c>
      <c r="D263" s="103"/>
      <c r="E263" s="94">
        <v>858</v>
      </c>
      <c r="F263" s="104">
        <f>E263/G3</f>
        <v>227.28475898302139</v>
      </c>
      <c r="G263" s="106"/>
      <c r="H263" s="105">
        <f t="shared" si="6"/>
        <v>227.28475898302139</v>
      </c>
    </row>
    <row r="264" spans="1:8" ht="21" customHeight="1">
      <c r="A264" s="345">
        <v>8</v>
      </c>
      <c r="B264" s="94"/>
      <c r="C264" s="350" t="s">
        <v>557</v>
      </c>
      <c r="D264" s="94"/>
      <c r="E264" s="94">
        <v>1321.32</v>
      </c>
      <c r="F264" s="104">
        <f>E264/G3</f>
        <v>350.01852883385294</v>
      </c>
      <c r="G264" s="94"/>
      <c r="H264" s="105">
        <f t="shared" ref="H264:H281" si="7">G264+F264</f>
        <v>350.01852883385294</v>
      </c>
    </row>
    <row r="265" spans="1:8" ht="21" customHeight="1">
      <c r="A265" s="345">
        <v>9</v>
      </c>
      <c r="B265" s="94"/>
      <c r="C265" s="94" t="s">
        <v>558</v>
      </c>
      <c r="D265" s="94"/>
      <c r="E265" s="383">
        <v>963.82</v>
      </c>
      <c r="F265" s="104">
        <f>E266/G3</f>
        <v>151.52317265534759</v>
      </c>
      <c r="G265" s="94"/>
      <c r="H265" s="105">
        <f t="shared" si="7"/>
        <v>151.52317265534759</v>
      </c>
    </row>
    <row r="266" spans="1:8" ht="21" customHeight="1">
      <c r="A266" s="345">
        <v>10</v>
      </c>
      <c r="B266" s="94"/>
      <c r="C266" s="94" t="s">
        <v>559</v>
      </c>
      <c r="D266" s="94"/>
      <c r="E266" s="94">
        <v>572</v>
      </c>
      <c r="F266" s="104" t="e">
        <f>#REF!/G3</f>
        <v>#REF!</v>
      </c>
      <c r="G266" s="94"/>
      <c r="H266" s="105" t="e">
        <f t="shared" si="7"/>
        <v>#REF!</v>
      </c>
    </row>
    <row r="267" spans="1:8" ht="21" customHeight="1">
      <c r="A267" s="345">
        <v>11</v>
      </c>
      <c r="B267" s="94"/>
      <c r="C267" s="94" t="s">
        <v>560</v>
      </c>
      <c r="D267" s="94"/>
      <c r="E267" s="94"/>
      <c r="F267" s="104">
        <f>E267/G3</f>
        <v>0</v>
      </c>
      <c r="G267" s="94"/>
      <c r="H267" s="105">
        <f t="shared" si="7"/>
        <v>0</v>
      </c>
    </row>
    <row r="268" spans="1:8" ht="21" customHeight="1">
      <c r="A268" s="345">
        <v>12</v>
      </c>
      <c r="B268" s="94"/>
      <c r="C268" s="94" t="s">
        <v>561</v>
      </c>
      <c r="D268" s="94"/>
      <c r="E268" s="94"/>
      <c r="F268" s="104">
        <f>E268/G3</f>
        <v>0</v>
      </c>
      <c r="G268" s="94"/>
      <c r="H268" s="105">
        <f t="shared" si="7"/>
        <v>0</v>
      </c>
    </row>
    <row r="269" spans="1:8" ht="21" customHeight="1">
      <c r="A269" s="345">
        <v>13</v>
      </c>
      <c r="B269" s="94"/>
      <c r="C269" s="94" t="s">
        <v>560</v>
      </c>
      <c r="D269" s="94"/>
      <c r="E269" s="94"/>
      <c r="F269" s="104">
        <f>E269/G3</f>
        <v>0</v>
      </c>
      <c r="G269" s="94"/>
      <c r="H269" s="105">
        <f t="shared" si="7"/>
        <v>0</v>
      </c>
    </row>
    <row r="270" spans="1:8" ht="21" customHeight="1">
      <c r="A270" s="345">
        <v>14</v>
      </c>
      <c r="B270" s="94"/>
      <c r="C270" s="94" t="s">
        <v>562</v>
      </c>
      <c r="D270" s="94"/>
      <c r="E270" s="94"/>
      <c r="F270" s="104">
        <f>E270/G3</f>
        <v>0</v>
      </c>
      <c r="G270" s="94"/>
      <c r="H270" s="105">
        <f t="shared" si="7"/>
        <v>0</v>
      </c>
    </row>
    <row r="271" spans="1:8" ht="21" customHeight="1">
      <c r="A271" s="345">
        <v>15</v>
      </c>
      <c r="B271" s="94"/>
      <c r="C271" s="94" t="s">
        <v>563</v>
      </c>
      <c r="D271" s="94"/>
      <c r="E271" s="94"/>
      <c r="F271" s="104">
        <f>E271/G3</f>
        <v>0</v>
      </c>
      <c r="G271" s="94"/>
      <c r="H271" s="105">
        <f t="shared" si="7"/>
        <v>0</v>
      </c>
    </row>
    <row r="272" spans="1:8" ht="21" customHeight="1">
      <c r="A272" s="345">
        <v>16</v>
      </c>
      <c r="B272" s="94"/>
      <c r="C272" s="94" t="s">
        <v>564</v>
      </c>
      <c r="D272" s="94"/>
      <c r="E272" s="94"/>
      <c r="F272" s="104">
        <f>E272/G3</f>
        <v>0</v>
      </c>
      <c r="G272" s="94"/>
      <c r="H272" s="105">
        <f t="shared" si="7"/>
        <v>0</v>
      </c>
    </row>
    <row r="273" spans="1:8" ht="21" customHeight="1">
      <c r="A273" s="345">
        <v>17</v>
      </c>
      <c r="B273" s="94"/>
      <c r="C273" s="382" t="s">
        <v>565</v>
      </c>
      <c r="D273" s="94"/>
      <c r="E273" s="94"/>
      <c r="F273" s="104">
        <f>E273/G3</f>
        <v>0</v>
      </c>
      <c r="G273" s="94"/>
      <c r="H273" s="105">
        <f t="shared" si="7"/>
        <v>0</v>
      </c>
    </row>
    <row r="274" spans="1:8" ht="21" customHeight="1">
      <c r="A274" s="345">
        <v>18</v>
      </c>
      <c r="B274" s="94"/>
      <c r="C274" s="94" t="s">
        <v>562</v>
      </c>
      <c r="D274" s="94"/>
      <c r="E274" s="94"/>
      <c r="F274" s="104">
        <f>E274/G3</f>
        <v>0</v>
      </c>
      <c r="G274" s="94"/>
      <c r="H274" s="105">
        <f t="shared" si="7"/>
        <v>0</v>
      </c>
    </row>
    <row r="275" spans="1:8" ht="21" customHeight="1">
      <c r="A275" s="345">
        <v>19</v>
      </c>
      <c r="B275" s="94"/>
      <c r="C275" s="96" t="s">
        <v>566</v>
      </c>
      <c r="D275" s="94"/>
      <c r="E275" s="94"/>
      <c r="F275" s="104">
        <f>E275/G3</f>
        <v>0</v>
      </c>
      <c r="G275" s="94">
        <v>250</v>
      </c>
      <c r="H275" s="105">
        <f t="shared" si="7"/>
        <v>250</v>
      </c>
    </row>
    <row r="276" spans="1:8" ht="21" customHeight="1">
      <c r="A276" s="345">
        <v>20</v>
      </c>
      <c r="B276" s="94"/>
      <c r="C276" s="96" t="s">
        <v>567</v>
      </c>
      <c r="D276" s="94"/>
      <c r="E276" s="94"/>
      <c r="F276" s="104">
        <f>E276/G3</f>
        <v>0</v>
      </c>
      <c r="G276" s="94">
        <v>150</v>
      </c>
      <c r="H276" s="105">
        <f t="shared" si="7"/>
        <v>150</v>
      </c>
    </row>
    <row r="277" spans="1:8" ht="21" customHeight="1">
      <c r="A277" s="345">
        <v>21</v>
      </c>
      <c r="B277" s="94"/>
      <c r="C277" s="94"/>
      <c r="D277" s="94"/>
      <c r="E277" s="94"/>
      <c r="F277" s="104">
        <f>E277/G3</f>
        <v>0</v>
      </c>
      <c r="G277" s="94"/>
      <c r="H277" s="105">
        <f t="shared" si="7"/>
        <v>0</v>
      </c>
    </row>
    <row r="278" spans="1:8" ht="21" customHeight="1">
      <c r="A278" s="345">
        <v>22</v>
      </c>
      <c r="B278" s="94"/>
      <c r="C278" s="94"/>
      <c r="D278" s="94"/>
      <c r="E278" s="94"/>
      <c r="F278" s="104">
        <f>E278/G3</f>
        <v>0</v>
      </c>
      <c r="G278" s="94"/>
      <c r="H278" s="105">
        <f t="shared" si="7"/>
        <v>0</v>
      </c>
    </row>
    <row r="279" spans="1:8" ht="21" customHeight="1">
      <c r="A279" s="345">
        <v>23</v>
      </c>
      <c r="B279" s="94"/>
      <c r="C279" s="94"/>
      <c r="D279" s="94"/>
      <c r="E279" s="94"/>
      <c r="F279" s="104">
        <f>E279/G3</f>
        <v>0</v>
      </c>
      <c r="G279" s="94"/>
      <c r="H279" s="105">
        <f t="shared" si="7"/>
        <v>0</v>
      </c>
    </row>
    <row r="280" spans="1:8" ht="21" customHeight="1">
      <c r="A280" s="345">
        <v>24</v>
      </c>
      <c r="B280" s="94"/>
      <c r="C280" s="94"/>
      <c r="D280" s="94"/>
      <c r="E280" s="94"/>
      <c r="F280" s="104">
        <f>E280/G3</f>
        <v>0</v>
      </c>
      <c r="G280" s="94"/>
      <c r="H280" s="105">
        <f t="shared" si="7"/>
        <v>0</v>
      </c>
    </row>
    <row r="281" spans="1:8" ht="21" customHeight="1">
      <c r="A281" s="345">
        <v>25</v>
      </c>
      <c r="B281" s="94"/>
      <c r="C281" s="94"/>
      <c r="D281" s="94">
        <f>SUM(D257:D280)</f>
        <v>0</v>
      </c>
      <c r="E281" s="94"/>
      <c r="F281" s="104">
        <f>E281/G3</f>
        <v>0</v>
      </c>
      <c r="G281" s="94"/>
      <c r="H281" s="105">
        <f t="shared" si="7"/>
        <v>0</v>
      </c>
    </row>
    <row r="282" spans="1:8" ht="21" customHeight="1" thickBot="1">
      <c r="A282" s="448" t="s">
        <v>4</v>
      </c>
      <c r="B282" s="449"/>
      <c r="C282" s="449"/>
      <c r="D282" s="450"/>
      <c r="E282" s="107">
        <f>SUM(E257:E281)</f>
        <v>13569.14</v>
      </c>
      <c r="F282" s="113">
        <f>E282/G3</f>
        <v>3594.4740262317891</v>
      </c>
      <c r="G282" s="116">
        <f>SUM(G257:G281)</f>
        <v>400</v>
      </c>
      <c r="H282" s="114" t="e">
        <f>SUM(H257:H281)</f>
        <v>#REF!</v>
      </c>
    </row>
    <row r="284" spans="1:8">
      <c r="A284" s="451" t="s">
        <v>7</v>
      </c>
      <c r="B284" s="451"/>
      <c r="C284" s="452" t="s">
        <v>274</v>
      </c>
      <c r="D284" s="452"/>
      <c r="E284" s="452" t="s">
        <v>275</v>
      </c>
      <c r="F284" s="452"/>
      <c r="G284" s="452"/>
    </row>
    <row r="289" spans="1:8" ht="9.75" customHeight="1"/>
    <row r="290" spans="1:8" ht="9.75" customHeight="1"/>
    <row r="291" spans="1:8" ht="9.75" customHeight="1"/>
    <row r="292" spans="1:8" ht="9.75" customHeight="1"/>
    <row r="293" spans="1:8" ht="9.75" customHeight="1"/>
    <row r="294" spans="1:8" ht="9.75" customHeight="1"/>
    <row r="295" spans="1:8" ht="17.25" customHeight="1">
      <c r="A295" s="445" t="s">
        <v>257</v>
      </c>
      <c r="B295" s="453"/>
      <c r="C295" s="453"/>
      <c r="D295" s="453"/>
      <c r="E295" s="453"/>
    </row>
    <row r="296" spans="1:8" ht="17.25" customHeight="1">
      <c r="A296" s="445" t="s">
        <v>586</v>
      </c>
      <c r="B296" s="453"/>
      <c r="C296" s="453"/>
      <c r="D296" s="453"/>
      <c r="E296" s="453"/>
      <c r="F296" s="452" t="s">
        <v>452</v>
      </c>
      <c r="G296" s="452"/>
    </row>
    <row r="297" spans="1:8" ht="17.25" customHeight="1" thickBot="1">
      <c r="A297" s="446" t="s">
        <v>436</v>
      </c>
      <c r="B297" s="446"/>
      <c r="C297" s="446"/>
      <c r="D297" s="446"/>
      <c r="E297" s="446"/>
      <c r="F297" s="334" t="s">
        <v>91</v>
      </c>
      <c r="G297" s="402">
        <f>تسعير!E34</f>
        <v>3.7750001532838997</v>
      </c>
    </row>
    <row r="298" spans="1:8" ht="21" customHeight="1" thickBot="1">
      <c r="A298" s="340" t="s">
        <v>0</v>
      </c>
      <c r="B298" s="341" t="s">
        <v>78</v>
      </c>
      <c r="C298" s="341" t="s">
        <v>77</v>
      </c>
      <c r="D298" s="341" t="s">
        <v>80</v>
      </c>
      <c r="E298" s="341" t="s">
        <v>13</v>
      </c>
      <c r="F298" s="351" t="s">
        <v>83</v>
      </c>
      <c r="G298" s="351" t="s">
        <v>14</v>
      </c>
      <c r="H298" s="352" t="s">
        <v>79</v>
      </c>
    </row>
    <row r="299" spans="1:8" ht="30" customHeight="1">
      <c r="A299" s="343">
        <v>1</v>
      </c>
      <c r="B299" s="353" t="s">
        <v>453</v>
      </c>
      <c r="C299" s="139" t="s">
        <v>455</v>
      </c>
      <c r="D299" s="354"/>
      <c r="E299" s="140">
        <v>150</v>
      </c>
      <c r="F299" s="141">
        <f>E299/G3</f>
        <v>39.735097724304438</v>
      </c>
      <c r="G299" s="140"/>
      <c r="H299" s="142">
        <f>G299+F299</f>
        <v>39.735097724304438</v>
      </c>
    </row>
    <row r="300" spans="1:8" ht="30" customHeight="1">
      <c r="A300" s="345">
        <v>2</v>
      </c>
      <c r="B300" s="93" t="s">
        <v>453</v>
      </c>
      <c r="C300" s="92" t="s">
        <v>456</v>
      </c>
      <c r="D300" s="103"/>
      <c r="E300" s="94">
        <v>460</v>
      </c>
      <c r="F300" s="104">
        <f>E300/G3</f>
        <v>121.85429968786696</v>
      </c>
      <c r="G300" s="94"/>
      <c r="H300" s="105">
        <f t="shared" ref="H300:H323" si="8">G300+F300</f>
        <v>121.85429968786696</v>
      </c>
    </row>
    <row r="301" spans="1:8" ht="21" customHeight="1">
      <c r="A301" s="345">
        <v>3</v>
      </c>
      <c r="B301" s="94" t="s">
        <v>454</v>
      </c>
      <c r="C301" s="380" t="s">
        <v>457</v>
      </c>
      <c r="D301" s="94"/>
      <c r="E301" s="94">
        <v>642</v>
      </c>
      <c r="F301" s="104">
        <f>E301/G3</f>
        <v>170.06621826002302</v>
      </c>
      <c r="G301" s="94"/>
      <c r="H301" s="105">
        <f t="shared" si="8"/>
        <v>170.06621826002302</v>
      </c>
    </row>
    <row r="302" spans="1:8" ht="21" customHeight="1">
      <c r="A302" s="345">
        <v>4</v>
      </c>
      <c r="B302" s="94"/>
      <c r="C302" s="94"/>
      <c r="D302" s="94">
        <v>4</v>
      </c>
      <c r="E302" s="94"/>
      <c r="F302" s="104">
        <f>E302/G3</f>
        <v>0</v>
      </c>
      <c r="G302" s="94"/>
      <c r="H302" s="105">
        <f t="shared" si="8"/>
        <v>0</v>
      </c>
    </row>
    <row r="303" spans="1:8" ht="21" customHeight="1">
      <c r="A303" s="345">
        <v>5</v>
      </c>
      <c r="B303" s="94"/>
      <c r="C303" s="94"/>
      <c r="D303" s="94"/>
      <c r="E303" s="94"/>
      <c r="F303" s="104">
        <f>E303/G3</f>
        <v>0</v>
      </c>
      <c r="G303" s="94"/>
      <c r="H303" s="105">
        <f t="shared" si="8"/>
        <v>0</v>
      </c>
    </row>
    <row r="304" spans="1:8" ht="21" customHeight="1">
      <c r="A304" s="345">
        <v>6</v>
      </c>
      <c r="B304" s="94"/>
      <c r="C304" s="94"/>
      <c r="D304" s="94"/>
      <c r="E304" s="94"/>
      <c r="F304" s="104">
        <f>E304/G3</f>
        <v>0</v>
      </c>
      <c r="G304" s="94"/>
      <c r="H304" s="105">
        <f t="shared" si="8"/>
        <v>0</v>
      </c>
    </row>
    <row r="305" spans="1:8" ht="21" customHeight="1">
      <c r="A305" s="345">
        <v>7</v>
      </c>
      <c r="B305" s="94"/>
      <c r="C305" s="94"/>
      <c r="D305" s="94"/>
      <c r="E305" s="94"/>
      <c r="F305" s="104">
        <f>E305/G3</f>
        <v>0</v>
      </c>
      <c r="G305" s="94"/>
      <c r="H305" s="105">
        <f t="shared" si="8"/>
        <v>0</v>
      </c>
    </row>
    <row r="306" spans="1:8" ht="21" customHeight="1">
      <c r="A306" s="345">
        <v>8</v>
      </c>
      <c r="B306" s="94"/>
      <c r="C306" s="94"/>
      <c r="D306" s="94"/>
      <c r="E306" s="94"/>
      <c r="F306" s="104">
        <f>E306/G3</f>
        <v>0</v>
      </c>
      <c r="G306" s="94"/>
      <c r="H306" s="105">
        <f t="shared" si="8"/>
        <v>0</v>
      </c>
    </row>
    <row r="307" spans="1:8" ht="21" customHeight="1">
      <c r="A307" s="345">
        <v>9</v>
      </c>
      <c r="B307" s="94"/>
      <c r="C307" s="94"/>
      <c r="D307" s="94"/>
      <c r="E307" s="94"/>
      <c r="F307" s="104">
        <f>E307/G3</f>
        <v>0</v>
      </c>
      <c r="G307" s="94"/>
      <c r="H307" s="105">
        <f t="shared" si="8"/>
        <v>0</v>
      </c>
    </row>
    <row r="308" spans="1:8" ht="21" customHeight="1">
      <c r="A308" s="345">
        <v>10</v>
      </c>
      <c r="B308" s="94"/>
      <c r="C308" s="94"/>
      <c r="D308" s="94"/>
      <c r="E308" s="94"/>
      <c r="F308" s="104">
        <f>E308/G3</f>
        <v>0</v>
      </c>
      <c r="G308" s="94"/>
      <c r="H308" s="105">
        <f t="shared" si="8"/>
        <v>0</v>
      </c>
    </row>
    <row r="309" spans="1:8" ht="21" customHeight="1">
      <c r="A309" s="345">
        <v>11</v>
      </c>
      <c r="B309" s="94"/>
      <c r="C309" s="94"/>
      <c r="D309" s="94"/>
      <c r="E309" s="94"/>
      <c r="F309" s="104">
        <f>E309/G3</f>
        <v>0</v>
      </c>
      <c r="G309" s="94"/>
      <c r="H309" s="105">
        <f t="shared" si="8"/>
        <v>0</v>
      </c>
    </row>
    <row r="310" spans="1:8" ht="21" customHeight="1">
      <c r="A310" s="345">
        <v>12</v>
      </c>
      <c r="B310" s="94"/>
      <c r="C310" s="94"/>
      <c r="D310" s="94"/>
      <c r="E310" s="94"/>
      <c r="F310" s="104">
        <f>E310/G3</f>
        <v>0</v>
      </c>
      <c r="G310" s="94"/>
      <c r="H310" s="105">
        <f t="shared" si="8"/>
        <v>0</v>
      </c>
    </row>
    <row r="311" spans="1:8" ht="21" customHeight="1">
      <c r="A311" s="345">
        <v>13</v>
      </c>
      <c r="B311" s="94"/>
      <c r="C311" s="94"/>
      <c r="D311" s="94"/>
      <c r="E311" s="94"/>
      <c r="F311" s="104">
        <f>E311/G3</f>
        <v>0</v>
      </c>
      <c r="G311" s="94"/>
      <c r="H311" s="105">
        <f t="shared" si="8"/>
        <v>0</v>
      </c>
    </row>
    <row r="312" spans="1:8" ht="21" customHeight="1">
      <c r="A312" s="345">
        <v>14</v>
      </c>
      <c r="B312" s="94"/>
      <c r="C312" s="94"/>
      <c r="D312" s="94"/>
      <c r="E312" s="94"/>
      <c r="F312" s="104">
        <f>E312/G3</f>
        <v>0</v>
      </c>
      <c r="G312" s="94"/>
      <c r="H312" s="105">
        <f t="shared" si="8"/>
        <v>0</v>
      </c>
    </row>
    <row r="313" spans="1:8" ht="21" customHeight="1">
      <c r="A313" s="345">
        <v>15</v>
      </c>
      <c r="B313" s="94"/>
      <c r="C313" s="94"/>
      <c r="D313" s="94"/>
      <c r="E313" s="94"/>
      <c r="F313" s="104">
        <f>E313/G3</f>
        <v>0</v>
      </c>
      <c r="G313" s="94"/>
      <c r="H313" s="105">
        <f t="shared" si="8"/>
        <v>0</v>
      </c>
    </row>
    <row r="314" spans="1:8" ht="21" customHeight="1">
      <c r="A314" s="345">
        <v>16</v>
      </c>
      <c r="B314" s="94"/>
      <c r="C314" s="94"/>
      <c r="D314" s="94"/>
      <c r="E314" s="94"/>
      <c r="F314" s="104">
        <f>E314/G3</f>
        <v>0</v>
      </c>
      <c r="G314" s="94"/>
      <c r="H314" s="105">
        <f t="shared" si="8"/>
        <v>0</v>
      </c>
    </row>
    <row r="315" spans="1:8" ht="21" customHeight="1">
      <c r="A315" s="345">
        <v>17</v>
      </c>
      <c r="B315" s="94"/>
      <c r="C315" s="94"/>
      <c r="D315" s="94"/>
      <c r="E315" s="94"/>
      <c r="F315" s="104">
        <f>E315/G3</f>
        <v>0</v>
      </c>
      <c r="G315" s="94"/>
      <c r="H315" s="105">
        <f t="shared" si="8"/>
        <v>0</v>
      </c>
    </row>
    <row r="316" spans="1:8" ht="21" customHeight="1">
      <c r="A316" s="345">
        <v>18</v>
      </c>
      <c r="B316" s="94"/>
      <c r="C316" s="94"/>
      <c r="D316" s="94"/>
      <c r="E316" s="94"/>
      <c r="F316" s="104">
        <f>E316/G3</f>
        <v>0</v>
      </c>
      <c r="G316" s="94"/>
      <c r="H316" s="105">
        <f t="shared" si="8"/>
        <v>0</v>
      </c>
    </row>
    <row r="317" spans="1:8" ht="21" customHeight="1">
      <c r="A317" s="345">
        <v>19</v>
      </c>
      <c r="B317" s="94"/>
      <c r="C317" s="94"/>
      <c r="D317" s="94"/>
      <c r="E317" s="94"/>
      <c r="F317" s="104">
        <f>E317/G3</f>
        <v>0</v>
      </c>
      <c r="G317" s="94"/>
      <c r="H317" s="105">
        <f t="shared" si="8"/>
        <v>0</v>
      </c>
    </row>
    <row r="318" spans="1:8" ht="21" customHeight="1">
      <c r="A318" s="345">
        <v>20</v>
      </c>
      <c r="B318" s="94"/>
      <c r="C318" s="94"/>
      <c r="D318" s="94"/>
      <c r="E318" s="94"/>
      <c r="F318" s="104">
        <f>E318/G3</f>
        <v>0</v>
      </c>
      <c r="G318" s="94"/>
      <c r="H318" s="105">
        <f t="shared" si="8"/>
        <v>0</v>
      </c>
    </row>
    <row r="319" spans="1:8" ht="21" customHeight="1">
      <c r="A319" s="345">
        <v>21</v>
      </c>
      <c r="B319" s="94"/>
      <c r="C319" s="94"/>
      <c r="D319" s="94"/>
      <c r="E319" s="94"/>
      <c r="F319" s="104">
        <f>E319/G3</f>
        <v>0</v>
      </c>
      <c r="G319" s="94"/>
      <c r="H319" s="105">
        <f t="shared" si="8"/>
        <v>0</v>
      </c>
    </row>
    <row r="320" spans="1:8" ht="21" customHeight="1">
      <c r="A320" s="345">
        <v>22</v>
      </c>
      <c r="B320" s="94"/>
      <c r="C320" s="94"/>
      <c r="D320" s="94"/>
      <c r="E320" s="94"/>
      <c r="F320" s="104">
        <f>E320/G3</f>
        <v>0</v>
      </c>
      <c r="G320" s="94"/>
      <c r="H320" s="105">
        <f t="shared" si="8"/>
        <v>0</v>
      </c>
    </row>
    <row r="321" spans="1:8" ht="21" customHeight="1">
      <c r="A321" s="345">
        <v>23</v>
      </c>
      <c r="B321" s="94"/>
      <c r="C321" s="94"/>
      <c r="D321" s="94"/>
      <c r="E321" s="94"/>
      <c r="F321" s="104">
        <f>E321/G3</f>
        <v>0</v>
      </c>
      <c r="G321" s="94"/>
      <c r="H321" s="105">
        <f t="shared" si="8"/>
        <v>0</v>
      </c>
    </row>
    <row r="322" spans="1:8" ht="21" customHeight="1">
      <c r="A322" s="345">
        <v>24</v>
      </c>
      <c r="B322" s="94"/>
      <c r="C322" s="94"/>
      <c r="D322" s="94"/>
      <c r="E322" s="94"/>
      <c r="F322" s="104">
        <f>E322/G3</f>
        <v>0</v>
      </c>
      <c r="G322" s="94"/>
      <c r="H322" s="105">
        <f t="shared" si="8"/>
        <v>0</v>
      </c>
    </row>
    <row r="323" spans="1:8" ht="21" customHeight="1">
      <c r="A323" s="345">
        <v>25</v>
      </c>
      <c r="B323" s="94"/>
      <c r="C323" s="94"/>
      <c r="D323" s="94">
        <f>SUM(D299:D322)</f>
        <v>4</v>
      </c>
      <c r="E323" s="94"/>
      <c r="F323" s="104">
        <f>E323/G3</f>
        <v>0</v>
      </c>
      <c r="G323" s="94"/>
      <c r="H323" s="105">
        <f t="shared" si="8"/>
        <v>0</v>
      </c>
    </row>
    <row r="324" spans="1:8" ht="21" customHeight="1" thickBot="1">
      <c r="A324" s="448" t="s">
        <v>4</v>
      </c>
      <c r="B324" s="449"/>
      <c r="C324" s="449"/>
      <c r="D324" s="450"/>
      <c r="E324" s="107">
        <f>SUM(E299:E323)</f>
        <v>1252</v>
      </c>
      <c r="F324" s="108">
        <f>E324/G3</f>
        <v>331.65561567219441</v>
      </c>
      <c r="G324" s="107">
        <f>SUM(G299:G323)</f>
        <v>0</v>
      </c>
      <c r="H324" s="121">
        <f>SUM(H299:H323)</f>
        <v>331.65561567219441</v>
      </c>
    </row>
    <row r="326" spans="1:8">
      <c r="A326" s="451" t="s">
        <v>7</v>
      </c>
      <c r="B326" s="451"/>
      <c r="C326" s="452" t="s">
        <v>274</v>
      </c>
      <c r="D326" s="452"/>
      <c r="E326" s="452" t="s">
        <v>275</v>
      </c>
      <c r="F326" s="452"/>
      <c r="G326" s="452"/>
    </row>
    <row r="328" spans="1:8" ht="12" customHeight="1"/>
    <row r="329" spans="1:8" ht="12" customHeight="1"/>
    <row r="330" spans="1:8" ht="12" customHeight="1"/>
    <row r="331" spans="1:8" ht="12" customHeight="1"/>
    <row r="332" spans="1:8" ht="12" customHeight="1"/>
    <row r="333" spans="1:8" ht="12" customHeight="1"/>
    <row r="334" spans="1:8" ht="12" customHeight="1"/>
    <row r="335" spans="1:8" ht="9.75" customHeight="1"/>
    <row r="336" spans="1:8" ht="9.75" customHeight="1"/>
    <row r="337" spans="1:8" ht="17.25" customHeight="1">
      <c r="A337" s="445" t="s">
        <v>257</v>
      </c>
      <c r="B337" s="453"/>
      <c r="C337" s="453"/>
      <c r="D337" s="453"/>
      <c r="E337" s="453"/>
    </row>
    <row r="338" spans="1:8" ht="17.25" customHeight="1">
      <c r="A338" s="445" t="s">
        <v>586</v>
      </c>
      <c r="B338" s="453"/>
      <c r="C338" s="453"/>
      <c r="D338" s="453"/>
      <c r="E338" s="453"/>
      <c r="F338" s="452" t="s">
        <v>535</v>
      </c>
      <c r="G338" s="452"/>
    </row>
    <row r="339" spans="1:8" ht="17.25" customHeight="1" thickBot="1">
      <c r="A339" s="446" t="s">
        <v>259</v>
      </c>
      <c r="B339" s="446"/>
      <c r="C339" s="446"/>
      <c r="D339" s="446"/>
      <c r="E339" s="446"/>
      <c r="F339" s="334" t="s">
        <v>91</v>
      </c>
      <c r="G339" s="402">
        <f>تسعير!E34</f>
        <v>3.7750001532838997</v>
      </c>
    </row>
    <row r="340" spans="1:8" ht="21" customHeight="1">
      <c r="A340" s="349" t="s">
        <v>0</v>
      </c>
      <c r="B340" s="20" t="s">
        <v>78</v>
      </c>
      <c r="C340" s="341" t="s">
        <v>77</v>
      </c>
      <c r="D340" s="20" t="s">
        <v>80</v>
      </c>
      <c r="E340" s="20" t="s">
        <v>13</v>
      </c>
      <c r="F340" s="335" t="s">
        <v>83</v>
      </c>
      <c r="G340" s="335" t="s">
        <v>14</v>
      </c>
      <c r="H340" s="336" t="s">
        <v>79</v>
      </c>
    </row>
    <row r="341" spans="1:8" ht="30" customHeight="1">
      <c r="A341" s="345">
        <v>1</v>
      </c>
      <c r="B341" s="93" t="s">
        <v>245</v>
      </c>
      <c r="C341" s="95" t="s">
        <v>536</v>
      </c>
      <c r="D341" s="103"/>
      <c r="E341" s="119"/>
      <c r="F341" s="104">
        <f>E341/G3</f>
        <v>0</v>
      </c>
      <c r="G341" s="94"/>
      <c r="H341" s="117">
        <f>G341+F341</f>
        <v>0</v>
      </c>
    </row>
    <row r="342" spans="1:8" ht="30" customHeight="1">
      <c r="A342" s="345">
        <v>2</v>
      </c>
      <c r="B342" s="93"/>
      <c r="C342" s="95" t="s">
        <v>537</v>
      </c>
      <c r="D342" s="103"/>
      <c r="E342" s="119"/>
      <c r="F342" s="104">
        <f>E342/G3</f>
        <v>0</v>
      </c>
      <c r="G342" s="94"/>
      <c r="H342" s="117">
        <f t="shared" ref="H342:H365" si="9">G342+F342</f>
        <v>0</v>
      </c>
    </row>
    <row r="343" spans="1:8" ht="30" customHeight="1">
      <c r="A343" s="345">
        <v>3</v>
      </c>
      <c r="B343" s="93"/>
      <c r="C343" s="95" t="s">
        <v>538</v>
      </c>
      <c r="D343" s="103"/>
      <c r="E343" s="119"/>
      <c r="F343" s="104">
        <f>E343/G3</f>
        <v>0</v>
      </c>
      <c r="G343" s="94"/>
      <c r="H343" s="117">
        <f t="shared" si="9"/>
        <v>0</v>
      </c>
    </row>
    <row r="344" spans="1:8" ht="30" customHeight="1">
      <c r="A344" s="345">
        <v>4</v>
      </c>
      <c r="B344" s="93"/>
      <c r="C344" s="95"/>
      <c r="D344" s="103"/>
      <c r="E344" s="119">
        <v>57842</v>
      </c>
      <c r="F344" s="104">
        <f>E344/G3</f>
        <v>15322.383483794783</v>
      </c>
      <c r="G344" s="94"/>
      <c r="H344" s="117">
        <f t="shared" si="9"/>
        <v>15322.383483794783</v>
      </c>
    </row>
    <row r="345" spans="1:8" ht="30" customHeight="1">
      <c r="A345" s="345">
        <v>5</v>
      </c>
      <c r="B345" s="93"/>
      <c r="C345" s="95"/>
      <c r="D345" s="103">
        <v>70</v>
      </c>
      <c r="E345" s="119"/>
      <c r="F345" s="104">
        <f>E345/G3</f>
        <v>0</v>
      </c>
      <c r="G345" s="94"/>
      <c r="H345" s="117">
        <f t="shared" si="9"/>
        <v>0</v>
      </c>
    </row>
    <row r="346" spans="1:8" ht="30" customHeight="1">
      <c r="A346" s="345">
        <v>6</v>
      </c>
      <c r="B346" s="93"/>
      <c r="C346" s="95"/>
      <c r="D346" s="103"/>
      <c r="E346" s="119"/>
      <c r="F346" s="104">
        <f>E346/G3</f>
        <v>0</v>
      </c>
      <c r="G346" s="94"/>
      <c r="H346" s="117">
        <f t="shared" si="9"/>
        <v>0</v>
      </c>
    </row>
    <row r="347" spans="1:8" ht="30" customHeight="1">
      <c r="A347" s="345">
        <v>7</v>
      </c>
      <c r="B347" s="93"/>
      <c r="C347" s="95"/>
      <c r="D347" s="103"/>
      <c r="E347" s="119"/>
      <c r="F347" s="104">
        <f>E347/G3</f>
        <v>0</v>
      </c>
      <c r="G347" s="94"/>
      <c r="H347" s="117">
        <f t="shared" si="9"/>
        <v>0</v>
      </c>
    </row>
    <row r="348" spans="1:8" ht="30" customHeight="1">
      <c r="A348" s="345">
        <v>8</v>
      </c>
      <c r="B348" s="93"/>
      <c r="C348" s="95"/>
      <c r="D348" s="103"/>
      <c r="E348" s="119"/>
      <c r="F348" s="104">
        <f>E348/G3</f>
        <v>0</v>
      </c>
      <c r="G348" s="94"/>
      <c r="H348" s="117">
        <f t="shared" si="9"/>
        <v>0</v>
      </c>
    </row>
    <row r="349" spans="1:8" ht="30" customHeight="1">
      <c r="A349" s="345">
        <v>9</v>
      </c>
      <c r="B349" s="93"/>
      <c r="C349" s="95"/>
      <c r="D349" s="103"/>
      <c r="E349" s="119"/>
      <c r="F349" s="104">
        <f>E349/G3</f>
        <v>0</v>
      </c>
      <c r="G349" s="94"/>
      <c r="H349" s="117">
        <f t="shared" si="9"/>
        <v>0</v>
      </c>
    </row>
    <row r="350" spans="1:8" ht="30" customHeight="1">
      <c r="A350" s="345">
        <v>10</v>
      </c>
      <c r="B350" s="93"/>
      <c r="C350" s="95"/>
      <c r="D350" s="103"/>
      <c r="E350" s="119"/>
      <c r="F350" s="104">
        <f>E350/G3</f>
        <v>0</v>
      </c>
      <c r="G350" s="94"/>
      <c r="H350" s="117">
        <f t="shared" si="9"/>
        <v>0</v>
      </c>
    </row>
    <row r="351" spans="1:8" ht="30" customHeight="1">
      <c r="A351" s="345">
        <v>11</v>
      </c>
      <c r="B351" s="93"/>
      <c r="C351" s="95"/>
      <c r="D351" s="103"/>
      <c r="E351" s="119"/>
      <c r="F351" s="104">
        <f>E351/G3</f>
        <v>0</v>
      </c>
      <c r="G351" s="94"/>
      <c r="H351" s="117">
        <f t="shared" si="9"/>
        <v>0</v>
      </c>
    </row>
    <row r="352" spans="1:8" ht="15.75" customHeight="1">
      <c r="A352" s="345">
        <v>12</v>
      </c>
      <c r="B352" s="94"/>
      <c r="C352" s="355"/>
      <c r="D352" s="94"/>
      <c r="E352" s="119"/>
      <c r="F352" s="109">
        <f>E352/G3</f>
        <v>0</v>
      </c>
      <c r="G352" s="94"/>
      <c r="H352" s="118">
        <f t="shared" si="9"/>
        <v>0</v>
      </c>
    </row>
    <row r="353" spans="1:8" ht="15.75" customHeight="1">
      <c r="A353" s="345">
        <v>13</v>
      </c>
      <c r="B353" s="94"/>
      <c r="C353" s="94"/>
      <c r="D353" s="94"/>
      <c r="E353" s="119"/>
      <c r="F353" s="109">
        <f>E353/G3</f>
        <v>0</v>
      </c>
      <c r="G353" s="94"/>
      <c r="H353" s="118">
        <f t="shared" si="9"/>
        <v>0</v>
      </c>
    </row>
    <row r="354" spans="1:8" ht="15.75" customHeight="1">
      <c r="A354" s="345">
        <v>14</v>
      </c>
      <c r="B354" s="94"/>
      <c r="C354" s="94"/>
      <c r="D354" s="94"/>
      <c r="E354" s="119"/>
      <c r="F354" s="109">
        <f>E354/G3</f>
        <v>0</v>
      </c>
      <c r="G354" s="94"/>
      <c r="H354" s="118">
        <f t="shared" si="9"/>
        <v>0</v>
      </c>
    </row>
    <row r="355" spans="1:8" ht="15" customHeight="1">
      <c r="A355" s="345">
        <v>15</v>
      </c>
      <c r="B355" s="94"/>
      <c r="C355" s="94"/>
      <c r="D355" s="94"/>
      <c r="E355" s="119"/>
      <c r="F355" s="109">
        <f>E355/G3</f>
        <v>0</v>
      </c>
      <c r="G355" s="94"/>
      <c r="H355" s="118">
        <f t="shared" si="9"/>
        <v>0</v>
      </c>
    </row>
    <row r="356" spans="1:8" ht="15" customHeight="1">
      <c r="A356" s="345">
        <v>16</v>
      </c>
      <c r="B356" s="94"/>
      <c r="C356" s="94"/>
      <c r="D356" s="94"/>
      <c r="E356" s="119"/>
      <c r="F356" s="109">
        <f>E356/G3</f>
        <v>0</v>
      </c>
      <c r="G356" s="94"/>
      <c r="H356" s="118">
        <f t="shared" si="9"/>
        <v>0</v>
      </c>
    </row>
    <row r="357" spans="1:8" ht="15" customHeight="1">
      <c r="A357" s="345">
        <v>17</v>
      </c>
      <c r="B357" s="94"/>
      <c r="C357" s="94"/>
      <c r="D357" s="94"/>
      <c r="E357" s="119"/>
      <c r="F357" s="109">
        <f>E357/G3</f>
        <v>0</v>
      </c>
      <c r="G357" s="94"/>
      <c r="H357" s="118">
        <f t="shared" si="9"/>
        <v>0</v>
      </c>
    </row>
    <row r="358" spans="1:8" ht="15" customHeight="1">
      <c r="A358" s="345">
        <v>18</v>
      </c>
      <c r="B358" s="94"/>
      <c r="C358" s="94"/>
      <c r="D358" s="94"/>
      <c r="E358" s="119"/>
      <c r="F358" s="109">
        <f>E358/G3</f>
        <v>0</v>
      </c>
      <c r="G358" s="94"/>
      <c r="H358" s="118">
        <f t="shared" si="9"/>
        <v>0</v>
      </c>
    </row>
    <row r="359" spans="1:8" ht="15" customHeight="1">
      <c r="A359" s="345">
        <v>19</v>
      </c>
      <c r="B359" s="94"/>
      <c r="C359" s="94"/>
      <c r="D359" s="94"/>
      <c r="E359" s="119"/>
      <c r="F359" s="109">
        <f>E359/G3</f>
        <v>0</v>
      </c>
      <c r="G359" s="94"/>
      <c r="H359" s="118">
        <f t="shared" si="9"/>
        <v>0</v>
      </c>
    </row>
    <row r="360" spans="1:8" ht="15" customHeight="1">
      <c r="A360" s="345">
        <v>20</v>
      </c>
      <c r="B360" s="94"/>
      <c r="C360" s="94"/>
      <c r="D360" s="94"/>
      <c r="E360" s="119"/>
      <c r="F360" s="109">
        <f>E360/G3</f>
        <v>0</v>
      </c>
      <c r="G360" s="94"/>
      <c r="H360" s="118">
        <f t="shared" si="9"/>
        <v>0</v>
      </c>
    </row>
    <row r="361" spans="1:8" ht="15" customHeight="1">
      <c r="A361" s="345">
        <v>21</v>
      </c>
      <c r="B361" s="94"/>
      <c r="C361" s="94"/>
      <c r="D361" s="94"/>
      <c r="E361" s="119"/>
      <c r="F361" s="109">
        <f>E361/G3</f>
        <v>0</v>
      </c>
      <c r="G361" s="94"/>
      <c r="H361" s="118">
        <f t="shared" si="9"/>
        <v>0</v>
      </c>
    </row>
    <row r="362" spans="1:8" ht="15" customHeight="1">
      <c r="A362" s="345">
        <v>22</v>
      </c>
      <c r="B362" s="94"/>
      <c r="C362" s="94"/>
      <c r="D362" s="94"/>
      <c r="E362" s="119"/>
      <c r="F362" s="109">
        <f>E362/G3</f>
        <v>0</v>
      </c>
      <c r="G362" s="94"/>
      <c r="H362" s="118">
        <f t="shared" si="9"/>
        <v>0</v>
      </c>
    </row>
    <row r="363" spans="1:8" ht="21" customHeight="1">
      <c r="A363" s="345">
        <v>23</v>
      </c>
      <c r="B363" s="94"/>
      <c r="C363" s="94"/>
      <c r="D363" s="94"/>
      <c r="E363" s="119"/>
      <c r="F363" s="109">
        <f>E363/G3</f>
        <v>0</v>
      </c>
      <c r="G363" s="94"/>
      <c r="H363" s="118">
        <f t="shared" si="9"/>
        <v>0</v>
      </c>
    </row>
    <row r="364" spans="1:8" ht="21" customHeight="1">
      <c r="A364" s="345">
        <v>24</v>
      </c>
      <c r="B364" s="94"/>
      <c r="C364" s="94"/>
      <c r="D364" s="94"/>
      <c r="E364" s="119"/>
      <c r="F364" s="109">
        <f>E364/G3</f>
        <v>0</v>
      </c>
      <c r="G364" s="94"/>
      <c r="H364" s="118">
        <f t="shared" si="9"/>
        <v>0</v>
      </c>
    </row>
    <row r="365" spans="1:8" ht="21" customHeight="1">
      <c r="A365" s="345">
        <v>25</v>
      </c>
      <c r="B365" s="94"/>
      <c r="C365" s="94"/>
      <c r="D365" s="94">
        <f>SUM(D341:D364)</f>
        <v>70</v>
      </c>
      <c r="E365" s="119"/>
      <c r="F365" s="109">
        <f>E365/G3</f>
        <v>0</v>
      </c>
      <c r="G365" s="94"/>
      <c r="H365" s="118">
        <f t="shared" si="9"/>
        <v>0</v>
      </c>
    </row>
    <row r="366" spans="1:8" ht="21" customHeight="1" thickBot="1">
      <c r="A366" s="448" t="s">
        <v>4</v>
      </c>
      <c r="B366" s="449"/>
      <c r="C366" s="449"/>
      <c r="D366" s="450"/>
      <c r="E366" s="120">
        <f>SUM(E341:E365)</f>
        <v>57842</v>
      </c>
      <c r="F366" s="113">
        <f>E366/G3</f>
        <v>15322.383483794783</v>
      </c>
      <c r="G366" s="107">
        <f>SUM(G341:G365)</f>
        <v>0</v>
      </c>
      <c r="H366" s="143">
        <f>SUM(H341:H365)</f>
        <v>15322.383483794783</v>
      </c>
    </row>
    <row r="368" spans="1:8">
      <c r="A368" s="451" t="s">
        <v>7</v>
      </c>
      <c r="B368" s="451"/>
      <c r="C368" s="452" t="s">
        <v>274</v>
      </c>
      <c r="D368" s="452"/>
      <c r="E368" s="452" t="s">
        <v>275</v>
      </c>
      <c r="F368" s="452"/>
      <c r="G368" s="452"/>
    </row>
    <row r="369" spans="1:8" ht="12.75" customHeight="1"/>
    <row r="371" spans="1:8" ht="12.75" customHeight="1"/>
    <row r="372" spans="1:8" ht="12.75" customHeight="1"/>
    <row r="373" spans="1:8" ht="12.75" customHeight="1"/>
    <row r="374" spans="1:8" ht="12.75" customHeight="1"/>
    <row r="375" spans="1:8" ht="12.75" customHeight="1"/>
    <row r="376" spans="1:8" ht="3" customHeight="1"/>
    <row r="377" spans="1:8" ht="3" customHeight="1"/>
    <row r="379" spans="1:8" ht="17.25" customHeight="1">
      <c r="A379" s="445" t="s">
        <v>262</v>
      </c>
      <c r="B379" s="453"/>
      <c r="C379" s="453"/>
      <c r="D379" s="453"/>
      <c r="E379" s="453"/>
    </row>
    <row r="380" spans="1:8" ht="17.25" customHeight="1">
      <c r="A380" s="445" t="s">
        <v>586</v>
      </c>
      <c r="B380" s="453"/>
      <c r="C380" s="453"/>
      <c r="D380" s="453"/>
      <c r="E380" s="453"/>
      <c r="F380" s="452" t="s">
        <v>569</v>
      </c>
      <c r="G380" s="452"/>
    </row>
    <row r="381" spans="1:8" ht="17.25" customHeight="1" thickBot="1">
      <c r="A381" s="446" t="s">
        <v>261</v>
      </c>
      <c r="B381" s="446"/>
      <c r="C381" s="446"/>
      <c r="D381" s="446"/>
      <c r="E381" s="446"/>
      <c r="F381" s="334" t="s">
        <v>91</v>
      </c>
      <c r="G381" s="402">
        <f>تسعير!E34</f>
        <v>3.7750001532838997</v>
      </c>
    </row>
    <row r="382" spans="1:8" ht="21" customHeight="1">
      <c r="A382" s="349" t="s">
        <v>0</v>
      </c>
      <c r="B382" s="20" t="s">
        <v>78</v>
      </c>
      <c r="C382" s="341" t="s">
        <v>77</v>
      </c>
      <c r="D382" s="20" t="s">
        <v>80</v>
      </c>
      <c r="E382" s="20" t="s">
        <v>13</v>
      </c>
      <c r="F382" s="335" t="s">
        <v>83</v>
      </c>
      <c r="G382" s="335" t="s">
        <v>14</v>
      </c>
      <c r="H382" s="336" t="s">
        <v>79</v>
      </c>
    </row>
    <row r="383" spans="1:8" ht="30" customHeight="1">
      <c r="A383" s="345">
        <v>1</v>
      </c>
      <c r="B383" s="93"/>
      <c r="C383" s="95" t="s">
        <v>568</v>
      </c>
      <c r="D383" s="103"/>
      <c r="E383" s="119">
        <v>34945</v>
      </c>
      <c r="F383" s="279">
        <f>E383/G3</f>
        <v>9256.9532665054576</v>
      </c>
      <c r="G383" s="119"/>
      <c r="H383" s="297">
        <f>G383+F383</f>
        <v>9256.9532665054576</v>
      </c>
    </row>
    <row r="384" spans="1:8" ht="30" customHeight="1">
      <c r="A384" s="345">
        <v>2</v>
      </c>
      <c r="B384" s="93"/>
      <c r="C384" s="95"/>
      <c r="D384" s="103">
        <v>75</v>
      </c>
      <c r="E384" s="119"/>
      <c r="F384" s="279">
        <f>E384/G3</f>
        <v>0</v>
      </c>
      <c r="G384" s="119"/>
      <c r="H384" s="297">
        <f t="shared" ref="H384:H407" si="10">G384+F384</f>
        <v>0</v>
      </c>
    </row>
    <row r="385" spans="1:8" ht="20.25" customHeight="1">
      <c r="A385" s="345">
        <v>3</v>
      </c>
      <c r="B385" s="93"/>
      <c r="C385" s="92"/>
      <c r="D385" s="103"/>
      <c r="E385" s="119"/>
      <c r="F385" s="279">
        <f>E385/G3</f>
        <v>0</v>
      </c>
      <c r="G385" s="119"/>
      <c r="H385" s="297">
        <f t="shared" si="10"/>
        <v>0</v>
      </c>
    </row>
    <row r="386" spans="1:8" ht="20.25" customHeight="1">
      <c r="A386" s="345">
        <v>4</v>
      </c>
      <c r="B386" s="93"/>
      <c r="C386" s="92"/>
      <c r="D386" s="103"/>
      <c r="E386" s="119"/>
      <c r="F386" s="279">
        <f>E386/G3</f>
        <v>0</v>
      </c>
      <c r="G386" s="119"/>
      <c r="H386" s="297">
        <f t="shared" si="10"/>
        <v>0</v>
      </c>
    </row>
    <row r="387" spans="1:8" ht="21.75" customHeight="1">
      <c r="A387" s="345">
        <v>5</v>
      </c>
      <c r="B387" s="93"/>
      <c r="C387" s="92"/>
      <c r="D387" s="103"/>
      <c r="E387" s="119"/>
      <c r="F387" s="279">
        <f>E387/G3</f>
        <v>0</v>
      </c>
      <c r="G387" s="119"/>
      <c r="H387" s="297">
        <f t="shared" si="10"/>
        <v>0</v>
      </c>
    </row>
    <row r="388" spans="1:8" ht="21.75" customHeight="1">
      <c r="A388" s="345">
        <v>6</v>
      </c>
      <c r="B388" s="93"/>
      <c r="C388" s="92"/>
      <c r="D388" s="103"/>
      <c r="E388" s="119"/>
      <c r="F388" s="279">
        <f>E388/G3</f>
        <v>0</v>
      </c>
      <c r="G388" s="119"/>
      <c r="H388" s="297">
        <f t="shared" si="10"/>
        <v>0</v>
      </c>
    </row>
    <row r="389" spans="1:8" ht="21.75" customHeight="1">
      <c r="A389" s="345">
        <v>7</v>
      </c>
      <c r="B389" s="93"/>
      <c r="C389" s="92"/>
      <c r="D389" s="103"/>
      <c r="E389" s="119"/>
      <c r="F389" s="279">
        <f>E389/G3</f>
        <v>0</v>
      </c>
      <c r="G389" s="119"/>
      <c r="H389" s="297">
        <f t="shared" si="10"/>
        <v>0</v>
      </c>
    </row>
    <row r="390" spans="1:8" ht="21.75" customHeight="1">
      <c r="A390" s="345">
        <v>8</v>
      </c>
      <c r="B390" s="93"/>
      <c r="C390" s="92"/>
      <c r="D390" s="103"/>
      <c r="E390" s="119"/>
      <c r="F390" s="279">
        <f>E390/G3</f>
        <v>0</v>
      </c>
      <c r="G390" s="119"/>
      <c r="H390" s="297">
        <f t="shared" si="10"/>
        <v>0</v>
      </c>
    </row>
    <row r="391" spans="1:8" ht="21.75" customHeight="1">
      <c r="A391" s="345">
        <v>9</v>
      </c>
      <c r="B391" s="93"/>
      <c r="C391" s="357"/>
      <c r="D391" s="103"/>
      <c r="E391" s="119"/>
      <c r="F391" s="279">
        <f>E391/G3</f>
        <v>0</v>
      </c>
      <c r="G391" s="119"/>
      <c r="H391" s="297">
        <f t="shared" si="10"/>
        <v>0</v>
      </c>
    </row>
    <row r="392" spans="1:8" ht="21.75" customHeight="1">
      <c r="A392" s="345">
        <v>10</v>
      </c>
      <c r="B392" s="93"/>
      <c r="C392" s="96"/>
      <c r="D392" s="103"/>
      <c r="E392" s="119"/>
      <c r="F392" s="279">
        <f>E392/G3</f>
        <v>0</v>
      </c>
      <c r="G392" s="119"/>
      <c r="H392" s="297">
        <f t="shared" si="10"/>
        <v>0</v>
      </c>
    </row>
    <row r="393" spans="1:8" ht="21.75" customHeight="1">
      <c r="A393" s="345">
        <v>11</v>
      </c>
      <c r="B393" s="93"/>
      <c r="C393" s="96"/>
      <c r="D393" s="103"/>
      <c r="E393" s="119"/>
      <c r="F393" s="279">
        <f>E393/G3</f>
        <v>0</v>
      </c>
      <c r="G393" s="119"/>
      <c r="H393" s="297">
        <f t="shared" si="10"/>
        <v>0</v>
      </c>
    </row>
    <row r="394" spans="1:8" ht="21.75" customHeight="1">
      <c r="A394" s="345">
        <v>12</v>
      </c>
      <c r="B394" s="93"/>
      <c r="C394" s="95"/>
      <c r="D394" s="103"/>
      <c r="E394" s="119"/>
      <c r="F394" s="279">
        <f>E394/G3</f>
        <v>0</v>
      </c>
      <c r="G394" s="119"/>
      <c r="H394" s="297">
        <f t="shared" si="10"/>
        <v>0</v>
      </c>
    </row>
    <row r="395" spans="1:8" ht="21.75" customHeight="1">
      <c r="A395" s="345">
        <v>13</v>
      </c>
      <c r="B395" s="93"/>
      <c r="C395" s="95"/>
      <c r="D395" s="103"/>
      <c r="E395" s="119"/>
      <c r="F395" s="279">
        <f>E395/G3</f>
        <v>0</v>
      </c>
      <c r="G395" s="119"/>
      <c r="H395" s="297">
        <f t="shared" si="10"/>
        <v>0</v>
      </c>
    </row>
    <row r="396" spans="1:8" ht="21.75" customHeight="1">
      <c r="A396" s="345">
        <v>14</v>
      </c>
      <c r="B396" s="93"/>
      <c r="C396" s="95"/>
      <c r="D396" s="103"/>
      <c r="E396" s="119"/>
      <c r="F396" s="279">
        <f>E396/G3</f>
        <v>0</v>
      </c>
      <c r="G396" s="119"/>
      <c r="H396" s="297">
        <f t="shared" si="10"/>
        <v>0</v>
      </c>
    </row>
    <row r="397" spans="1:8" ht="21.75" customHeight="1">
      <c r="A397" s="345">
        <v>15</v>
      </c>
      <c r="B397" s="93"/>
      <c r="C397" s="98"/>
      <c r="D397" s="103"/>
      <c r="E397" s="119"/>
      <c r="F397" s="279">
        <f>E397/G3</f>
        <v>0</v>
      </c>
      <c r="G397" s="119"/>
      <c r="H397" s="297">
        <f t="shared" si="10"/>
        <v>0</v>
      </c>
    </row>
    <row r="398" spans="1:8" ht="21.75" customHeight="1">
      <c r="A398" s="345">
        <v>16</v>
      </c>
      <c r="B398" s="93"/>
      <c r="C398" s="98"/>
      <c r="D398" s="103"/>
      <c r="E398" s="119"/>
      <c r="F398" s="279">
        <f>E398/G3</f>
        <v>0</v>
      </c>
      <c r="G398" s="119"/>
      <c r="H398" s="297">
        <f t="shared" si="10"/>
        <v>0</v>
      </c>
    </row>
    <row r="399" spans="1:8" ht="21.75" customHeight="1">
      <c r="A399" s="345">
        <v>17</v>
      </c>
      <c r="B399" s="93"/>
      <c r="C399" s="98"/>
      <c r="D399" s="103"/>
      <c r="E399" s="119"/>
      <c r="F399" s="279">
        <f>E399/G3</f>
        <v>0</v>
      </c>
      <c r="G399" s="119"/>
      <c r="H399" s="297">
        <f t="shared" si="10"/>
        <v>0</v>
      </c>
    </row>
    <row r="400" spans="1:8" ht="21.75" customHeight="1">
      <c r="A400" s="345">
        <v>18</v>
      </c>
      <c r="B400" s="93"/>
      <c r="C400" s="98"/>
      <c r="D400" s="103"/>
      <c r="E400" s="119"/>
      <c r="F400" s="279">
        <f>E400/G3</f>
        <v>0</v>
      </c>
      <c r="G400" s="119"/>
      <c r="H400" s="297">
        <f t="shared" si="10"/>
        <v>0</v>
      </c>
    </row>
    <row r="401" spans="1:8" ht="21.75" customHeight="1">
      <c r="A401" s="345">
        <v>19</v>
      </c>
      <c r="B401" s="93"/>
      <c r="C401" s="98"/>
      <c r="D401" s="103"/>
      <c r="E401" s="119"/>
      <c r="F401" s="279">
        <f>E401/G3</f>
        <v>0</v>
      </c>
      <c r="G401" s="119"/>
      <c r="H401" s="297">
        <f t="shared" si="10"/>
        <v>0</v>
      </c>
    </row>
    <row r="402" spans="1:8" ht="21.75" customHeight="1">
      <c r="A402" s="345">
        <v>20</v>
      </c>
      <c r="B402" s="93"/>
      <c r="C402" s="99"/>
      <c r="D402" s="103"/>
      <c r="E402" s="119"/>
      <c r="F402" s="279">
        <f>E402/G3</f>
        <v>0</v>
      </c>
      <c r="G402" s="119"/>
      <c r="H402" s="297">
        <f t="shared" si="10"/>
        <v>0</v>
      </c>
    </row>
    <row r="403" spans="1:8" ht="21.75" customHeight="1">
      <c r="A403" s="345">
        <v>21</v>
      </c>
      <c r="B403" s="93"/>
      <c r="C403" s="97"/>
      <c r="D403" s="103"/>
      <c r="E403" s="119"/>
      <c r="F403" s="279">
        <f>E403/G3</f>
        <v>0</v>
      </c>
      <c r="G403" s="119"/>
      <c r="H403" s="297">
        <f t="shared" si="10"/>
        <v>0</v>
      </c>
    </row>
    <row r="404" spans="1:8" ht="21.75" customHeight="1">
      <c r="A404" s="345">
        <v>22</v>
      </c>
      <c r="B404" s="93"/>
      <c r="C404" s="94"/>
      <c r="D404" s="103"/>
      <c r="E404" s="119"/>
      <c r="F404" s="279">
        <f>E404/G3</f>
        <v>0</v>
      </c>
      <c r="G404" s="119"/>
      <c r="H404" s="297">
        <f t="shared" si="10"/>
        <v>0</v>
      </c>
    </row>
    <row r="405" spans="1:8" ht="21.75" customHeight="1">
      <c r="A405" s="345">
        <v>23</v>
      </c>
      <c r="B405" s="93"/>
      <c r="C405" s="94"/>
      <c r="D405" s="103"/>
      <c r="E405" s="119"/>
      <c r="F405" s="279">
        <f>E405/G3</f>
        <v>0</v>
      </c>
      <c r="G405" s="119"/>
      <c r="H405" s="297">
        <f t="shared" si="10"/>
        <v>0</v>
      </c>
    </row>
    <row r="406" spans="1:8" ht="21" customHeight="1">
      <c r="A406" s="345">
        <v>24</v>
      </c>
      <c r="B406" s="94"/>
      <c r="C406" s="94"/>
      <c r="D406" s="94"/>
      <c r="E406" s="119"/>
      <c r="F406" s="279">
        <f>E406/G3</f>
        <v>0</v>
      </c>
      <c r="G406" s="119"/>
      <c r="H406" s="297">
        <f t="shared" si="10"/>
        <v>0</v>
      </c>
    </row>
    <row r="407" spans="1:8" ht="21" customHeight="1">
      <c r="A407" s="345">
        <v>25</v>
      </c>
      <c r="B407" s="94"/>
      <c r="C407" s="94"/>
      <c r="D407" s="94">
        <f>SUM(D383:D406)</f>
        <v>75</v>
      </c>
      <c r="E407" s="119"/>
      <c r="F407" s="279">
        <f>E407/G3</f>
        <v>0</v>
      </c>
      <c r="G407" s="119"/>
      <c r="H407" s="297">
        <f t="shared" si="10"/>
        <v>0</v>
      </c>
    </row>
    <row r="408" spans="1:8" ht="21" customHeight="1" thickBot="1">
      <c r="A408" s="448" t="s">
        <v>4</v>
      </c>
      <c r="B408" s="449"/>
      <c r="C408" s="449"/>
      <c r="D408" s="450"/>
      <c r="E408" s="120">
        <f>SUM(E383:E407)</f>
        <v>34945</v>
      </c>
      <c r="F408" s="120">
        <f>E408/G3</f>
        <v>9256.9532665054576</v>
      </c>
      <c r="G408" s="120">
        <f>SUM(G383:G407)</f>
        <v>0</v>
      </c>
      <c r="H408" s="298">
        <f>SUM(H383:H407)</f>
        <v>9256.9532665054576</v>
      </c>
    </row>
    <row r="410" spans="1:8">
      <c r="A410" s="451" t="s">
        <v>7</v>
      </c>
      <c r="B410" s="451"/>
      <c r="C410" s="452" t="s">
        <v>274</v>
      </c>
      <c r="D410" s="452"/>
      <c r="E410" s="452" t="s">
        <v>275</v>
      </c>
      <c r="F410" s="452"/>
      <c r="G410" s="452"/>
    </row>
    <row r="417" spans="1:8" ht="20.25" customHeight="1">
      <c r="A417" s="445" t="s">
        <v>262</v>
      </c>
      <c r="B417" s="453"/>
      <c r="C417" s="453"/>
      <c r="D417" s="453"/>
      <c r="E417" s="453"/>
    </row>
    <row r="418" spans="1:8" ht="20.25" customHeight="1">
      <c r="A418" s="445" t="s">
        <v>586</v>
      </c>
      <c r="B418" s="453"/>
      <c r="C418" s="453"/>
      <c r="D418" s="453"/>
      <c r="E418" s="453"/>
      <c r="F418" s="452" t="s">
        <v>527</v>
      </c>
      <c r="G418" s="452"/>
    </row>
    <row r="419" spans="1:8" ht="20.25" customHeight="1" thickBot="1">
      <c r="A419" s="446" t="s">
        <v>437</v>
      </c>
      <c r="B419" s="446"/>
      <c r="C419" s="446"/>
      <c r="D419" s="446"/>
      <c r="E419" s="446"/>
      <c r="F419" s="334" t="s">
        <v>91</v>
      </c>
      <c r="G419" s="402">
        <f>تسعير!E34</f>
        <v>3.7750001532838997</v>
      </c>
    </row>
    <row r="420" spans="1:8" ht="20.25" customHeight="1">
      <c r="A420" s="349" t="s">
        <v>0</v>
      </c>
      <c r="B420" s="20" t="s">
        <v>78</v>
      </c>
      <c r="C420" s="341" t="s">
        <v>77</v>
      </c>
      <c r="D420" s="20" t="s">
        <v>80</v>
      </c>
      <c r="E420" s="20" t="s">
        <v>13</v>
      </c>
      <c r="F420" s="335" t="s">
        <v>83</v>
      </c>
      <c r="G420" s="335" t="s">
        <v>14</v>
      </c>
      <c r="H420" s="336" t="s">
        <v>79</v>
      </c>
    </row>
    <row r="421" spans="1:8" ht="20.25" customHeight="1">
      <c r="A421" s="345">
        <v>1</v>
      </c>
      <c r="B421" s="93" t="s">
        <v>522</v>
      </c>
      <c r="C421" s="95" t="s">
        <v>523</v>
      </c>
      <c r="D421" s="103"/>
      <c r="E421" s="119">
        <v>100</v>
      </c>
      <c r="F421" s="279">
        <f>E421/G419</f>
        <v>26.490065149536296</v>
      </c>
      <c r="G421" s="119"/>
      <c r="H421" s="297">
        <f>G421+F421</f>
        <v>26.490065149536296</v>
      </c>
    </row>
    <row r="422" spans="1:8" ht="20.25" customHeight="1">
      <c r="A422" s="345">
        <v>2</v>
      </c>
      <c r="B422" s="93" t="s">
        <v>522</v>
      </c>
      <c r="C422" s="95" t="s">
        <v>524</v>
      </c>
      <c r="D422" s="103"/>
      <c r="E422" s="119">
        <v>1425</v>
      </c>
      <c r="F422" s="279">
        <f>E422/G419</f>
        <v>377.48342838089218</v>
      </c>
      <c r="G422" s="119"/>
      <c r="H422" s="297">
        <f t="shared" ref="H422:H445" si="11">G422+F422</f>
        <v>377.48342838089218</v>
      </c>
    </row>
    <row r="423" spans="1:8" ht="20.25" customHeight="1">
      <c r="A423" s="345">
        <v>3</v>
      </c>
      <c r="B423" s="93" t="s">
        <v>522</v>
      </c>
      <c r="C423" s="92" t="s">
        <v>525</v>
      </c>
      <c r="D423" s="103"/>
      <c r="E423" s="119">
        <v>3010</v>
      </c>
      <c r="F423" s="279">
        <f>E423/G419</f>
        <v>797.35096100104249</v>
      </c>
      <c r="G423" s="119"/>
      <c r="H423" s="297">
        <f t="shared" si="11"/>
        <v>797.35096100104249</v>
      </c>
    </row>
    <row r="424" spans="1:8" ht="20.25" customHeight="1">
      <c r="A424" s="345">
        <v>4</v>
      </c>
      <c r="B424" s="93"/>
      <c r="C424" s="92"/>
      <c r="D424" s="103">
        <v>6</v>
      </c>
      <c r="E424" s="119"/>
      <c r="F424" s="279">
        <f>E424/G419</f>
        <v>0</v>
      </c>
      <c r="G424" s="119"/>
      <c r="H424" s="297">
        <f t="shared" si="11"/>
        <v>0</v>
      </c>
    </row>
    <row r="425" spans="1:8" ht="20.25" customHeight="1">
      <c r="A425" s="345">
        <v>5</v>
      </c>
      <c r="B425" s="93"/>
      <c r="C425" s="92"/>
      <c r="D425" s="103"/>
      <c r="E425" s="119"/>
      <c r="F425" s="279">
        <f>E425/G419</f>
        <v>0</v>
      </c>
      <c r="G425" s="119"/>
      <c r="H425" s="297">
        <f t="shared" si="11"/>
        <v>0</v>
      </c>
    </row>
    <row r="426" spans="1:8" ht="20.25" customHeight="1">
      <c r="A426" s="345">
        <v>6</v>
      </c>
      <c r="B426" s="93"/>
      <c r="C426" s="92"/>
      <c r="D426" s="103"/>
      <c r="E426" s="119"/>
      <c r="F426" s="279">
        <f>E426/G419</f>
        <v>0</v>
      </c>
      <c r="G426" s="119"/>
      <c r="H426" s="297">
        <f t="shared" si="11"/>
        <v>0</v>
      </c>
    </row>
    <row r="427" spans="1:8" ht="20.25" customHeight="1">
      <c r="A427" s="345">
        <v>7</v>
      </c>
      <c r="B427" s="93"/>
      <c r="C427" s="92"/>
      <c r="D427" s="103"/>
      <c r="E427" s="119"/>
      <c r="F427" s="279">
        <f>E427/G419</f>
        <v>0</v>
      </c>
      <c r="G427" s="119"/>
      <c r="H427" s="297">
        <f t="shared" si="11"/>
        <v>0</v>
      </c>
    </row>
    <row r="428" spans="1:8" ht="20.25" customHeight="1">
      <c r="A428" s="345">
        <v>8</v>
      </c>
      <c r="B428" s="93"/>
      <c r="C428" s="92"/>
      <c r="D428" s="103"/>
      <c r="E428" s="119"/>
      <c r="F428" s="279">
        <f>E428/G419</f>
        <v>0</v>
      </c>
      <c r="G428" s="119"/>
      <c r="H428" s="297">
        <f t="shared" si="11"/>
        <v>0</v>
      </c>
    </row>
    <row r="429" spans="1:8" ht="20.25" customHeight="1">
      <c r="A429" s="345">
        <v>9</v>
      </c>
      <c r="B429" s="93"/>
      <c r="C429" s="357"/>
      <c r="D429" s="103"/>
      <c r="E429" s="119"/>
      <c r="F429" s="279">
        <f>E429/G419</f>
        <v>0</v>
      </c>
      <c r="G429" s="119"/>
      <c r="H429" s="297">
        <f t="shared" si="11"/>
        <v>0</v>
      </c>
    </row>
    <row r="430" spans="1:8" ht="20.25" customHeight="1">
      <c r="A430" s="345">
        <v>10</v>
      </c>
      <c r="B430" s="93"/>
      <c r="C430" s="96"/>
      <c r="D430" s="103"/>
      <c r="E430" s="119"/>
      <c r="F430" s="279">
        <f>E430/G419</f>
        <v>0</v>
      </c>
      <c r="G430" s="119"/>
      <c r="H430" s="297">
        <f t="shared" si="11"/>
        <v>0</v>
      </c>
    </row>
    <row r="431" spans="1:8" ht="20.25" customHeight="1">
      <c r="A431" s="345">
        <v>11</v>
      </c>
      <c r="B431" s="93"/>
      <c r="C431" s="96"/>
      <c r="D431" s="103"/>
      <c r="E431" s="119"/>
      <c r="F431" s="279">
        <f>E431/G419</f>
        <v>0</v>
      </c>
      <c r="G431" s="119"/>
      <c r="H431" s="297">
        <f t="shared" si="11"/>
        <v>0</v>
      </c>
    </row>
    <row r="432" spans="1:8" ht="20.25" customHeight="1">
      <c r="A432" s="345">
        <v>12</v>
      </c>
      <c r="B432" s="93"/>
      <c r="C432" s="95"/>
      <c r="D432" s="103"/>
      <c r="E432" s="119"/>
      <c r="F432" s="279">
        <f>E432/G419</f>
        <v>0</v>
      </c>
      <c r="G432" s="119"/>
      <c r="H432" s="297">
        <f t="shared" si="11"/>
        <v>0</v>
      </c>
    </row>
    <row r="433" spans="1:8" ht="20.25" customHeight="1">
      <c r="A433" s="345">
        <v>13</v>
      </c>
      <c r="B433" s="93"/>
      <c r="C433" s="95"/>
      <c r="D433" s="103"/>
      <c r="E433" s="119"/>
      <c r="F433" s="279">
        <f>E433/G419</f>
        <v>0</v>
      </c>
      <c r="G433" s="119"/>
      <c r="H433" s="297">
        <f t="shared" si="11"/>
        <v>0</v>
      </c>
    </row>
    <row r="434" spans="1:8" ht="20.25" customHeight="1">
      <c r="A434" s="345">
        <v>14</v>
      </c>
      <c r="B434" s="93"/>
      <c r="C434" s="95"/>
      <c r="D434" s="103"/>
      <c r="E434" s="119"/>
      <c r="F434" s="279">
        <f>E434/G419</f>
        <v>0</v>
      </c>
      <c r="G434" s="119"/>
      <c r="H434" s="297">
        <f t="shared" si="11"/>
        <v>0</v>
      </c>
    </row>
    <row r="435" spans="1:8" ht="20.25" customHeight="1">
      <c r="A435" s="345">
        <v>15</v>
      </c>
      <c r="B435" s="93"/>
      <c r="C435" s="98"/>
      <c r="D435" s="103"/>
      <c r="E435" s="119"/>
      <c r="F435" s="279">
        <f>E435/G419</f>
        <v>0</v>
      </c>
      <c r="G435" s="119"/>
      <c r="H435" s="297">
        <f t="shared" si="11"/>
        <v>0</v>
      </c>
    </row>
    <row r="436" spans="1:8" ht="20.25" customHeight="1">
      <c r="A436" s="345">
        <v>16</v>
      </c>
      <c r="B436" s="93"/>
      <c r="C436" s="98"/>
      <c r="D436" s="103"/>
      <c r="E436" s="119"/>
      <c r="F436" s="279">
        <f>E436/G419</f>
        <v>0</v>
      </c>
      <c r="G436" s="119"/>
      <c r="H436" s="297">
        <f t="shared" si="11"/>
        <v>0</v>
      </c>
    </row>
    <row r="437" spans="1:8" ht="20.25" customHeight="1">
      <c r="A437" s="345">
        <v>17</v>
      </c>
      <c r="B437" s="93"/>
      <c r="C437" s="98"/>
      <c r="D437" s="103"/>
      <c r="E437" s="119"/>
      <c r="F437" s="279">
        <f>E437/G419</f>
        <v>0</v>
      </c>
      <c r="G437" s="119"/>
      <c r="H437" s="297">
        <f t="shared" si="11"/>
        <v>0</v>
      </c>
    </row>
    <row r="438" spans="1:8" ht="20.25" customHeight="1">
      <c r="A438" s="345">
        <v>18</v>
      </c>
      <c r="B438" s="93"/>
      <c r="C438" s="98"/>
      <c r="D438" s="103"/>
      <c r="E438" s="119"/>
      <c r="F438" s="279">
        <f>E438/G419</f>
        <v>0</v>
      </c>
      <c r="G438" s="119"/>
      <c r="H438" s="297">
        <f t="shared" si="11"/>
        <v>0</v>
      </c>
    </row>
    <row r="439" spans="1:8" ht="20.25" customHeight="1">
      <c r="A439" s="345">
        <v>19</v>
      </c>
      <c r="B439" s="93"/>
      <c r="C439" s="98"/>
      <c r="D439" s="103"/>
      <c r="E439" s="119"/>
      <c r="F439" s="279">
        <f>E439/G419</f>
        <v>0</v>
      </c>
      <c r="G439" s="119"/>
      <c r="H439" s="297">
        <f t="shared" si="11"/>
        <v>0</v>
      </c>
    </row>
    <row r="440" spans="1:8" ht="20.25" customHeight="1">
      <c r="A440" s="345">
        <v>20</v>
      </c>
      <c r="B440" s="93"/>
      <c r="C440" s="99"/>
      <c r="D440" s="103"/>
      <c r="E440" s="119"/>
      <c r="F440" s="279">
        <f>E440/G419</f>
        <v>0</v>
      </c>
      <c r="G440" s="119"/>
      <c r="H440" s="297">
        <f t="shared" si="11"/>
        <v>0</v>
      </c>
    </row>
    <row r="441" spans="1:8" ht="20.25" customHeight="1">
      <c r="A441" s="345">
        <v>21</v>
      </c>
      <c r="B441" s="93"/>
      <c r="C441" s="97"/>
      <c r="D441" s="103"/>
      <c r="E441" s="119"/>
      <c r="F441" s="279">
        <f>E441/G419</f>
        <v>0</v>
      </c>
      <c r="G441" s="119"/>
      <c r="H441" s="297">
        <f t="shared" si="11"/>
        <v>0</v>
      </c>
    </row>
    <row r="442" spans="1:8" ht="20.25" customHeight="1">
      <c r="A442" s="345">
        <v>22</v>
      </c>
      <c r="B442" s="93"/>
      <c r="C442" s="94"/>
      <c r="D442" s="103"/>
      <c r="E442" s="119"/>
      <c r="F442" s="279">
        <f>E442/G419</f>
        <v>0</v>
      </c>
      <c r="G442" s="119"/>
      <c r="H442" s="297">
        <f t="shared" si="11"/>
        <v>0</v>
      </c>
    </row>
    <row r="443" spans="1:8" ht="20.25" customHeight="1">
      <c r="A443" s="345">
        <v>23</v>
      </c>
      <c r="B443" s="93"/>
      <c r="C443" s="94"/>
      <c r="D443" s="103"/>
      <c r="E443" s="119"/>
      <c r="F443" s="279">
        <f>E443/G419</f>
        <v>0</v>
      </c>
      <c r="G443" s="119"/>
      <c r="H443" s="297">
        <f t="shared" si="11"/>
        <v>0</v>
      </c>
    </row>
    <row r="444" spans="1:8" ht="20.25" customHeight="1">
      <c r="A444" s="345">
        <v>24</v>
      </c>
      <c r="B444" s="94"/>
      <c r="C444" s="94"/>
      <c r="D444" s="94"/>
      <c r="E444" s="119"/>
      <c r="F444" s="279">
        <f>E444/G419</f>
        <v>0</v>
      </c>
      <c r="G444" s="119"/>
      <c r="H444" s="297">
        <f t="shared" si="11"/>
        <v>0</v>
      </c>
    </row>
    <row r="445" spans="1:8" ht="20.25" customHeight="1">
      <c r="A445" s="345">
        <v>25</v>
      </c>
      <c r="B445" s="94"/>
      <c r="C445" s="381" t="s">
        <v>526</v>
      </c>
      <c r="D445" s="94">
        <f>SUM(D421:D444)</f>
        <v>6</v>
      </c>
      <c r="E445" s="119"/>
      <c r="F445" s="279">
        <f>E445/G419</f>
        <v>0</v>
      </c>
      <c r="G445" s="119"/>
      <c r="H445" s="297">
        <f t="shared" si="11"/>
        <v>0</v>
      </c>
    </row>
    <row r="446" spans="1:8" ht="20.25" customHeight="1" thickBot="1">
      <c r="A446" s="448" t="s">
        <v>4</v>
      </c>
      <c r="B446" s="449"/>
      <c r="C446" s="449"/>
      <c r="D446" s="450"/>
      <c r="E446" s="120">
        <f>SUM(E421:E445)</f>
        <v>4535</v>
      </c>
      <c r="F446" s="120">
        <f>SUM(F421:F445)</f>
        <v>1201.324454531471</v>
      </c>
      <c r="G446" s="120">
        <f>SUM(G421:G445)</f>
        <v>0</v>
      </c>
      <c r="H446" s="298">
        <f>SUM(H421:H445)</f>
        <v>1201.324454531471</v>
      </c>
    </row>
    <row r="448" spans="1:8">
      <c r="A448" s="451" t="s">
        <v>7</v>
      </c>
      <c r="B448" s="451"/>
      <c r="C448" s="452" t="s">
        <v>274</v>
      </c>
      <c r="D448" s="452"/>
      <c r="E448" s="452" t="s">
        <v>275</v>
      </c>
      <c r="F448" s="452"/>
      <c r="G448" s="452"/>
    </row>
    <row r="459" ht="1.5" customHeight="1"/>
    <row r="460" ht="1.5" customHeight="1"/>
    <row r="461" ht="1.5" customHeight="1"/>
    <row r="462" ht="1.5" customHeight="1"/>
    <row r="463" ht="1.5" customHeight="1"/>
    <row r="464" ht="1.5" customHeight="1"/>
    <row r="465" spans="1:8" ht="1.5" customHeight="1"/>
    <row r="466" spans="1:8" ht="1.5" customHeight="1"/>
    <row r="467" spans="1:8" ht="1.5" customHeight="1"/>
    <row r="468" spans="1:8" ht="1.5" customHeight="1"/>
    <row r="470" spans="1:8" ht="20.25" customHeight="1">
      <c r="A470" s="445" t="s">
        <v>262</v>
      </c>
      <c r="B470" s="453"/>
      <c r="C470" s="453"/>
      <c r="D470" s="453"/>
      <c r="E470" s="453"/>
    </row>
    <row r="471" spans="1:8" ht="20.25" customHeight="1">
      <c r="A471" s="445" t="s">
        <v>586</v>
      </c>
      <c r="B471" s="453"/>
      <c r="C471" s="453"/>
      <c r="D471" s="453"/>
      <c r="E471" s="453"/>
      <c r="F471" s="452" t="s">
        <v>539</v>
      </c>
      <c r="G471" s="452"/>
    </row>
    <row r="472" spans="1:8" ht="20.25" customHeight="1" thickBot="1">
      <c r="A472" s="446" t="s">
        <v>438</v>
      </c>
      <c r="B472" s="446"/>
      <c r="C472" s="446"/>
      <c r="D472" s="446"/>
      <c r="E472" s="446"/>
      <c r="F472" s="334" t="s">
        <v>91</v>
      </c>
      <c r="G472" s="402">
        <f>تسعير!E34</f>
        <v>3.7750001532838997</v>
      </c>
    </row>
    <row r="473" spans="1:8" ht="20.25" customHeight="1">
      <c r="A473" s="349" t="s">
        <v>0</v>
      </c>
      <c r="B473" s="20" t="s">
        <v>78</v>
      </c>
      <c r="C473" s="341" t="s">
        <v>77</v>
      </c>
      <c r="D473" s="20" t="s">
        <v>80</v>
      </c>
      <c r="E473" s="20" t="s">
        <v>13</v>
      </c>
      <c r="F473" s="335" t="s">
        <v>83</v>
      </c>
      <c r="G473" s="335" t="s">
        <v>14</v>
      </c>
      <c r="H473" s="336" t="s">
        <v>79</v>
      </c>
    </row>
    <row r="474" spans="1:8" ht="20.25" customHeight="1">
      <c r="A474" s="345">
        <v>1</v>
      </c>
      <c r="B474" s="93" t="s">
        <v>531</v>
      </c>
      <c r="C474" s="95" t="s">
        <v>532</v>
      </c>
      <c r="D474" s="103"/>
      <c r="E474" s="119">
        <v>570</v>
      </c>
      <c r="F474" s="279">
        <f>E474/G472</f>
        <v>150.99337135235689</v>
      </c>
      <c r="G474" s="119"/>
      <c r="H474" s="297">
        <f>G474+F474</f>
        <v>150.99337135235689</v>
      </c>
    </row>
    <row r="475" spans="1:8" ht="20.25" customHeight="1">
      <c r="A475" s="345">
        <v>2</v>
      </c>
      <c r="B475" s="93" t="s">
        <v>531</v>
      </c>
      <c r="C475" s="95" t="s">
        <v>533</v>
      </c>
      <c r="D475" s="103"/>
      <c r="E475" s="119">
        <v>5355</v>
      </c>
      <c r="F475" s="279">
        <f>E475/G472</f>
        <v>1418.5429887576686</v>
      </c>
      <c r="G475" s="119"/>
      <c r="H475" s="297">
        <f t="shared" ref="H475:H498" si="12">G475+F475</f>
        <v>1418.5429887576686</v>
      </c>
    </row>
    <row r="476" spans="1:8" ht="20.25" customHeight="1">
      <c r="A476" s="345">
        <v>3</v>
      </c>
      <c r="B476" s="93" t="s">
        <v>531</v>
      </c>
      <c r="C476" s="92" t="s">
        <v>534</v>
      </c>
      <c r="D476" s="103"/>
      <c r="E476" s="119">
        <v>858</v>
      </c>
      <c r="F476" s="279">
        <f>E476/G472</f>
        <v>227.28475898302139</v>
      </c>
      <c r="G476" s="119"/>
      <c r="H476" s="297">
        <f t="shared" si="12"/>
        <v>227.28475898302139</v>
      </c>
    </row>
    <row r="477" spans="1:8" ht="20.25" customHeight="1">
      <c r="A477" s="345">
        <v>4</v>
      </c>
      <c r="B477" s="93"/>
      <c r="C477" s="92" t="s">
        <v>604</v>
      </c>
      <c r="D477" s="103"/>
      <c r="E477" s="119"/>
      <c r="F477" s="279">
        <f>E477/G472</f>
        <v>0</v>
      </c>
      <c r="G477" s="119"/>
      <c r="H477" s="297">
        <f t="shared" si="12"/>
        <v>0</v>
      </c>
    </row>
    <row r="478" spans="1:8" ht="20.25" customHeight="1">
      <c r="A478" s="345">
        <v>5</v>
      </c>
      <c r="B478" s="93"/>
      <c r="C478" s="92"/>
      <c r="D478" s="103"/>
      <c r="E478" s="119"/>
      <c r="F478" s="279">
        <f>E478/G472</f>
        <v>0</v>
      </c>
      <c r="G478" s="119"/>
      <c r="H478" s="297">
        <f t="shared" si="12"/>
        <v>0</v>
      </c>
    </row>
    <row r="479" spans="1:8" ht="20.25" customHeight="1">
      <c r="A479" s="345">
        <v>6</v>
      </c>
      <c r="B479" s="93"/>
      <c r="C479" s="92"/>
      <c r="D479" s="103"/>
      <c r="E479" s="119"/>
      <c r="F479" s="279">
        <f>E479/G472</f>
        <v>0</v>
      </c>
      <c r="G479" s="119"/>
      <c r="H479" s="297">
        <f t="shared" si="12"/>
        <v>0</v>
      </c>
    </row>
    <row r="480" spans="1:8" ht="20.25" customHeight="1">
      <c r="A480" s="345">
        <v>7</v>
      </c>
      <c r="B480" s="93"/>
      <c r="C480" s="92"/>
      <c r="D480" s="103"/>
      <c r="E480" s="119"/>
      <c r="F480" s="279">
        <f>E480/G472</f>
        <v>0</v>
      </c>
      <c r="G480" s="119"/>
      <c r="H480" s="297">
        <f t="shared" si="12"/>
        <v>0</v>
      </c>
    </row>
    <row r="481" spans="1:8" ht="20.25" customHeight="1">
      <c r="A481" s="345">
        <v>8</v>
      </c>
      <c r="B481" s="93"/>
      <c r="C481" s="92"/>
      <c r="D481" s="103"/>
      <c r="E481" s="119"/>
      <c r="F481" s="279">
        <f>E481/G472</f>
        <v>0</v>
      </c>
      <c r="G481" s="119"/>
      <c r="H481" s="297">
        <f t="shared" si="12"/>
        <v>0</v>
      </c>
    </row>
    <row r="482" spans="1:8" ht="20.25" customHeight="1">
      <c r="A482" s="345">
        <v>9</v>
      </c>
      <c r="B482" s="93"/>
      <c r="C482" s="357"/>
      <c r="D482" s="103"/>
      <c r="E482" s="119"/>
      <c r="F482" s="279">
        <f>E482/G472</f>
        <v>0</v>
      </c>
      <c r="G482" s="119"/>
      <c r="H482" s="297">
        <f t="shared" si="12"/>
        <v>0</v>
      </c>
    </row>
    <row r="483" spans="1:8" ht="20.25" customHeight="1">
      <c r="A483" s="345">
        <v>10</v>
      </c>
      <c r="B483" s="93"/>
      <c r="C483" s="96"/>
      <c r="D483" s="103"/>
      <c r="E483" s="119"/>
      <c r="F483" s="279">
        <f>E483/G472</f>
        <v>0</v>
      </c>
      <c r="G483" s="119"/>
      <c r="H483" s="297">
        <f t="shared" si="12"/>
        <v>0</v>
      </c>
    </row>
    <row r="484" spans="1:8" ht="20.25" customHeight="1">
      <c r="A484" s="345">
        <v>11</v>
      </c>
      <c r="B484" s="93"/>
      <c r="C484" s="96"/>
      <c r="D484" s="103"/>
      <c r="E484" s="119"/>
      <c r="F484" s="279">
        <f>E484/G472</f>
        <v>0</v>
      </c>
      <c r="G484" s="119"/>
      <c r="H484" s="297">
        <f t="shared" si="12"/>
        <v>0</v>
      </c>
    </row>
    <row r="485" spans="1:8" ht="20.25" customHeight="1">
      <c r="A485" s="345">
        <v>12</v>
      </c>
      <c r="B485" s="93"/>
      <c r="C485" s="95"/>
      <c r="D485" s="103"/>
      <c r="E485" s="119"/>
      <c r="F485" s="279">
        <f>E485/G472</f>
        <v>0</v>
      </c>
      <c r="G485" s="119"/>
      <c r="H485" s="297">
        <f t="shared" si="12"/>
        <v>0</v>
      </c>
    </row>
    <row r="486" spans="1:8" ht="20.25" customHeight="1">
      <c r="A486" s="345">
        <v>13</v>
      </c>
      <c r="B486" s="93"/>
      <c r="C486" s="95"/>
      <c r="D486" s="103"/>
      <c r="E486" s="119"/>
      <c r="F486" s="279">
        <f>E486/G472</f>
        <v>0</v>
      </c>
      <c r="G486" s="119"/>
      <c r="H486" s="297">
        <f t="shared" si="12"/>
        <v>0</v>
      </c>
    </row>
    <row r="487" spans="1:8" ht="20.25" customHeight="1">
      <c r="A487" s="345">
        <v>14</v>
      </c>
      <c r="B487" s="93"/>
      <c r="C487" s="95"/>
      <c r="D487" s="103"/>
      <c r="E487" s="119"/>
      <c r="F487" s="279">
        <f>E487/G472</f>
        <v>0</v>
      </c>
      <c r="G487" s="119"/>
      <c r="H487" s="297">
        <f t="shared" si="12"/>
        <v>0</v>
      </c>
    </row>
    <row r="488" spans="1:8" ht="20.25" customHeight="1">
      <c r="A488" s="345">
        <v>15</v>
      </c>
      <c r="B488" s="93"/>
      <c r="C488" s="98"/>
      <c r="D488" s="103"/>
      <c r="E488" s="119"/>
      <c r="F488" s="279">
        <f>E488/G472</f>
        <v>0</v>
      </c>
      <c r="G488" s="119"/>
      <c r="H488" s="297">
        <f t="shared" si="12"/>
        <v>0</v>
      </c>
    </row>
    <row r="489" spans="1:8" ht="20.25" customHeight="1">
      <c r="A489" s="345">
        <v>16</v>
      </c>
      <c r="B489" s="93"/>
      <c r="C489" s="98"/>
      <c r="D489" s="103"/>
      <c r="E489" s="119"/>
      <c r="F489" s="279">
        <f>E489/G472</f>
        <v>0</v>
      </c>
      <c r="G489" s="119"/>
      <c r="H489" s="297">
        <f t="shared" si="12"/>
        <v>0</v>
      </c>
    </row>
    <row r="490" spans="1:8" ht="20.25" customHeight="1">
      <c r="A490" s="345">
        <v>17</v>
      </c>
      <c r="B490" s="93"/>
      <c r="C490" s="98"/>
      <c r="D490" s="103"/>
      <c r="E490" s="119"/>
      <c r="F490" s="279">
        <f>E490/G472</f>
        <v>0</v>
      </c>
      <c r="G490" s="119"/>
      <c r="H490" s="297">
        <f t="shared" si="12"/>
        <v>0</v>
      </c>
    </row>
    <row r="491" spans="1:8" ht="20.25" customHeight="1">
      <c r="A491" s="345">
        <v>18</v>
      </c>
      <c r="B491" s="93"/>
      <c r="C491" s="98"/>
      <c r="D491" s="103"/>
      <c r="E491" s="119"/>
      <c r="F491" s="279">
        <f>E491/G472</f>
        <v>0</v>
      </c>
      <c r="G491" s="119"/>
      <c r="H491" s="297">
        <f t="shared" si="12"/>
        <v>0</v>
      </c>
    </row>
    <row r="492" spans="1:8" ht="20.25" customHeight="1">
      <c r="A492" s="345">
        <v>19</v>
      </c>
      <c r="B492" s="93"/>
      <c r="C492" s="98"/>
      <c r="D492" s="103"/>
      <c r="E492" s="119"/>
      <c r="F492" s="279">
        <f>E492/G472</f>
        <v>0</v>
      </c>
      <c r="G492" s="119"/>
      <c r="H492" s="297">
        <f t="shared" si="12"/>
        <v>0</v>
      </c>
    </row>
    <row r="493" spans="1:8" ht="20.25" customHeight="1">
      <c r="A493" s="345">
        <v>20</v>
      </c>
      <c r="B493" s="93"/>
      <c r="C493" s="99"/>
      <c r="D493" s="103"/>
      <c r="E493" s="119"/>
      <c r="F493" s="279">
        <f>E493/G472</f>
        <v>0</v>
      </c>
      <c r="G493" s="119"/>
      <c r="H493" s="297">
        <f t="shared" si="12"/>
        <v>0</v>
      </c>
    </row>
    <row r="494" spans="1:8" ht="20.25" customHeight="1">
      <c r="A494" s="345">
        <v>21</v>
      </c>
      <c r="B494" s="93"/>
      <c r="C494" s="97"/>
      <c r="D494" s="103"/>
      <c r="E494" s="119"/>
      <c r="F494" s="279">
        <f>E494/G472</f>
        <v>0</v>
      </c>
      <c r="G494" s="119"/>
      <c r="H494" s="297">
        <f t="shared" si="12"/>
        <v>0</v>
      </c>
    </row>
    <row r="495" spans="1:8" ht="20.25" customHeight="1">
      <c r="A495" s="345">
        <v>22</v>
      </c>
      <c r="B495" s="93"/>
      <c r="C495" s="94"/>
      <c r="D495" s="103"/>
      <c r="E495" s="119"/>
      <c r="F495" s="279">
        <f>E495/G472</f>
        <v>0</v>
      </c>
      <c r="G495" s="119"/>
      <c r="H495" s="297">
        <f t="shared" si="12"/>
        <v>0</v>
      </c>
    </row>
    <row r="496" spans="1:8" ht="20.25" customHeight="1">
      <c r="A496" s="345">
        <v>23</v>
      </c>
      <c r="B496" s="93"/>
      <c r="C496" s="94"/>
      <c r="D496" s="103"/>
      <c r="E496" s="119"/>
      <c r="F496" s="279">
        <f>E496/G472</f>
        <v>0</v>
      </c>
      <c r="G496" s="119"/>
      <c r="H496" s="297">
        <f t="shared" si="12"/>
        <v>0</v>
      </c>
    </row>
    <row r="497" spans="1:8" ht="20.25" customHeight="1">
      <c r="A497" s="345">
        <v>24</v>
      </c>
      <c r="B497" s="94"/>
      <c r="C497" s="94"/>
      <c r="D497" s="94"/>
      <c r="E497" s="119"/>
      <c r="F497" s="279">
        <f>E497/G472</f>
        <v>0</v>
      </c>
      <c r="G497" s="119"/>
      <c r="H497" s="297">
        <f t="shared" si="12"/>
        <v>0</v>
      </c>
    </row>
    <row r="498" spans="1:8" ht="20.25" customHeight="1">
      <c r="A498" s="345">
        <v>25</v>
      </c>
      <c r="B498" s="94"/>
      <c r="C498" s="94"/>
      <c r="D498" s="94">
        <f>SUM(D474:D497)</f>
        <v>0</v>
      </c>
      <c r="E498" s="119"/>
      <c r="F498" s="279">
        <f>E498/G472</f>
        <v>0</v>
      </c>
      <c r="G498" s="119"/>
      <c r="H498" s="297">
        <f t="shared" si="12"/>
        <v>0</v>
      </c>
    </row>
    <row r="499" spans="1:8" ht="20.25" customHeight="1" thickBot="1">
      <c r="A499" s="448" t="s">
        <v>4</v>
      </c>
      <c r="B499" s="449"/>
      <c r="C499" s="449"/>
      <c r="D499" s="450"/>
      <c r="E499" s="120">
        <f>SUM(E474:E498)</f>
        <v>6783</v>
      </c>
      <c r="F499" s="120">
        <f>SUM(F474:F498)</f>
        <v>1796.8211190930469</v>
      </c>
      <c r="G499" s="120">
        <f>SUM(G474:G498)</f>
        <v>0</v>
      </c>
      <c r="H499" s="298">
        <f>SUM(H474:H498)</f>
        <v>1796.8211190930469</v>
      </c>
    </row>
    <row r="501" spans="1:8">
      <c r="A501" s="451" t="s">
        <v>7</v>
      </c>
      <c r="B501" s="451"/>
      <c r="C501" s="452" t="s">
        <v>274</v>
      </c>
      <c r="D501" s="452"/>
      <c r="E501" s="452" t="s">
        <v>275</v>
      </c>
      <c r="F501" s="452"/>
      <c r="G501" s="452"/>
    </row>
    <row r="510" spans="1:8" ht="2.25" customHeight="1"/>
    <row r="511" spans="1:8" ht="2.25" customHeight="1"/>
    <row r="512" spans="1:8" ht="2.25" customHeight="1"/>
    <row r="513" spans="1:8" ht="2.25" customHeight="1"/>
    <row r="514" spans="1:8" ht="2.25" customHeight="1"/>
    <row r="515" spans="1:8" ht="2.25" customHeight="1"/>
    <row r="516" spans="1:8" ht="2.25" customHeight="1"/>
    <row r="517" spans="1:8" ht="2.25" customHeight="1"/>
    <row r="518" spans="1:8" ht="2.25" customHeight="1"/>
    <row r="519" spans="1:8" ht="2.25" customHeight="1"/>
    <row r="520" spans="1:8" ht="2.25" customHeight="1"/>
    <row r="522" spans="1:8">
      <c r="A522" s="445" t="s">
        <v>262</v>
      </c>
      <c r="B522" s="453"/>
      <c r="C522" s="453"/>
      <c r="D522" s="453"/>
      <c r="E522" s="453"/>
    </row>
    <row r="523" spans="1:8">
      <c r="A523" s="445" t="s">
        <v>586</v>
      </c>
      <c r="B523" s="453"/>
      <c r="C523" s="453"/>
      <c r="D523" s="453"/>
      <c r="E523" s="453"/>
      <c r="F523" s="452" t="s">
        <v>408</v>
      </c>
      <c r="G523" s="452"/>
    </row>
    <row r="524" spans="1:8" ht="16.5" thickBot="1">
      <c r="A524" s="446" t="s">
        <v>439</v>
      </c>
      <c r="B524" s="446"/>
      <c r="C524" s="446"/>
      <c r="D524" s="446"/>
      <c r="E524" s="446"/>
      <c r="F524" s="334" t="s">
        <v>91</v>
      </c>
      <c r="G524" s="402">
        <f>تسعير!E34</f>
        <v>3.7750001532838997</v>
      </c>
    </row>
    <row r="525" spans="1:8" ht="20.25" customHeight="1">
      <c r="A525" s="349" t="s">
        <v>0</v>
      </c>
      <c r="B525" s="20" t="s">
        <v>78</v>
      </c>
      <c r="C525" s="341" t="s">
        <v>77</v>
      </c>
      <c r="D525" s="20" t="s">
        <v>80</v>
      </c>
      <c r="E525" s="20" t="s">
        <v>13</v>
      </c>
      <c r="F525" s="335" t="s">
        <v>83</v>
      </c>
      <c r="G525" s="335" t="s">
        <v>14</v>
      </c>
      <c r="H525" s="336" t="s">
        <v>79</v>
      </c>
    </row>
    <row r="526" spans="1:8" ht="20.25" customHeight="1">
      <c r="A526" s="345">
        <v>1</v>
      </c>
      <c r="B526" s="93"/>
      <c r="C526" s="95"/>
      <c r="D526" s="103"/>
      <c r="E526" s="119"/>
      <c r="F526" s="279">
        <f>E526/G524</f>
        <v>0</v>
      </c>
      <c r="G526" s="119"/>
      <c r="H526" s="297">
        <f>G526+F526</f>
        <v>0</v>
      </c>
    </row>
    <row r="527" spans="1:8" ht="20.25" customHeight="1">
      <c r="A527" s="345">
        <v>2</v>
      </c>
      <c r="B527" s="93"/>
      <c r="C527" s="95"/>
      <c r="D527" s="103"/>
      <c r="E527" s="119"/>
      <c r="F527" s="279">
        <f>E527/G524</f>
        <v>0</v>
      </c>
      <c r="G527" s="119"/>
      <c r="H527" s="297">
        <f t="shared" ref="H527:H550" si="13">G527+F527</f>
        <v>0</v>
      </c>
    </row>
    <row r="528" spans="1:8" ht="20.25" customHeight="1">
      <c r="A528" s="345">
        <v>3</v>
      </c>
      <c r="B528" s="93"/>
      <c r="C528" s="92"/>
      <c r="D528" s="103"/>
      <c r="E528" s="119"/>
      <c r="F528" s="279">
        <f>E528/G524</f>
        <v>0</v>
      </c>
      <c r="G528" s="119"/>
      <c r="H528" s="297">
        <f t="shared" si="13"/>
        <v>0</v>
      </c>
    </row>
    <row r="529" spans="1:8" ht="20.25" customHeight="1">
      <c r="A529" s="345">
        <v>4</v>
      </c>
      <c r="B529" s="93"/>
      <c r="C529" s="92"/>
      <c r="D529" s="103"/>
      <c r="E529" s="119"/>
      <c r="F529" s="279">
        <f>E529/G524</f>
        <v>0</v>
      </c>
      <c r="G529" s="119"/>
      <c r="H529" s="297">
        <f t="shared" si="13"/>
        <v>0</v>
      </c>
    </row>
    <row r="530" spans="1:8" ht="20.25" customHeight="1">
      <c r="A530" s="345">
        <v>5</v>
      </c>
      <c r="B530" s="93"/>
      <c r="C530" s="92"/>
      <c r="D530" s="103"/>
      <c r="E530" s="119"/>
      <c r="F530" s="279">
        <f>E530/G524</f>
        <v>0</v>
      </c>
      <c r="G530" s="119"/>
      <c r="H530" s="297">
        <f t="shared" si="13"/>
        <v>0</v>
      </c>
    </row>
    <row r="531" spans="1:8" ht="20.25" customHeight="1">
      <c r="A531" s="345">
        <v>6</v>
      </c>
      <c r="B531" s="93"/>
      <c r="C531" s="92"/>
      <c r="D531" s="103"/>
      <c r="E531" s="119"/>
      <c r="F531" s="279">
        <f>E531/G524</f>
        <v>0</v>
      </c>
      <c r="G531" s="119"/>
      <c r="H531" s="297">
        <f t="shared" si="13"/>
        <v>0</v>
      </c>
    </row>
    <row r="532" spans="1:8" ht="20.25" customHeight="1">
      <c r="A532" s="345">
        <v>7</v>
      </c>
      <c r="B532" s="93"/>
      <c r="C532" s="92"/>
      <c r="D532" s="103"/>
      <c r="E532" s="119"/>
      <c r="F532" s="279">
        <f>E532/G524</f>
        <v>0</v>
      </c>
      <c r="G532" s="119"/>
      <c r="H532" s="297">
        <f t="shared" si="13"/>
        <v>0</v>
      </c>
    </row>
    <row r="533" spans="1:8" ht="20.25" customHeight="1">
      <c r="A533" s="345">
        <v>8</v>
      </c>
      <c r="B533" s="93"/>
      <c r="C533" s="92"/>
      <c r="D533" s="103"/>
      <c r="E533" s="119"/>
      <c r="F533" s="279">
        <f>E533/G524</f>
        <v>0</v>
      </c>
      <c r="G533" s="119"/>
      <c r="H533" s="297">
        <f t="shared" si="13"/>
        <v>0</v>
      </c>
    </row>
    <row r="534" spans="1:8" ht="20.25" customHeight="1">
      <c r="A534" s="345">
        <v>9</v>
      </c>
      <c r="B534" s="93"/>
      <c r="C534" s="357"/>
      <c r="D534" s="103"/>
      <c r="E534" s="119"/>
      <c r="F534" s="279">
        <f>E534/G524</f>
        <v>0</v>
      </c>
      <c r="G534" s="119"/>
      <c r="H534" s="297">
        <f t="shared" si="13"/>
        <v>0</v>
      </c>
    </row>
    <row r="535" spans="1:8" ht="20.25" customHeight="1">
      <c r="A535" s="345">
        <v>10</v>
      </c>
      <c r="B535" s="93"/>
      <c r="C535" s="96"/>
      <c r="D535" s="103"/>
      <c r="E535" s="119"/>
      <c r="F535" s="279">
        <f>E535/G524</f>
        <v>0</v>
      </c>
      <c r="G535" s="119"/>
      <c r="H535" s="297">
        <f t="shared" si="13"/>
        <v>0</v>
      </c>
    </row>
    <row r="536" spans="1:8" ht="20.25" customHeight="1">
      <c r="A536" s="345">
        <v>11</v>
      </c>
      <c r="B536" s="93"/>
      <c r="C536" s="96"/>
      <c r="D536" s="103"/>
      <c r="E536" s="119"/>
      <c r="F536" s="279">
        <f>E536/G524</f>
        <v>0</v>
      </c>
      <c r="G536" s="119"/>
      <c r="H536" s="297">
        <f t="shared" si="13"/>
        <v>0</v>
      </c>
    </row>
    <row r="537" spans="1:8" ht="20.25" customHeight="1">
      <c r="A537" s="345">
        <v>12</v>
      </c>
      <c r="B537" s="93"/>
      <c r="C537" s="95"/>
      <c r="D537" s="103"/>
      <c r="E537" s="119"/>
      <c r="F537" s="279">
        <f>E537/G524</f>
        <v>0</v>
      </c>
      <c r="G537" s="119"/>
      <c r="H537" s="297">
        <f t="shared" si="13"/>
        <v>0</v>
      </c>
    </row>
    <row r="538" spans="1:8" ht="20.25" customHeight="1">
      <c r="A538" s="345">
        <v>13</v>
      </c>
      <c r="B538" s="93"/>
      <c r="C538" s="95"/>
      <c r="D538" s="103"/>
      <c r="E538" s="119"/>
      <c r="F538" s="279">
        <f>E538/G524</f>
        <v>0</v>
      </c>
      <c r="G538" s="119"/>
      <c r="H538" s="297">
        <f t="shared" si="13"/>
        <v>0</v>
      </c>
    </row>
    <row r="539" spans="1:8" ht="20.25" customHeight="1">
      <c r="A539" s="345">
        <v>14</v>
      </c>
      <c r="B539" s="93"/>
      <c r="C539" s="95"/>
      <c r="D539" s="103"/>
      <c r="E539" s="119"/>
      <c r="F539" s="279">
        <f>E539/G524</f>
        <v>0</v>
      </c>
      <c r="G539" s="119"/>
      <c r="H539" s="297">
        <f t="shared" si="13"/>
        <v>0</v>
      </c>
    </row>
    <row r="540" spans="1:8" ht="20.25" customHeight="1">
      <c r="A540" s="345">
        <v>15</v>
      </c>
      <c r="B540" s="93"/>
      <c r="C540" s="98"/>
      <c r="D540" s="103"/>
      <c r="E540" s="119"/>
      <c r="F540" s="279">
        <f>E540/G524</f>
        <v>0</v>
      </c>
      <c r="G540" s="119"/>
      <c r="H540" s="297">
        <f t="shared" si="13"/>
        <v>0</v>
      </c>
    </row>
    <row r="541" spans="1:8" ht="20.25" customHeight="1">
      <c r="A541" s="345">
        <v>16</v>
      </c>
      <c r="B541" s="93"/>
      <c r="C541" s="98"/>
      <c r="D541" s="103"/>
      <c r="E541" s="119"/>
      <c r="F541" s="279">
        <f>E541/G524</f>
        <v>0</v>
      </c>
      <c r="G541" s="119"/>
      <c r="H541" s="297">
        <f t="shared" si="13"/>
        <v>0</v>
      </c>
    </row>
    <row r="542" spans="1:8" ht="20.25" customHeight="1">
      <c r="A542" s="345">
        <v>17</v>
      </c>
      <c r="B542" s="93"/>
      <c r="C542" s="98"/>
      <c r="D542" s="103"/>
      <c r="E542" s="119"/>
      <c r="F542" s="279">
        <f>E542/G524</f>
        <v>0</v>
      </c>
      <c r="G542" s="119"/>
      <c r="H542" s="297">
        <f t="shared" si="13"/>
        <v>0</v>
      </c>
    </row>
    <row r="543" spans="1:8" ht="20.25" customHeight="1">
      <c r="A543" s="345">
        <v>18</v>
      </c>
      <c r="B543" s="93"/>
      <c r="C543" s="98"/>
      <c r="D543" s="103"/>
      <c r="E543" s="119"/>
      <c r="F543" s="279">
        <f>E543/G524</f>
        <v>0</v>
      </c>
      <c r="G543" s="119"/>
      <c r="H543" s="297">
        <f t="shared" si="13"/>
        <v>0</v>
      </c>
    </row>
    <row r="544" spans="1:8" ht="20.25" customHeight="1">
      <c r="A544" s="345">
        <v>19</v>
      </c>
      <c r="B544" s="93"/>
      <c r="C544" s="98"/>
      <c r="D544" s="103"/>
      <c r="E544" s="119"/>
      <c r="F544" s="279">
        <f>E544/G524</f>
        <v>0</v>
      </c>
      <c r="G544" s="119"/>
      <c r="H544" s="297">
        <f t="shared" si="13"/>
        <v>0</v>
      </c>
    </row>
    <row r="545" spans="1:8" ht="20.25" customHeight="1">
      <c r="A545" s="345">
        <v>20</v>
      </c>
      <c r="B545" s="93"/>
      <c r="C545" s="99"/>
      <c r="D545" s="103"/>
      <c r="E545" s="119"/>
      <c r="F545" s="279">
        <f>E545/G524</f>
        <v>0</v>
      </c>
      <c r="G545" s="119"/>
      <c r="H545" s="297">
        <f t="shared" si="13"/>
        <v>0</v>
      </c>
    </row>
    <row r="546" spans="1:8" ht="20.25" customHeight="1">
      <c r="A546" s="345">
        <v>21</v>
      </c>
      <c r="B546" s="93"/>
      <c r="C546" s="97"/>
      <c r="D546" s="103"/>
      <c r="E546" s="119"/>
      <c r="F546" s="279">
        <f>E546/G524</f>
        <v>0</v>
      </c>
      <c r="G546" s="119"/>
      <c r="H546" s="297">
        <f t="shared" si="13"/>
        <v>0</v>
      </c>
    </row>
    <row r="547" spans="1:8" ht="20.25" customHeight="1">
      <c r="A547" s="345">
        <v>22</v>
      </c>
      <c r="B547" s="93"/>
      <c r="C547" s="94"/>
      <c r="D547" s="103"/>
      <c r="E547" s="119"/>
      <c r="F547" s="279">
        <f>E547/G524</f>
        <v>0</v>
      </c>
      <c r="G547" s="119"/>
      <c r="H547" s="297">
        <f t="shared" si="13"/>
        <v>0</v>
      </c>
    </row>
    <row r="548" spans="1:8" ht="20.25" customHeight="1">
      <c r="A548" s="345">
        <v>23</v>
      </c>
      <c r="B548" s="93"/>
      <c r="C548" s="94"/>
      <c r="D548" s="103"/>
      <c r="E548" s="119"/>
      <c r="F548" s="279">
        <f>E548/G524</f>
        <v>0</v>
      </c>
      <c r="G548" s="119"/>
      <c r="H548" s="297">
        <f t="shared" si="13"/>
        <v>0</v>
      </c>
    </row>
    <row r="549" spans="1:8" ht="20.25" customHeight="1">
      <c r="A549" s="345">
        <v>24</v>
      </c>
      <c r="B549" s="94"/>
      <c r="C549" s="94"/>
      <c r="D549" s="94"/>
      <c r="E549" s="119"/>
      <c r="F549" s="279">
        <f>E549/G524</f>
        <v>0</v>
      </c>
      <c r="G549" s="119"/>
      <c r="H549" s="297">
        <f t="shared" si="13"/>
        <v>0</v>
      </c>
    </row>
    <row r="550" spans="1:8" ht="20.25" customHeight="1">
      <c r="A550" s="345">
        <v>25</v>
      </c>
      <c r="B550" s="94"/>
      <c r="C550" s="94"/>
      <c r="D550" s="94">
        <f>SUM(D526:D549)</f>
        <v>0</v>
      </c>
      <c r="E550" s="119"/>
      <c r="F550" s="279">
        <f>E550/G524</f>
        <v>0</v>
      </c>
      <c r="G550" s="119"/>
      <c r="H550" s="297">
        <f t="shared" si="13"/>
        <v>0</v>
      </c>
    </row>
    <row r="551" spans="1:8" ht="20.25" customHeight="1" thickBot="1">
      <c r="A551" s="448" t="s">
        <v>4</v>
      </c>
      <c r="B551" s="449"/>
      <c r="C551" s="449"/>
      <c r="D551" s="450"/>
      <c r="E551" s="120">
        <f>SUM(E526:E550)</f>
        <v>0</v>
      </c>
      <c r="F551" s="120">
        <f>SUM(F526:F550)</f>
        <v>0</v>
      </c>
      <c r="G551" s="120">
        <f>SUM(G526:G550)</f>
        <v>0</v>
      </c>
      <c r="H551" s="298">
        <f>SUM(H526:H550)</f>
        <v>0</v>
      </c>
    </row>
    <row r="553" spans="1:8">
      <c r="A553" s="451" t="s">
        <v>7</v>
      </c>
      <c r="B553" s="451"/>
      <c r="C553" s="452" t="s">
        <v>274</v>
      </c>
      <c r="D553" s="452"/>
      <c r="E553" s="452" t="s">
        <v>275</v>
      </c>
      <c r="F553" s="452"/>
      <c r="G553" s="452"/>
    </row>
    <row r="564" spans="1:7" ht="2.25" customHeight="1"/>
    <row r="565" spans="1:7" ht="2.25" customHeight="1"/>
    <row r="566" spans="1:7" ht="2.25" customHeight="1"/>
    <row r="567" spans="1:7" ht="2.25" customHeight="1"/>
    <row r="568" spans="1:7" ht="2.25" customHeight="1"/>
    <row r="569" spans="1:7" ht="2.25" customHeight="1"/>
    <row r="570" spans="1:7" ht="2.25" customHeight="1"/>
    <row r="571" spans="1:7" ht="2.25" customHeight="1"/>
    <row r="572" spans="1:7" ht="2.25" customHeight="1"/>
    <row r="574" spans="1:7">
      <c r="A574" s="445" t="s">
        <v>262</v>
      </c>
      <c r="B574" s="453"/>
      <c r="C574" s="453"/>
      <c r="D574" s="453"/>
      <c r="E574" s="453"/>
    </row>
    <row r="575" spans="1:7">
      <c r="A575" s="445" t="s">
        <v>586</v>
      </c>
      <c r="B575" s="453"/>
      <c r="C575" s="453"/>
      <c r="D575" s="453"/>
      <c r="E575" s="453"/>
      <c r="F575" s="452" t="s">
        <v>408</v>
      </c>
      <c r="G575" s="452"/>
    </row>
    <row r="576" spans="1:7" ht="16.5" thickBot="1">
      <c r="A576" s="446" t="s">
        <v>440</v>
      </c>
      <c r="B576" s="446"/>
      <c r="C576" s="446"/>
      <c r="D576" s="446"/>
      <c r="E576" s="446"/>
      <c r="F576" s="334" t="s">
        <v>91</v>
      </c>
      <c r="G576" s="402">
        <f>تسعير!E34</f>
        <v>3.7750001532838997</v>
      </c>
    </row>
    <row r="577" spans="1:8" ht="20.25" customHeight="1">
      <c r="A577" s="349" t="s">
        <v>0</v>
      </c>
      <c r="B577" s="20" t="s">
        <v>78</v>
      </c>
      <c r="C577" s="341" t="s">
        <v>77</v>
      </c>
      <c r="D577" s="20" t="s">
        <v>80</v>
      </c>
      <c r="E577" s="20" t="s">
        <v>13</v>
      </c>
      <c r="F577" s="335" t="s">
        <v>83</v>
      </c>
      <c r="G577" s="335" t="s">
        <v>14</v>
      </c>
      <c r="H577" s="336" t="s">
        <v>79</v>
      </c>
    </row>
    <row r="578" spans="1:8" ht="20.25" customHeight="1">
      <c r="A578" s="345">
        <v>1</v>
      </c>
      <c r="B578" s="93"/>
      <c r="C578" s="95"/>
      <c r="D578" s="103"/>
      <c r="E578" s="119"/>
      <c r="F578" s="279">
        <f>E578/G576</f>
        <v>0</v>
      </c>
      <c r="G578" s="119"/>
      <c r="H578" s="297">
        <f>G578+F578</f>
        <v>0</v>
      </c>
    </row>
    <row r="579" spans="1:8" ht="20.25" customHeight="1">
      <c r="A579" s="345">
        <v>2</v>
      </c>
      <c r="B579" s="93"/>
      <c r="C579" s="95"/>
      <c r="D579" s="103"/>
      <c r="E579" s="119"/>
      <c r="F579" s="279">
        <f>E579/G576</f>
        <v>0</v>
      </c>
      <c r="G579" s="119"/>
      <c r="H579" s="297">
        <f t="shared" ref="H579:H602" si="14">G579+F579</f>
        <v>0</v>
      </c>
    </row>
    <row r="580" spans="1:8" ht="20.25" customHeight="1">
      <c r="A580" s="345">
        <v>3</v>
      </c>
      <c r="B580" s="93"/>
      <c r="C580" s="92"/>
      <c r="D580" s="103"/>
      <c r="E580" s="119"/>
      <c r="F580" s="279">
        <f>E580/G576</f>
        <v>0</v>
      </c>
      <c r="G580" s="119"/>
      <c r="H580" s="297">
        <f t="shared" si="14"/>
        <v>0</v>
      </c>
    </row>
    <row r="581" spans="1:8" ht="20.25" customHeight="1">
      <c r="A581" s="345">
        <v>4</v>
      </c>
      <c r="B581" s="93"/>
      <c r="C581" s="92"/>
      <c r="D581" s="103"/>
      <c r="E581" s="119"/>
      <c r="F581" s="279">
        <f>E581/G576</f>
        <v>0</v>
      </c>
      <c r="G581" s="119"/>
      <c r="H581" s="297">
        <f t="shared" si="14"/>
        <v>0</v>
      </c>
    </row>
    <row r="582" spans="1:8" ht="20.25" customHeight="1">
      <c r="A582" s="345">
        <v>5</v>
      </c>
      <c r="B582" s="93"/>
      <c r="C582" s="92"/>
      <c r="D582" s="103"/>
      <c r="E582" s="119"/>
      <c r="F582" s="279">
        <f>E582/G576</f>
        <v>0</v>
      </c>
      <c r="G582" s="119"/>
      <c r="H582" s="297">
        <f t="shared" si="14"/>
        <v>0</v>
      </c>
    </row>
    <row r="583" spans="1:8" ht="20.25" customHeight="1">
      <c r="A583" s="345">
        <v>6</v>
      </c>
      <c r="B583" s="93"/>
      <c r="C583" s="92"/>
      <c r="D583" s="103"/>
      <c r="E583" s="119"/>
      <c r="F583" s="279">
        <f>E583/G576</f>
        <v>0</v>
      </c>
      <c r="G583" s="119"/>
      <c r="H583" s="297">
        <f t="shared" si="14"/>
        <v>0</v>
      </c>
    </row>
    <row r="584" spans="1:8" ht="20.25" customHeight="1">
      <c r="A584" s="345">
        <v>7</v>
      </c>
      <c r="B584" s="93"/>
      <c r="C584" s="92"/>
      <c r="D584" s="103"/>
      <c r="E584" s="119"/>
      <c r="F584" s="279">
        <f>E584/G576</f>
        <v>0</v>
      </c>
      <c r="G584" s="119"/>
      <c r="H584" s="297">
        <f t="shared" si="14"/>
        <v>0</v>
      </c>
    </row>
    <row r="585" spans="1:8" ht="20.25" customHeight="1">
      <c r="A585" s="345">
        <v>8</v>
      </c>
      <c r="B585" s="93"/>
      <c r="C585" s="92"/>
      <c r="D585" s="103"/>
      <c r="E585" s="119"/>
      <c r="F585" s="279">
        <f>E585/G576</f>
        <v>0</v>
      </c>
      <c r="G585" s="119"/>
      <c r="H585" s="297">
        <f t="shared" si="14"/>
        <v>0</v>
      </c>
    </row>
    <row r="586" spans="1:8" ht="20.25" customHeight="1">
      <c r="A586" s="345">
        <v>9</v>
      </c>
      <c r="B586" s="93"/>
      <c r="C586" s="357"/>
      <c r="D586" s="103"/>
      <c r="E586" s="119"/>
      <c r="F586" s="279">
        <f>E586/G576</f>
        <v>0</v>
      </c>
      <c r="G586" s="119"/>
      <c r="H586" s="297">
        <f t="shared" si="14"/>
        <v>0</v>
      </c>
    </row>
    <row r="587" spans="1:8" ht="20.25" customHeight="1">
      <c r="A587" s="345">
        <v>10</v>
      </c>
      <c r="B587" s="93"/>
      <c r="C587" s="96"/>
      <c r="D587" s="103"/>
      <c r="E587" s="119"/>
      <c r="F587" s="279">
        <f>E587/G576</f>
        <v>0</v>
      </c>
      <c r="G587" s="119"/>
      <c r="H587" s="297">
        <f t="shared" si="14"/>
        <v>0</v>
      </c>
    </row>
    <row r="588" spans="1:8" ht="20.25" customHeight="1">
      <c r="A588" s="345">
        <v>11</v>
      </c>
      <c r="B588" s="93"/>
      <c r="C588" s="96"/>
      <c r="D588" s="103"/>
      <c r="E588" s="119"/>
      <c r="F588" s="279">
        <f>E588/G576</f>
        <v>0</v>
      </c>
      <c r="G588" s="119"/>
      <c r="H588" s="297">
        <f t="shared" si="14"/>
        <v>0</v>
      </c>
    </row>
    <row r="589" spans="1:8" ht="20.25" customHeight="1">
      <c r="A589" s="345">
        <v>12</v>
      </c>
      <c r="B589" s="93"/>
      <c r="C589" s="95"/>
      <c r="D589" s="103"/>
      <c r="E589" s="119"/>
      <c r="F589" s="279">
        <f>E589/G576</f>
        <v>0</v>
      </c>
      <c r="G589" s="119"/>
      <c r="H589" s="297">
        <f t="shared" si="14"/>
        <v>0</v>
      </c>
    </row>
    <row r="590" spans="1:8" ht="20.25" customHeight="1">
      <c r="A590" s="345">
        <v>13</v>
      </c>
      <c r="B590" s="93"/>
      <c r="C590" s="95"/>
      <c r="D590" s="103"/>
      <c r="E590" s="119"/>
      <c r="F590" s="279">
        <f>E590/G576</f>
        <v>0</v>
      </c>
      <c r="G590" s="119"/>
      <c r="H590" s="297">
        <f t="shared" si="14"/>
        <v>0</v>
      </c>
    </row>
    <row r="591" spans="1:8" ht="20.25" customHeight="1">
      <c r="A591" s="345">
        <v>14</v>
      </c>
      <c r="B591" s="93"/>
      <c r="C591" s="95"/>
      <c r="D591" s="103"/>
      <c r="E591" s="119"/>
      <c r="F591" s="279">
        <f>E591/G576</f>
        <v>0</v>
      </c>
      <c r="G591" s="119"/>
      <c r="H591" s="297">
        <f t="shared" si="14"/>
        <v>0</v>
      </c>
    </row>
    <row r="592" spans="1:8" ht="20.25" customHeight="1">
      <c r="A592" s="345">
        <v>15</v>
      </c>
      <c r="B592" s="93"/>
      <c r="C592" s="98"/>
      <c r="D592" s="103"/>
      <c r="E592" s="119"/>
      <c r="F592" s="279">
        <f>E592/G576</f>
        <v>0</v>
      </c>
      <c r="G592" s="119"/>
      <c r="H592" s="297">
        <f t="shared" si="14"/>
        <v>0</v>
      </c>
    </row>
    <row r="593" spans="1:8" ht="20.25" customHeight="1">
      <c r="A593" s="345">
        <v>16</v>
      </c>
      <c r="B593" s="93"/>
      <c r="C593" s="98"/>
      <c r="D593" s="103"/>
      <c r="E593" s="119"/>
      <c r="F593" s="279">
        <f>E593/G576</f>
        <v>0</v>
      </c>
      <c r="G593" s="119"/>
      <c r="H593" s="297">
        <f t="shared" si="14"/>
        <v>0</v>
      </c>
    </row>
    <row r="594" spans="1:8" ht="20.25" customHeight="1">
      <c r="A594" s="345">
        <v>17</v>
      </c>
      <c r="B594" s="93"/>
      <c r="C594" s="98"/>
      <c r="D594" s="103"/>
      <c r="E594" s="119"/>
      <c r="F594" s="279">
        <f>E594/G576</f>
        <v>0</v>
      </c>
      <c r="G594" s="119"/>
      <c r="H594" s="297">
        <f t="shared" si="14"/>
        <v>0</v>
      </c>
    </row>
    <row r="595" spans="1:8" ht="20.25" customHeight="1">
      <c r="A595" s="345">
        <v>18</v>
      </c>
      <c r="B595" s="93"/>
      <c r="C595" s="98"/>
      <c r="D595" s="103"/>
      <c r="E595" s="119"/>
      <c r="F595" s="279">
        <f>E595/G576</f>
        <v>0</v>
      </c>
      <c r="G595" s="119"/>
      <c r="H595" s="297">
        <f t="shared" si="14"/>
        <v>0</v>
      </c>
    </row>
    <row r="596" spans="1:8" ht="20.25" customHeight="1">
      <c r="A596" s="345">
        <v>19</v>
      </c>
      <c r="B596" s="93"/>
      <c r="C596" s="98"/>
      <c r="D596" s="103"/>
      <c r="E596" s="119"/>
      <c r="F596" s="279">
        <f>E596/G576</f>
        <v>0</v>
      </c>
      <c r="G596" s="119"/>
      <c r="H596" s="297">
        <f t="shared" si="14"/>
        <v>0</v>
      </c>
    </row>
    <row r="597" spans="1:8" ht="20.25" customHeight="1">
      <c r="A597" s="345">
        <v>20</v>
      </c>
      <c r="B597" s="93"/>
      <c r="C597" s="99"/>
      <c r="D597" s="103"/>
      <c r="E597" s="119"/>
      <c r="F597" s="279">
        <f>E597/G576</f>
        <v>0</v>
      </c>
      <c r="G597" s="119"/>
      <c r="H597" s="297">
        <f t="shared" si="14"/>
        <v>0</v>
      </c>
    </row>
    <row r="598" spans="1:8" ht="20.25" customHeight="1">
      <c r="A598" s="345">
        <v>21</v>
      </c>
      <c r="B598" s="93"/>
      <c r="C598" s="97"/>
      <c r="D598" s="103"/>
      <c r="E598" s="119"/>
      <c r="F598" s="279">
        <f>E598/G576</f>
        <v>0</v>
      </c>
      <c r="G598" s="119"/>
      <c r="H598" s="297">
        <f t="shared" si="14"/>
        <v>0</v>
      </c>
    </row>
    <row r="599" spans="1:8" ht="20.25" customHeight="1">
      <c r="A599" s="345">
        <v>22</v>
      </c>
      <c r="B599" s="93"/>
      <c r="C599" s="94"/>
      <c r="D599" s="103"/>
      <c r="E599" s="119"/>
      <c r="F599" s="279">
        <f>E599/G576</f>
        <v>0</v>
      </c>
      <c r="G599" s="119"/>
      <c r="H599" s="297">
        <f t="shared" si="14"/>
        <v>0</v>
      </c>
    </row>
    <row r="600" spans="1:8" ht="20.25" customHeight="1">
      <c r="A600" s="345">
        <v>23</v>
      </c>
      <c r="B600" s="93"/>
      <c r="C600" s="94"/>
      <c r="D600" s="103"/>
      <c r="E600" s="119"/>
      <c r="F600" s="279">
        <f>E600/G576</f>
        <v>0</v>
      </c>
      <c r="G600" s="119"/>
      <c r="H600" s="297">
        <f t="shared" si="14"/>
        <v>0</v>
      </c>
    </row>
    <row r="601" spans="1:8" ht="20.25" customHeight="1">
      <c r="A601" s="345">
        <v>24</v>
      </c>
      <c r="B601" s="94"/>
      <c r="C601" s="94"/>
      <c r="D601" s="94"/>
      <c r="E601" s="119"/>
      <c r="F601" s="279">
        <f>E601/G576</f>
        <v>0</v>
      </c>
      <c r="G601" s="119"/>
      <c r="H601" s="297">
        <f t="shared" si="14"/>
        <v>0</v>
      </c>
    </row>
    <row r="602" spans="1:8" ht="20.25" customHeight="1">
      <c r="A602" s="345">
        <v>25</v>
      </c>
      <c r="B602" s="94"/>
      <c r="C602" s="94"/>
      <c r="D602" s="94">
        <f>SUM(D578:D601)</f>
        <v>0</v>
      </c>
      <c r="E602" s="119"/>
      <c r="F602" s="279">
        <f>E602/G576</f>
        <v>0</v>
      </c>
      <c r="G602" s="119"/>
      <c r="H602" s="297">
        <f t="shared" si="14"/>
        <v>0</v>
      </c>
    </row>
    <row r="603" spans="1:8" ht="20.25" customHeight="1" thickBot="1">
      <c r="A603" s="448" t="s">
        <v>4</v>
      </c>
      <c r="B603" s="449"/>
      <c r="C603" s="449"/>
      <c r="D603" s="450"/>
      <c r="E603" s="120">
        <f>SUM(E578:E602)</f>
        <v>0</v>
      </c>
      <c r="F603" s="120">
        <f>SUM(F578:F602)</f>
        <v>0</v>
      </c>
      <c r="G603" s="120">
        <f>SUM(G578:G602)</f>
        <v>0</v>
      </c>
      <c r="H603" s="298">
        <f>SUM(H578:H602)</f>
        <v>0</v>
      </c>
    </row>
    <row r="605" spans="1:8">
      <c r="A605" s="451" t="s">
        <v>7</v>
      </c>
      <c r="B605" s="451"/>
      <c r="C605" s="452" t="s">
        <v>274</v>
      </c>
      <c r="D605" s="452"/>
      <c r="E605" s="452" t="s">
        <v>275</v>
      </c>
      <c r="F605" s="452"/>
      <c r="G605" s="452"/>
    </row>
    <row r="609" ht="8.25" customHeight="1"/>
    <row r="610" ht="8.25" customHeight="1"/>
    <row r="611" ht="8.25" customHeight="1"/>
    <row r="612" ht="8.25" customHeight="1"/>
    <row r="613" ht="8.25" customHeight="1"/>
    <row r="614" ht="8.25" customHeight="1"/>
    <row r="615" ht="8.25" customHeight="1"/>
    <row r="616" ht="8.25" customHeight="1"/>
    <row r="617" ht="8.25" customHeight="1"/>
    <row r="618" ht="8.25" customHeight="1"/>
    <row r="619" ht="8.25" customHeight="1"/>
    <row r="620" ht="8.25" customHeight="1"/>
    <row r="621" ht="8.25" customHeight="1"/>
    <row r="622" ht="8.25" customHeight="1"/>
    <row r="623" ht="2.25" customHeight="1"/>
    <row r="624" ht="2.25" customHeight="1"/>
    <row r="625" spans="1:8" ht="2.25" customHeight="1"/>
    <row r="626" spans="1:8" ht="20.25" customHeight="1">
      <c r="A626" s="445" t="s">
        <v>262</v>
      </c>
      <c r="B626" s="453"/>
      <c r="C626" s="453"/>
      <c r="D626" s="453"/>
      <c r="E626" s="453"/>
    </row>
    <row r="627" spans="1:8" ht="20.25" customHeight="1">
      <c r="A627" s="445" t="s">
        <v>586</v>
      </c>
      <c r="B627" s="453"/>
      <c r="C627" s="453"/>
      <c r="D627" s="453"/>
      <c r="E627" s="453"/>
      <c r="F627" s="452" t="s">
        <v>610</v>
      </c>
      <c r="G627" s="452"/>
    </row>
    <row r="628" spans="1:8" ht="20.25" customHeight="1" thickBot="1">
      <c r="A628" s="446" t="s">
        <v>445</v>
      </c>
      <c r="B628" s="446"/>
      <c r="C628" s="446"/>
      <c r="D628" s="446"/>
      <c r="E628" s="446"/>
      <c r="F628" s="334" t="s">
        <v>91</v>
      </c>
      <c r="G628" s="402">
        <f>تسعير!E34</f>
        <v>3.7750001532838997</v>
      </c>
    </row>
    <row r="629" spans="1:8" ht="20.25" customHeight="1">
      <c r="A629" s="349" t="s">
        <v>0</v>
      </c>
      <c r="B629" s="20" t="s">
        <v>78</v>
      </c>
      <c r="C629" s="341" t="s">
        <v>77</v>
      </c>
      <c r="D629" s="20" t="s">
        <v>80</v>
      </c>
      <c r="E629" s="20" t="s">
        <v>13</v>
      </c>
      <c r="F629" s="335" t="s">
        <v>83</v>
      </c>
      <c r="G629" s="335" t="s">
        <v>14</v>
      </c>
      <c r="H629" s="336" t="s">
        <v>79</v>
      </c>
    </row>
    <row r="630" spans="1:8" ht="20.25" customHeight="1">
      <c r="A630" s="345">
        <v>1</v>
      </c>
      <c r="B630" s="93"/>
      <c r="C630" s="95" t="s">
        <v>611</v>
      </c>
      <c r="D630" s="103"/>
      <c r="E630" s="119">
        <v>2701</v>
      </c>
      <c r="F630" s="279">
        <f>E630/G628</f>
        <v>715.49665968897534</v>
      </c>
      <c r="G630" s="119"/>
      <c r="H630" s="297">
        <f>G630+F630</f>
        <v>715.49665968897534</v>
      </c>
    </row>
    <row r="631" spans="1:8" ht="20.25" customHeight="1">
      <c r="A631" s="345">
        <v>2</v>
      </c>
      <c r="B631" s="93"/>
      <c r="C631" s="95"/>
      <c r="D631" s="103">
        <v>11</v>
      </c>
      <c r="E631" s="119"/>
      <c r="F631" s="279">
        <f>-E631/G628</f>
        <v>0</v>
      </c>
      <c r="G631" s="119"/>
      <c r="H631" s="297">
        <f t="shared" ref="H631:H654" si="15">G631+F631</f>
        <v>0</v>
      </c>
    </row>
    <row r="632" spans="1:8" ht="20.25" customHeight="1">
      <c r="A632" s="345">
        <v>3</v>
      </c>
      <c r="B632" s="93"/>
      <c r="C632" s="92"/>
      <c r="D632" s="103"/>
      <c r="E632" s="119"/>
      <c r="F632" s="279">
        <f>-E632/G628</f>
        <v>0</v>
      </c>
      <c r="G632" s="119"/>
      <c r="H632" s="297">
        <f t="shared" si="15"/>
        <v>0</v>
      </c>
    </row>
    <row r="633" spans="1:8" ht="20.25" customHeight="1">
      <c r="A633" s="345">
        <v>4</v>
      </c>
      <c r="B633" s="93"/>
      <c r="C633" s="92"/>
      <c r="D633" s="103"/>
      <c r="E633" s="119"/>
      <c r="F633" s="279">
        <f>E633/G628</f>
        <v>0</v>
      </c>
      <c r="G633" s="119"/>
      <c r="H633" s="297">
        <f t="shared" si="15"/>
        <v>0</v>
      </c>
    </row>
    <row r="634" spans="1:8" ht="20.25" customHeight="1">
      <c r="A634" s="345">
        <v>5</v>
      </c>
      <c r="B634" s="93"/>
      <c r="C634" s="92"/>
      <c r="D634" s="103"/>
      <c r="E634" s="119"/>
      <c r="F634" s="279">
        <f>E634/G628</f>
        <v>0</v>
      </c>
      <c r="G634" s="119"/>
      <c r="H634" s="297">
        <f t="shared" si="15"/>
        <v>0</v>
      </c>
    </row>
    <row r="635" spans="1:8" ht="20.25" customHeight="1">
      <c r="A635" s="345">
        <v>6</v>
      </c>
      <c r="B635" s="93"/>
      <c r="C635" s="92"/>
      <c r="D635" s="103"/>
      <c r="E635" s="119"/>
      <c r="F635" s="279">
        <f>E635/G628</f>
        <v>0</v>
      </c>
      <c r="G635" s="119"/>
      <c r="H635" s="297">
        <f t="shared" si="15"/>
        <v>0</v>
      </c>
    </row>
    <row r="636" spans="1:8" ht="20.25" customHeight="1">
      <c r="A636" s="345">
        <v>7</v>
      </c>
      <c r="B636" s="93"/>
      <c r="C636" s="92"/>
      <c r="D636" s="103"/>
      <c r="E636" s="119"/>
      <c r="F636" s="279">
        <f>E636/G628</f>
        <v>0</v>
      </c>
      <c r="G636" s="119"/>
      <c r="H636" s="297">
        <f t="shared" si="15"/>
        <v>0</v>
      </c>
    </row>
    <row r="637" spans="1:8" ht="20.25" customHeight="1">
      <c r="A637" s="345">
        <v>8</v>
      </c>
      <c r="B637" s="93"/>
      <c r="C637" s="92"/>
      <c r="D637" s="103"/>
      <c r="E637" s="119"/>
      <c r="F637" s="279">
        <f>E637/G628</f>
        <v>0</v>
      </c>
      <c r="G637" s="119"/>
      <c r="H637" s="297">
        <f t="shared" si="15"/>
        <v>0</v>
      </c>
    </row>
    <row r="638" spans="1:8" ht="20.25" customHeight="1">
      <c r="A638" s="345">
        <v>9</v>
      </c>
      <c r="B638" s="93"/>
      <c r="C638" s="357"/>
      <c r="D638" s="103"/>
      <c r="E638" s="119"/>
      <c r="F638" s="279">
        <f>E638/G628</f>
        <v>0</v>
      </c>
      <c r="G638" s="119"/>
      <c r="H638" s="297">
        <f t="shared" si="15"/>
        <v>0</v>
      </c>
    </row>
    <row r="639" spans="1:8" ht="20.25" customHeight="1">
      <c r="A639" s="345">
        <v>10</v>
      </c>
      <c r="B639" s="93"/>
      <c r="C639" s="96"/>
      <c r="D639" s="103"/>
      <c r="E639" s="119"/>
      <c r="F639" s="279">
        <f>E639/G628</f>
        <v>0</v>
      </c>
      <c r="G639" s="119"/>
      <c r="H639" s="297">
        <f t="shared" si="15"/>
        <v>0</v>
      </c>
    </row>
    <row r="640" spans="1:8" ht="20.25" customHeight="1">
      <c r="A640" s="345">
        <v>11</v>
      </c>
      <c r="B640" s="93"/>
      <c r="C640" s="96"/>
      <c r="D640" s="103"/>
      <c r="E640" s="119"/>
      <c r="F640" s="279">
        <f>E640/G628</f>
        <v>0</v>
      </c>
      <c r="G640" s="119"/>
      <c r="H640" s="297">
        <f t="shared" si="15"/>
        <v>0</v>
      </c>
    </row>
    <row r="641" spans="1:8" ht="20.25" customHeight="1">
      <c r="A641" s="345">
        <v>12</v>
      </c>
      <c r="B641" s="93"/>
      <c r="C641" s="95"/>
      <c r="D641" s="103"/>
      <c r="E641" s="119"/>
      <c r="F641" s="279">
        <f>E641/G628</f>
        <v>0</v>
      </c>
      <c r="G641" s="119"/>
      <c r="H641" s="297">
        <f t="shared" si="15"/>
        <v>0</v>
      </c>
    </row>
    <row r="642" spans="1:8" ht="20.25" customHeight="1">
      <c r="A642" s="345">
        <v>13</v>
      </c>
      <c r="B642" s="93"/>
      <c r="C642" s="95"/>
      <c r="D642" s="103"/>
      <c r="E642" s="119"/>
      <c r="F642" s="279">
        <f>E642/G628</f>
        <v>0</v>
      </c>
      <c r="G642" s="119"/>
      <c r="H642" s="297">
        <f t="shared" si="15"/>
        <v>0</v>
      </c>
    </row>
    <row r="643" spans="1:8" ht="20.25" customHeight="1">
      <c r="A643" s="345">
        <v>14</v>
      </c>
      <c r="B643" s="93"/>
      <c r="C643" s="95"/>
      <c r="D643" s="103"/>
      <c r="E643" s="119"/>
      <c r="F643" s="279">
        <f>E643/G628</f>
        <v>0</v>
      </c>
      <c r="G643" s="119"/>
      <c r="H643" s="297">
        <f t="shared" si="15"/>
        <v>0</v>
      </c>
    </row>
    <row r="644" spans="1:8" ht="20.25" customHeight="1">
      <c r="A644" s="345">
        <v>15</v>
      </c>
      <c r="B644" s="93"/>
      <c r="C644" s="98"/>
      <c r="D644" s="103"/>
      <c r="E644" s="119"/>
      <c r="F644" s="279">
        <f>E644/G628</f>
        <v>0</v>
      </c>
      <c r="G644" s="119"/>
      <c r="H644" s="297">
        <f t="shared" si="15"/>
        <v>0</v>
      </c>
    </row>
    <row r="645" spans="1:8" ht="20.25" customHeight="1">
      <c r="A645" s="345">
        <v>16</v>
      </c>
      <c r="B645" s="93"/>
      <c r="C645" s="98"/>
      <c r="D645" s="103"/>
      <c r="E645" s="119"/>
      <c r="F645" s="279">
        <f>E645/G628</f>
        <v>0</v>
      </c>
      <c r="G645" s="119"/>
      <c r="H645" s="297">
        <f t="shared" si="15"/>
        <v>0</v>
      </c>
    </row>
    <row r="646" spans="1:8" ht="20.25" customHeight="1">
      <c r="A646" s="345">
        <v>17</v>
      </c>
      <c r="B646" s="93"/>
      <c r="C646" s="98"/>
      <c r="D646" s="103"/>
      <c r="E646" s="119"/>
      <c r="F646" s="279">
        <f>E646/G628</f>
        <v>0</v>
      </c>
      <c r="G646" s="119"/>
      <c r="H646" s="297">
        <f t="shared" si="15"/>
        <v>0</v>
      </c>
    </row>
    <row r="647" spans="1:8" ht="20.25" customHeight="1">
      <c r="A647" s="345">
        <v>18</v>
      </c>
      <c r="B647" s="93"/>
      <c r="C647" s="98"/>
      <c r="D647" s="103"/>
      <c r="E647" s="119"/>
      <c r="F647" s="279">
        <f>E647/G628</f>
        <v>0</v>
      </c>
      <c r="G647" s="119"/>
      <c r="H647" s="297">
        <f t="shared" si="15"/>
        <v>0</v>
      </c>
    </row>
    <row r="648" spans="1:8" ht="20.25" customHeight="1">
      <c r="A648" s="345">
        <v>19</v>
      </c>
      <c r="B648" s="93"/>
      <c r="C648" s="98"/>
      <c r="D648" s="103"/>
      <c r="E648" s="119"/>
      <c r="F648" s="279">
        <f>E648/G628</f>
        <v>0</v>
      </c>
      <c r="G648" s="119"/>
      <c r="H648" s="297">
        <f t="shared" si="15"/>
        <v>0</v>
      </c>
    </row>
    <row r="649" spans="1:8" ht="20.25" customHeight="1">
      <c r="A649" s="345">
        <v>20</v>
      </c>
      <c r="B649" s="93"/>
      <c r="C649" s="99"/>
      <c r="D649" s="103"/>
      <c r="E649" s="119"/>
      <c r="F649" s="279">
        <f>E649/G628</f>
        <v>0</v>
      </c>
      <c r="G649" s="119"/>
      <c r="H649" s="297">
        <f t="shared" si="15"/>
        <v>0</v>
      </c>
    </row>
    <row r="650" spans="1:8" ht="20.25" customHeight="1">
      <c r="A650" s="345">
        <v>21</v>
      </c>
      <c r="B650" s="93"/>
      <c r="C650" s="97"/>
      <c r="D650" s="103"/>
      <c r="E650" s="119"/>
      <c r="F650" s="279">
        <f>E650/G628</f>
        <v>0</v>
      </c>
      <c r="G650" s="119"/>
      <c r="H650" s="297">
        <f t="shared" si="15"/>
        <v>0</v>
      </c>
    </row>
    <row r="651" spans="1:8" ht="20.25" customHeight="1">
      <c r="A651" s="345">
        <v>22</v>
      </c>
      <c r="B651" s="93"/>
      <c r="C651" s="94"/>
      <c r="D651" s="103"/>
      <c r="E651" s="119"/>
      <c r="F651" s="279">
        <f>E651/G628</f>
        <v>0</v>
      </c>
      <c r="G651" s="119"/>
      <c r="H651" s="297">
        <f t="shared" si="15"/>
        <v>0</v>
      </c>
    </row>
    <row r="652" spans="1:8" ht="20.25" customHeight="1">
      <c r="A652" s="345">
        <v>23</v>
      </c>
      <c r="B652" s="93"/>
      <c r="C652" s="94"/>
      <c r="D652" s="103"/>
      <c r="E652" s="119"/>
      <c r="F652" s="279">
        <f>E652/G628</f>
        <v>0</v>
      </c>
      <c r="G652" s="119"/>
      <c r="H652" s="297">
        <f t="shared" si="15"/>
        <v>0</v>
      </c>
    </row>
    <row r="653" spans="1:8" ht="20.25" customHeight="1">
      <c r="A653" s="345">
        <v>24</v>
      </c>
      <c r="B653" s="94"/>
      <c r="C653" s="94"/>
      <c r="D653" s="94"/>
      <c r="E653" s="119"/>
      <c r="F653" s="279">
        <f>E653/G628</f>
        <v>0</v>
      </c>
      <c r="G653" s="119"/>
      <c r="H653" s="297">
        <f t="shared" si="15"/>
        <v>0</v>
      </c>
    </row>
    <row r="654" spans="1:8" ht="20.25" customHeight="1">
      <c r="A654" s="345">
        <v>25</v>
      </c>
      <c r="B654" s="94"/>
      <c r="C654" s="94"/>
      <c r="D654" s="94">
        <f>SUM(D630:D653)</f>
        <v>11</v>
      </c>
      <c r="E654" s="119"/>
      <c r="F654" s="279">
        <f>E654/G628</f>
        <v>0</v>
      </c>
      <c r="G654" s="119"/>
      <c r="H654" s="297">
        <f t="shared" si="15"/>
        <v>0</v>
      </c>
    </row>
    <row r="655" spans="1:8" ht="20.25" customHeight="1" thickBot="1">
      <c r="A655" s="448" t="s">
        <v>4</v>
      </c>
      <c r="B655" s="449"/>
      <c r="C655" s="449"/>
      <c r="D655" s="450"/>
      <c r="E655" s="120">
        <f>SUM(E630:E654)</f>
        <v>2701</v>
      </c>
      <c r="F655" s="120">
        <f>SUM(F630:F654)</f>
        <v>715.49665968897534</v>
      </c>
      <c r="G655" s="120">
        <f>SUM(G630:G654)</f>
        <v>0</v>
      </c>
      <c r="H655" s="298">
        <f>SUM(H630:H654)</f>
        <v>715.49665968897534</v>
      </c>
    </row>
    <row r="656" spans="1:8" ht="20.25" customHeight="1"/>
    <row r="657" spans="1:7" ht="20.25" customHeight="1">
      <c r="A657" s="451" t="s">
        <v>7</v>
      </c>
      <c r="B657" s="451"/>
      <c r="C657" s="452" t="s">
        <v>274</v>
      </c>
      <c r="D657" s="452"/>
      <c r="E657" s="452" t="s">
        <v>275</v>
      </c>
      <c r="F657" s="452"/>
      <c r="G657" s="452"/>
    </row>
    <row r="660" spans="1:7" ht="9.75" customHeight="1"/>
    <row r="661" spans="1:7" ht="9.75" customHeight="1"/>
    <row r="662" spans="1:7" ht="9.75" customHeight="1"/>
    <row r="663" spans="1:7" ht="9.75" customHeight="1"/>
    <row r="664" spans="1:7" ht="9.75" customHeight="1"/>
    <row r="665" spans="1:7" ht="9.75" customHeight="1"/>
    <row r="666" spans="1:7" ht="9.75" customHeight="1"/>
    <row r="667" spans="1:7" ht="9.75" customHeight="1"/>
    <row r="668" spans="1:7" ht="9.75" customHeight="1"/>
    <row r="669" spans="1:7" ht="9.75" customHeight="1"/>
    <row r="670" spans="1:7" ht="9.75" customHeight="1"/>
    <row r="671" spans="1:7" ht="9.75" customHeight="1"/>
    <row r="672" spans="1:7" ht="9.75" customHeight="1"/>
    <row r="673" spans="1:8" ht="2.25" customHeight="1"/>
    <row r="674" spans="1:8" ht="2.25" customHeight="1"/>
    <row r="675" spans="1:8" ht="2.25" customHeight="1"/>
    <row r="677" spans="1:8" ht="20.25" customHeight="1">
      <c r="A677" s="445" t="s">
        <v>262</v>
      </c>
      <c r="B677" s="453"/>
      <c r="C677" s="453"/>
      <c r="D677" s="453"/>
      <c r="E677" s="453"/>
    </row>
    <row r="678" spans="1:8" ht="20.25" customHeight="1">
      <c r="A678" s="445" t="s">
        <v>586</v>
      </c>
      <c r="B678" s="453"/>
      <c r="C678" s="453"/>
      <c r="D678" s="453"/>
      <c r="E678" s="453"/>
      <c r="F678" s="452" t="s">
        <v>408</v>
      </c>
      <c r="G678" s="452"/>
    </row>
    <row r="679" spans="1:8" ht="20.25" customHeight="1" thickBot="1">
      <c r="A679" s="446" t="s">
        <v>442</v>
      </c>
      <c r="B679" s="446"/>
      <c r="C679" s="446"/>
      <c r="D679" s="446"/>
      <c r="E679" s="446"/>
      <c r="F679" s="334" t="s">
        <v>91</v>
      </c>
      <c r="G679" s="402">
        <f>تسعير!E34</f>
        <v>3.7750001532838997</v>
      </c>
    </row>
    <row r="680" spans="1:8" ht="20.25" customHeight="1">
      <c r="A680" s="349" t="s">
        <v>0</v>
      </c>
      <c r="B680" s="20" t="s">
        <v>78</v>
      </c>
      <c r="C680" s="341" t="s">
        <v>77</v>
      </c>
      <c r="D680" s="20" t="s">
        <v>80</v>
      </c>
      <c r="E680" s="20" t="s">
        <v>13</v>
      </c>
      <c r="F680" s="335" t="s">
        <v>83</v>
      </c>
      <c r="G680" s="335" t="s">
        <v>14</v>
      </c>
      <c r="H680" s="336" t="s">
        <v>79</v>
      </c>
    </row>
    <row r="681" spans="1:8" ht="20.25" customHeight="1">
      <c r="A681" s="345">
        <v>1</v>
      </c>
      <c r="B681" s="93"/>
      <c r="C681" s="95"/>
      <c r="D681" s="103"/>
      <c r="E681" s="119"/>
      <c r="F681" s="279">
        <f>E681/G679</f>
        <v>0</v>
      </c>
      <c r="G681" s="119"/>
      <c r="H681" s="297">
        <f>G681+F681</f>
        <v>0</v>
      </c>
    </row>
    <row r="682" spans="1:8" ht="20.25" customHeight="1">
      <c r="A682" s="345">
        <v>2</v>
      </c>
      <c r="B682" s="93"/>
      <c r="C682" s="95"/>
      <c r="D682" s="103"/>
      <c r="E682" s="119"/>
      <c r="F682" s="279">
        <f>E682/G679</f>
        <v>0</v>
      </c>
      <c r="G682" s="119"/>
      <c r="H682" s="297">
        <f t="shared" ref="H682:H705" si="16">G682+F682</f>
        <v>0</v>
      </c>
    </row>
    <row r="683" spans="1:8" ht="20.25" customHeight="1">
      <c r="A683" s="345">
        <v>3</v>
      </c>
      <c r="B683" s="93"/>
      <c r="C683" s="92"/>
      <c r="D683" s="103"/>
      <c r="E683" s="119"/>
      <c r="F683" s="279">
        <f>E683/G679</f>
        <v>0</v>
      </c>
      <c r="G683" s="119"/>
      <c r="H683" s="297">
        <f t="shared" si="16"/>
        <v>0</v>
      </c>
    </row>
    <row r="684" spans="1:8" ht="20.25" customHeight="1">
      <c r="A684" s="345">
        <v>4</v>
      </c>
      <c r="B684" s="93"/>
      <c r="C684" s="92"/>
      <c r="D684" s="103"/>
      <c r="E684" s="119"/>
      <c r="F684" s="279">
        <f>E684/G679</f>
        <v>0</v>
      </c>
      <c r="G684" s="119"/>
      <c r="H684" s="297">
        <f t="shared" si="16"/>
        <v>0</v>
      </c>
    </row>
    <row r="685" spans="1:8" ht="20.25" customHeight="1">
      <c r="A685" s="345">
        <v>5</v>
      </c>
      <c r="B685" s="93"/>
      <c r="C685" s="92"/>
      <c r="D685" s="103"/>
      <c r="E685" s="119"/>
      <c r="F685" s="279">
        <f>E685/G679</f>
        <v>0</v>
      </c>
      <c r="G685" s="119"/>
      <c r="H685" s="297">
        <f t="shared" si="16"/>
        <v>0</v>
      </c>
    </row>
    <row r="686" spans="1:8" ht="20.25" customHeight="1">
      <c r="A686" s="345">
        <v>6</v>
      </c>
      <c r="B686" s="93"/>
      <c r="C686" s="92"/>
      <c r="D686" s="103"/>
      <c r="E686" s="119"/>
      <c r="F686" s="279">
        <f>E686/G679</f>
        <v>0</v>
      </c>
      <c r="G686" s="119"/>
      <c r="H686" s="297">
        <f t="shared" si="16"/>
        <v>0</v>
      </c>
    </row>
    <row r="687" spans="1:8" ht="20.25" customHeight="1">
      <c r="A687" s="345">
        <v>7</v>
      </c>
      <c r="B687" s="93"/>
      <c r="C687" s="92"/>
      <c r="D687" s="103"/>
      <c r="E687" s="119"/>
      <c r="F687" s="279">
        <f>E687/G679</f>
        <v>0</v>
      </c>
      <c r="G687" s="119"/>
      <c r="H687" s="297">
        <f t="shared" si="16"/>
        <v>0</v>
      </c>
    </row>
    <row r="688" spans="1:8" ht="20.25" customHeight="1">
      <c r="A688" s="345">
        <v>8</v>
      </c>
      <c r="B688" s="93"/>
      <c r="C688" s="92"/>
      <c r="D688" s="103"/>
      <c r="E688" s="119"/>
      <c r="F688" s="279">
        <f>E688/G679</f>
        <v>0</v>
      </c>
      <c r="G688" s="119"/>
      <c r="H688" s="297">
        <f t="shared" si="16"/>
        <v>0</v>
      </c>
    </row>
    <row r="689" spans="1:8" ht="20.25" customHeight="1">
      <c r="A689" s="345">
        <v>9</v>
      </c>
      <c r="B689" s="93"/>
      <c r="C689" s="357"/>
      <c r="D689" s="103"/>
      <c r="E689" s="119"/>
      <c r="F689" s="279">
        <f>E689/G679</f>
        <v>0</v>
      </c>
      <c r="G689" s="119"/>
      <c r="H689" s="297">
        <f t="shared" si="16"/>
        <v>0</v>
      </c>
    </row>
    <row r="690" spans="1:8" ht="20.25" customHeight="1">
      <c r="A690" s="345">
        <v>10</v>
      </c>
      <c r="B690" s="93"/>
      <c r="C690" s="96"/>
      <c r="D690" s="103"/>
      <c r="E690" s="119"/>
      <c r="F690" s="279">
        <f>E690/G679</f>
        <v>0</v>
      </c>
      <c r="G690" s="119"/>
      <c r="H690" s="297">
        <f t="shared" si="16"/>
        <v>0</v>
      </c>
    </row>
    <row r="691" spans="1:8" ht="20.25" customHeight="1">
      <c r="A691" s="345">
        <v>11</v>
      </c>
      <c r="B691" s="93"/>
      <c r="C691" s="96"/>
      <c r="D691" s="103"/>
      <c r="E691" s="119"/>
      <c r="F691" s="279">
        <f>E691/G679</f>
        <v>0</v>
      </c>
      <c r="G691" s="119"/>
      <c r="H691" s="297">
        <f t="shared" si="16"/>
        <v>0</v>
      </c>
    </row>
    <row r="692" spans="1:8" ht="20.25" customHeight="1">
      <c r="A692" s="345">
        <v>12</v>
      </c>
      <c r="B692" s="93"/>
      <c r="C692" s="95"/>
      <c r="D692" s="103"/>
      <c r="E692" s="119"/>
      <c r="F692" s="279">
        <f>E692/G679</f>
        <v>0</v>
      </c>
      <c r="G692" s="119"/>
      <c r="H692" s="297">
        <f t="shared" si="16"/>
        <v>0</v>
      </c>
    </row>
    <row r="693" spans="1:8" ht="20.25" customHeight="1">
      <c r="A693" s="345">
        <v>13</v>
      </c>
      <c r="B693" s="93"/>
      <c r="C693" s="95"/>
      <c r="D693" s="103"/>
      <c r="E693" s="119"/>
      <c r="F693" s="279">
        <f>E693/G679</f>
        <v>0</v>
      </c>
      <c r="G693" s="119"/>
      <c r="H693" s="297">
        <f t="shared" si="16"/>
        <v>0</v>
      </c>
    </row>
    <row r="694" spans="1:8" ht="20.25" customHeight="1">
      <c r="A694" s="345">
        <v>14</v>
      </c>
      <c r="B694" s="93"/>
      <c r="C694" s="95"/>
      <c r="D694" s="103"/>
      <c r="E694" s="119"/>
      <c r="F694" s="279">
        <f>E694/G679</f>
        <v>0</v>
      </c>
      <c r="G694" s="119"/>
      <c r="H694" s="297">
        <f t="shared" si="16"/>
        <v>0</v>
      </c>
    </row>
    <row r="695" spans="1:8" ht="20.25" customHeight="1">
      <c r="A695" s="345">
        <v>15</v>
      </c>
      <c r="B695" s="93"/>
      <c r="C695" s="98"/>
      <c r="D695" s="103"/>
      <c r="E695" s="119"/>
      <c r="F695" s="279">
        <f>E695/G679</f>
        <v>0</v>
      </c>
      <c r="G695" s="119"/>
      <c r="H695" s="297">
        <f t="shared" si="16"/>
        <v>0</v>
      </c>
    </row>
    <row r="696" spans="1:8" ht="20.25" customHeight="1">
      <c r="A696" s="345">
        <v>16</v>
      </c>
      <c r="B696" s="93"/>
      <c r="C696" s="98"/>
      <c r="D696" s="103"/>
      <c r="E696" s="119"/>
      <c r="F696" s="279">
        <f>E696/G679</f>
        <v>0</v>
      </c>
      <c r="G696" s="119"/>
      <c r="H696" s="297">
        <f t="shared" si="16"/>
        <v>0</v>
      </c>
    </row>
    <row r="697" spans="1:8" ht="20.25" customHeight="1">
      <c r="A697" s="345">
        <v>17</v>
      </c>
      <c r="B697" s="93"/>
      <c r="C697" s="98"/>
      <c r="D697" s="103"/>
      <c r="E697" s="119"/>
      <c r="F697" s="279">
        <f>E697/G679</f>
        <v>0</v>
      </c>
      <c r="G697" s="119"/>
      <c r="H697" s="297">
        <f t="shared" si="16"/>
        <v>0</v>
      </c>
    </row>
    <row r="698" spans="1:8" ht="20.25" customHeight="1">
      <c r="A698" s="345">
        <v>18</v>
      </c>
      <c r="B698" s="93"/>
      <c r="C698" s="98"/>
      <c r="D698" s="103"/>
      <c r="E698" s="119"/>
      <c r="F698" s="279">
        <f>E698/G679</f>
        <v>0</v>
      </c>
      <c r="G698" s="119"/>
      <c r="H698" s="297">
        <f t="shared" si="16"/>
        <v>0</v>
      </c>
    </row>
    <row r="699" spans="1:8" ht="20.25" customHeight="1">
      <c r="A699" s="345">
        <v>19</v>
      </c>
      <c r="B699" s="93"/>
      <c r="C699" s="98"/>
      <c r="D699" s="103"/>
      <c r="E699" s="119"/>
      <c r="F699" s="279">
        <f>E699/G679</f>
        <v>0</v>
      </c>
      <c r="G699" s="119"/>
      <c r="H699" s="297">
        <f t="shared" si="16"/>
        <v>0</v>
      </c>
    </row>
    <row r="700" spans="1:8" ht="20.25" customHeight="1">
      <c r="A700" s="345">
        <v>20</v>
      </c>
      <c r="B700" s="93"/>
      <c r="C700" s="99"/>
      <c r="D700" s="103"/>
      <c r="E700" s="119"/>
      <c r="F700" s="279">
        <f>E700/G679</f>
        <v>0</v>
      </c>
      <c r="G700" s="119"/>
      <c r="H700" s="297">
        <f t="shared" si="16"/>
        <v>0</v>
      </c>
    </row>
    <row r="701" spans="1:8" ht="20.25" customHeight="1">
      <c r="A701" s="345">
        <v>21</v>
      </c>
      <c r="B701" s="93"/>
      <c r="C701" s="97"/>
      <c r="D701" s="103"/>
      <c r="E701" s="119"/>
      <c r="F701" s="279">
        <f>E701/G679</f>
        <v>0</v>
      </c>
      <c r="G701" s="119"/>
      <c r="H701" s="297">
        <f t="shared" si="16"/>
        <v>0</v>
      </c>
    </row>
    <row r="702" spans="1:8" ht="20.25" customHeight="1">
      <c r="A702" s="345">
        <v>22</v>
      </c>
      <c r="B702" s="93"/>
      <c r="C702" s="94"/>
      <c r="D702" s="103"/>
      <c r="E702" s="119"/>
      <c r="F702" s="279">
        <f>E702/G679</f>
        <v>0</v>
      </c>
      <c r="G702" s="119"/>
      <c r="H702" s="297">
        <f t="shared" si="16"/>
        <v>0</v>
      </c>
    </row>
    <row r="703" spans="1:8" ht="20.25" customHeight="1">
      <c r="A703" s="345">
        <v>23</v>
      </c>
      <c r="B703" s="93"/>
      <c r="C703" s="94"/>
      <c r="D703" s="103"/>
      <c r="E703" s="119"/>
      <c r="F703" s="279">
        <f>E703/G679</f>
        <v>0</v>
      </c>
      <c r="G703" s="119"/>
      <c r="H703" s="297">
        <f t="shared" si="16"/>
        <v>0</v>
      </c>
    </row>
    <row r="704" spans="1:8" ht="20.25" customHeight="1">
      <c r="A704" s="345">
        <v>24</v>
      </c>
      <c r="B704" s="94"/>
      <c r="C704" s="94"/>
      <c r="D704" s="94"/>
      <c r="E704" s="119"/>
      <c r="F704" s="279">
        <f>E704/G679</f>
        <v>0</v>
      </c>
      <c r="G704" s="119"/>
      <c r="H704" s="297">
        <f t="shared" si="16"/>
        <v>0</v>
      </c>
    </row>
    <row r="705" spans="1:8" ht="20.25" customHeight="1">
      <c r="A705" s="345">
        <v>25</v>
      </c>
      <c r="B705" s="94"/>
      <c r="C705" s="94"/>
      <c r="D705" s="94">
        <f>SUM(D681:D704)</f>
        <v>0</v>
      </c>
      <c r="E705" s="119"/>
      <c r="F705" s="279">
        <f>E705/G679</f>
        <v>0</v>
      </c>
      <c r="G705" s="119"/>
      <c r="H705" s="297">
        <f t="shared" si="16"/>
        <v>0</v>
      </c>
    </row>
    <row r="706" spans="1:8" ht="20.25" customHeight="1" thickBot="1">
      <c r="A706" s="448" t="s">
        <v>4</v>
      </c>
      <c r="B706" s="449"/>
      <c r="C706" s="449"/>
      <c r="D706" s="450"/>
      <c r="E706" s="120">
        <f>SUM(E681:E705)</f>
        <v>0</v>
      </c>
      <c r="F706" s="120">
        <f>SUM(F681:F705)</f>
        <v>0</v>
      </c>
      <c r="G706" s="120">
        <f>SUM(G681:G705)</f>
        <v>0</v>
      </c>
      <c r="H706" s="298">
        <f>SUM(H681:H705)</f>
        <v>0</v>
      </c>
    </row>
    <row r="707" spans="1:8" ht="20.25" customHeight="1"/>
    <row r="708" spans="1:8" ht="20.25" customHeight="1">
      <c r="A708" s="451" t="s">
        <v>7</v>
      </c>
      <c r="B708" s="451"/>
      <c r="C708" s="452" t="s">
        <v>274</v>
      </c>
      <c r="D708" s="452"/>
      <c r="E708" s="452" t="s">
        <v>275</v>
      </c>
      <c r="F708" s="452"/>
      <c r="G708" s="452"/>
    </row>
    <row r="711" spans="1:8" ht="2.25" customHeight="1"/>
    <row r="712" spans="1:8" ht="2.25" customHeight="1"/>
    <row r="713" spans="1:8" ht="12.75" customHeight="1"/>
    <row r="714" spans="1:8" ht="12.75" hidden="1" customHeight="1"/>
    <row r="715" spans="1:8" ht="13.5" hidden="1" customHeight="1"/>
    <row r="716" spans="1:8" ht="12.75" hidden="1" customHeight="1"/>
    <row r="717" spans="1:8" ht="12.75" hidden="1" customHeight="1"/>
    <row r="718" spans="1:8" ht="12.75" hidden="1" customHeight="1"/>
    <row r="719" spans="1:8" ht="12.75" hidden="1" customHeight="1"/>
    <row r="720" spans="1:8" ht="12.75" hidden="1" customHeight="1"/>
    <row r="721" spans="1:8" ht="12.75" hidden="1" customHeight="1"/>
    <row r="722" spans="1:8" ht="12.75" hidden="1" customHeight="1"/>
    <row r="723" spans="1:8" ht="12.75" customHeight="1"/>
    <row r="724" spans="1:8" ht="31.5" customHeight="1"/>
    <row r="725" spans="1:8" ht="12.75" customHeight="1"/>
    <row r="726" spans="1:8" ht="2.25" customHeight="1"/>
    <row r="727" spans="1:8" ht="2.25" customHeight="1"/>
    <row r="729" spans="1:8" ht="20.25" customHeight="1">
      <c r="A729" s="445" t="s">
        <v>262</v>
      </c>
      <c r="B729" s="453"/>
      <c r="C729" s="453"/>
      <c r="D729" s="453"/>
      <c r="E729" s="453"/>
    </row>
    <row r="730" spans="1:8" ht="20.25" customHeight="1">
      <c r="A730" s="445" t="s">
        <v>586</v>
      </c>
      <c r="B730" s="453"/>
      <c r="C730" s="453"/>
      <c r="D730" s="453"/>
      <c r="E730" s="453"/>
      <c r="F730" s="452" t="s">
        <v>408</v>
      </c>
      <c r="G730" s="452"/>
    </row>
    <row r="731" spans="1:8" ht="20.25" customHeight="1" thickBot="1">
      <c r="A731" s="446" t="s">
        <v>443</v>
      </c>
      <c r="B731" s="446"/>
      <c r="C731" s="446"/>
      <c r="D731" s="446"/>
      <c r="E731" s="446"/>
      <c r="F731" s="334" t="s">
        <v>91</v>
      </c>
      <c r="G731" s="402">
        <f>تسعير!E34</f>
        <v>3.7750001532838997</v>
      </c>
    </row>
    <row r="732" spans="1:8" ht="20.25" customHeight="1">
      <c r="A732" s="349" t="s">
        <v>0</v>
      </c>
      <c r="B732" s="20" t="s">
        <v>78</v>
      </c>
      <c r="C732" s="341" t="s">
        <v>77</v>
      </c>
      <c r="D732" s="20" t="s">
        <v>80</v>
      </c>
      <c r="E732" s="20" t="s">
        <v>13</v>
      </c>
      <c r="F732" s="335" t="s">
        <v>83</v>
      </c>
      <c r="G732" s="335" t="s">
        <v>14</v>
      </c>
      <c r="H732" s="336" t="s">
        <v>79</v>
      </c>
    </row>
    <row r="733" spans="1:8" ht="20.25" customHeight="1">
      <c r="A733" s="345">
        <v>1</v>
      </c>
      <c r="B733" s="93"/>
      <c r="C733" s="95"/>
      <c r="D733" s="103"/>
      <c r="E733" s="119"/>
      <c r="F733" s="279">
        <f>E733/G731</f>
        <v>0</v>
      </c>
      <c r="G733" s="119"/>
      <c r="H733" s="297">
        <f>G733+F733</f>
        <v>0</v>
      </c>
    </row>
    <row r="734" spans="1:8" ht="20.25" customHeight="1">
      <c r="A734" s="345">
        <v>2</v>
      </c>
      <c r="B734" s="93"/>
      <c r="C734" s="95"/>
      <c r="D734" s="103"/>
      <c r="E734" s="119"/>
      <c r="F734" s="279">
        <f>E734/G731</f>
        <v>0</v>
      </c>
      <c r="G734" s="119"/>
      <c r="H734" s="297">
        <f t="shared" ref="H734:H757" si="17">G734+F734</f>
        <v>0</v>
      </c>
    </row>
    <row r="735" spans="1:8" ht="20.25" customHeight="1">
      <c r="A735" s="345">
        <v>3</v>
      </c>
      <c r="B735" s="93"/>
      <c r="C735" s="92"/>
      <c r="D735" s="103"/>
      <c r="E735" s="119"/>
      <c r="F735" s="279">
        <f>E735/G731</f>
        <v>0</v>
      </c>
      <c r="G735" s="119"/>
      <c r="H735" s="297">
        <f t="shared" si="17"/>
        <v>0</v>
      </c>
    </row>
    <row r="736" spans="1:8" ht="20.25" customHeight="1">
      <c r="A736" s="345">
        <v>4</v>
      </c>
      <c r="B736" s="93"/>
      <c r="C736" s="92"/>
      <c r="D736" s="103"/>
      <c r="E736" s="119"/>
      <c r="F736" s="279">
        <f>E736/G731</f>
        <v>0</v>
      </c>
      <c r="G736" s="119"/>
      <c r="H736" s="297">
        <f t="shared" si="17"/>
        <v>0</v>
      </c>
    </row>
    <row r="737" spans="1:8" ht="20.25" customHeight="1">
      <c r="A737" s="345">
        <v>5</v>
      </c>
      <c r="B737" s="93"/>
      <c r="C737" s="92"/>
      <c r="D737" s="103"/>
      <c r="E737" s="119"/>
      <c r="F737" s="279">
        <f>E737/G731</f>
        <v>0</v>
      </c>
      <c r="G737" s="119"/>
      <c r="H737" s="297">
        <f t="shared" si="17"/>
        <v>0</v>
      </c>
    </row>
    <row r="738" spans="1:8" ht="20.25" customHeight="1">
      <c r="A738" s="345">
        <v>6</v>
      </c>
      <c r="B738" s="93"/>
      <c r="C738" s="92"/>
      <c r="D738" s="103"/>
      <c r="E738" s="119"/>
      <c r="F738" s="279">
        <f>E738/G731</f>
        <v>0</v>
      </c>
      <c r="G738" s="119"/>
      <c r="H738" s="297">
        <f t="shared" si="17"/>
        <v>0</v>
      </c>
    </row>
    <row r="739" spans="1:8" ht="20.25" customHeight="1">
      <c r="A739" s="345">
        <v>7</v>
      </c>
      <c r="B739" s="93"/>
      <c r="C739" s="92"/>
      <c r="D739" s="103"/>
      <c r="E739" s="119"/>
      <c r="F739" s="279">
        <f>E739/G731</f>
        <v>0</v>
      </c>
      <c r="G739" s="119"/>
      <c r="H739" s="297">
        <f t="shared" si="17"/>
        <v>0</v>
      </c>
    </row>
    <row r="740" spans="1:8" ht="20.25" customHeight="1">
      <c r="A740" s="345">
        <v>8</v>
      </c>
      <c r="B740" s="93"/>
      <c r="C740" s="92"/>
      <c r="D740" s="103"/>
      <c r="E740" s="119"/>
      <c r="F740" s="279">
        <f>E740/G731</f>
        <v>0</v>
      </c>
      <c r="G740" s="119"/>
      <c r="H740" s="297">
        <f t="shared" si="17"/>
        <v>0</v>
      </c>
    </row>
    <row r="741" spans="1:8" ht="20.25" customHeight="1">
      <c r="A741" s="345">
        <v>9</v>
      </c>
      <c r="B741" s="93"/>
      <c r="C741" s="357"/>
      <c r="D741" s="103"/>
      <c r="E741" s="119"/>
      <c r="F741" s="279">
        <f>E741/G731</f>
        <v>0</v>
      </c>
      <c r="G741" s="119"/>
      <c r="H741" s="297">
        <f t="shared" si="17"/>
        <v>0</v>
      </c>
    </row>
    <row r="742" spans="1:8" ht="20.25" customHeight="1">
      <c r="A742" s="345">
        <v>10</v>
      </c>
      <c r="B742" s="93"/>
      <c r="C742" s="96"/>
      <c r="D742" s="103"/>
      <c r="E742" s="119"/>
      <c r="F742" s="279">
        <f>E742/G731</f>
        <v>0</v>
      </c>
      <c r="G742" s="119"/>
      <c r="H742" s="297">
        <f t="shared" si="17"/>
        <v>0</v>
      </c>
    </row>
    <row r="743" spans="1:8" ht="20.25" customHeight="1">
      <c r="A743" s="345">
        <v>11</v>
      </c>
      <c r="B743" s="93"/>
      <c r="C743" s="96"/>
      <c r="D743" s="103"/>
      <c r="E743" s="119"/>
      <c r="F743" s="279">
        <f>E743/G731</f>
        <v>0</v>
      </c>
      <c r="G743" s="119"/>
      <c r="H743" s="297">
        <f t="shared" si="17"/>
        <v>0</v>
      </c>
    </row>
    <row r="744" spans="1:8" ht="20.25" customHeight="1">
      <c r="A744" s="345">
        <v>12</v>
      </c>
      <c r="B744" s="93"/>
      <c r="C744" s="95"/>
      <c r="D744" s="103"/>
      <c r="E744" s="119"/>
      <c r="F744" s="279">
        <f>E744/G731</f>
        <v>0</v>
      </c>
      <c r="G744" s="119"/>
      <c r="H744" s="297">
        <f t="shared" si="17"/>
        <v>0</v>
      </c>
    </row>
    <row r="745" spans="1:8" ht="20.25" customHeight="1">
      <c r="A745" s="345">
        <v>13</v>
      </c>
      <c r="B745" s="93"/>
      <c r="C745" s="95"/>
      <c r="D745" s="103"/>
      <c r="E745" s="119"/>
      <c r="F745" s="279">
        <f>E745/G731</f>
        <v>0</v>
      </c>
      <c r="G745" s="119"/>
      <c r="H745" s="297">
        <f t="shared" si="17"/>
        <v>0</v>
      </c>
    </row>
    <row r="746" spans="1:8" ht="20.25" customHeight="1">
      <c r="A746" s="345">
        <v>14</v>
      </c>
      <c r="B746" s="93"/>
      <c r="C746" s="95"/>
      <c r="D746" s="103"/>
      <c r="E746" s="119"/>
      <c r="F746" s="279">
        <f>E746/G731</f>
        <v>0</v>
      </c>
      <c r="G746" s="119"/>
      <c r="H746" s="297">
        <f t="shared" si="17"/>
        <v>0</v>
      </c>
    </row>
    <row r="747" spans="1:8" ht="20.25" customHeight="1">
      <c r="A747" s="345">
        <v>15</v>
      </c>
      <c r="B747" s="93"/>
      <c r="C747" s="98"/>
      <c r="D747" s="103"/>
      <c r="E747" s="119"/>
      <c r="F747" s="279">
        <f>E747/G731</f>
        <v>0</v>
      </c>
      <c r="G747" s="119"/>
      <c r="H747" s="297">
        <f t="shared" si="17"/>
        <v>0</v>
      </c>
    </row>
    <row r="748" spans="1:8" ht="20.25" customHeight="1">
      <c r="A748" s="345">
        <v>16</v>
      </c>
      <c r="B748" s="93"/>
      <c r="C748" s="98"/>
      <c r="D748" s="103"/>
      <c r="E748" s="119"/>
      <c r="F748" s="279">
        <f>E748/G731</f>
        <v>0</v>
      </c>
      <c r="G748" s="119"/>
      <c r="H748" s="297">
        <f t="shared" si="17"/>
        <v>0</v>
      </c>
    </row>
    <row r="749" spans="1:8" ht="20.25" customHeight="1">
      <c r="A749" s="345">
        <v>17</v>
      </c>
      <c r="B749" s="93"/>
      <c r="C749" s="98"/>
      <c r="D749" s="103"/>
      <c r="E749" s="119"/>
      <c r="F749" s="279">
        <f>E749/G731</f>
        <v>0</v>
      </c>
      <c r="G749" s="119"/>
      <c r="H749" s="297">
        <f t="shared" si="17"/>
        <v>0</v>
      </c>
    </row>
    <row r="750" spans="1:8" ht="20.25" customHeight="1">
      <c r="A750" s="345">
        <v>18</v>
      </c>
      <c r="B750" s="93"/>
      <c r="C750" s="98"/>
      <c r="D750" s="103"/>
      <c r="E750" s="119"/>
      <c r="F750" s="279">
        <f>E750/G731</f>
        <v>0</v>
      </c>
      <c r="G750" s="119"/>
      <c r="H750" s="297">
        <f t="shared" si="17"/>
        <v>0</v>
      </c>
    </row>
    <row r="751" spans="1:8" ht="20.25" customHeight="1">
      <c r="A751" s="345">
        <v>19</v>
      </c>
      <c r="B751" s="93"/>
      <c r="C751" s="98"/>
      <c r="D751" s="103"/>
      <c r="E751" s="119"/>
      <c r="F751" s="279">
        <f>E751/G731</f>
        <v>0</v>
      </c>
      <c r="G751" s="119"/>
      <c r="H751" s="297">
        <f t="shared" si="17"/>
        <v>0</v>
      </c>
    </row>
    <row r="752" spans="1:8" ht="20.25" customHeight="1">
      <c r="A752" s="345">
        <v>20</v>
      </c>
      <c r="B752" s="93"/>
      <c r="C752" s="99"/>
      <c r="D752" s="103"/>
      <c r="E752" s="119"/>
      <c r="F752" s="279">
        <f>E752/G731</f>
        <v>0</v>
      </c>
      <c r="G752" s="119"/>
      <c r="H752" s="297">
        <f t="shared" si="17"/>
        <v>0</v>
      </c>
    </row>
    <row r="753" spans="1:8" ht="20.25" customHeight="1">
      <c r="A753" s="345">
        <v>21</v>
      </c>
      <c r="B753" s="93"/>
      <c r="C753" s="97"/>
      <c r="D753" s="103"/>
      <c r="E753" s="119"/>
      <c r="F753" s="279">
        <f>E753/G731</f>
        <v>0</v>
      </c>
      <c r="G753" s="119"/>
      <c r="H753" s="297">
        <f t="shared" si="17"/>
        <v>0</v>
      </c>
    </row>
    <row r="754" spans="1:8" ht="20.25" customHeight="1">
      <c r="A754" s="345">
        <v>22</v>
      </c>
      <c r="B754" s="93"/>
      <c r="C754" s="94"/>
      <c r="D754" s="103"/>
      <c r="E754" s="119"/>
      <c r="F754" s="279">
        <f>E754/G731</f>
        <v>0</v>
      </c>
      <c r="G754" s="119"/>
      <c r="H754" s="297">
        <f t="shared" si="17"/>
        <v>0</v>
      </c>
    </row>
    <row r="755" spans="1:8" ht="20.25" customHeight="1">
      <c r="A755" s="345">
        <v>23</v>
      </c>
      <c r="B755" s="93"/>
      <c r="C755" s="94"/>
      <c r="D755" s="103"/>
      <c r="E755" s="119"/>
      <c r="F755" s="279">
        <f>E755/G731</f>
        <v>0</v>
      </c>
      <c r="G755" s="119"/>
      <c r="H755" s="297">
        <f t="shared" si="17"/>
        <v>0</v>
      </c>
    </row>
    <row r="756" spans="1:8" ht="20.25" customHeight="1">
      <c r="A756" s="345">
        <v>24</v>
      </c>
      <c r="B756" s="94"/>
      <c r="C756" s="94"/>
      <c r="D756" s="94"/>
      <c r="E756" s="119"/>
      <c r="F756" s="279">
        <f>E756/G731</f>
        <v>0</v>
      </c>
      <c r="G756" s="119"/>
      <c r="H756" s="297">
        <f t="shared" si="17"/>
        <v>0</v>
      </c>
    </row>
    <row r="757" spans="1:8" ht="20.25" customHeight="1">
      <c r="A757" s="345">
        <v>25</v>
      </c>
      <c r="B757" s="94"/>
      <c r="C757" s="94"/>
      <c r="D757" s="94">
        <f>SUM(D733:D756)</f>
        <v>0</v>
      </c>
      <c r="E757" s="119"/>
      <c r="F757" s="279">
        <f>E757/G731</f>
        <v>0</v>
      </c>
      <c r="G757" s="119"/>
      <c r="H757" s="297">
        <f t="shared" si="17"/>
        <v>0</v>
      </c>
    </row>
    <row r="758" spans="1:8" ht="20.25" customHeight="1" thickBot="1">
      <c r="A758" s="448" t="s">
        <v>4</v>
      </c>
      <c r="B758" s="449"/>
      <c r="C758" s="449"/>
      <c r="D758" s="450"/>
      <c r="E758" s="120">
        <f>SUM(E733:E757)</f>
        <v>0</v>
      </c>
      <c r="F758" s="120">
        <f>SUM(F733:F757)</f>
        <v>0</v>
      </c>
      <c r="G758" s="120">
        <f>SUM(G733:G757)</f>
        <v>0</v>
      </c>
      <c r="H758" s="298">
        <f>SUM(H733:H757)</f>
        <v>0</v>
      </c>
    </row>
    <row r="759" spans="1:8" ht="20.25" customHeight="1"/>
    <row r="760" spans="1:8" ht="20.25" customHeight="1">
      <c r="A760" s="451" t="s">
        <v>7</v>
      </c>
      <c r="B760" s="451"/>
      <c r="C760" s="452" t="s">
        <v>274</v>
      </c>
      <c r="D760" s="452"/>
      <c r="E760" s="452" t="s">
        <v>275</v>
      </c>
      <c r="F760" s="452"/>
      <c r="G760" s="452"/>
    </row>
    <row r="762" spans="1:8" ht="13.5" customHeight="1"/>
    <row r="763" spans="1:8" ht="7.5" customHeight="1"/>
    <row r="764" spans="1:8" ht="7.5" customHeight="1"/>
    <row r="765" spans="1:8" ht="7.5" customHeight="1"/>
    <row r="766" spans="1:8" ht="7.5" customHeight="1"/>
    <row r="767" spans="1:8" ht="7.5" customHeight="1"/>
    <row r="768" spans="1:8" ht="7.5" customHeight="1"/>
    <row r="769" spans="1:8" ht="7.5" customHeight="1"/>
    <row r="770" spans="1:8" ht="7.5" customHeight="1"/>
    <row r="771" spans="1:8" ht="7.5" customHeight="1"/>
    <row r="772" spans="1:8" ht="7.5" customHeight="1"/>
    <row r="773" spans="1:8" ht="7.5" customHeight="1"/>
    <row r="774" spans="1:8" ht="7.5" customHeight="1"/>
    <row r="775" spans="1:8" ht="7.5" customHeight="1"/>
    <row r="776" spans="1:8" ht="7.5" customHeight="1"/>
    <row r="777" spans="1:8" ht="7.5" customHeight="1"/>
    <row r="778" spans="1:8" ht="7.5" customHeight="1"/>
    <row r="779" spans="1:8" ht="13.5" customHeight="1"/>
    <row r="781" spans="1:8" ht="20.25" customHeight="1">
      <c r="A781" s="445" t="s">
        <v>262</v>
      </c>
      <c r="B781" s="453"/>
      <c r="C781" s="453"/>
      <c r="D781" s="453"/>
      <c r="E781" s="453"/>
    </row>
    <row r="782" spans="1:8" ht="20.25" customHeight="1">
      <c r="A782" s="445" t="s">
        <v>586</v>
      </c>
      <c r="B782" s="453"/>
      <c r="C782" s="453"/>
      <c r="D782" s="453"/>
      <c r="E782" s="453"/>
      <c r="F782" s="452" t="s">
        <v>408</v>
      </c>
      <c r="G782" s="452"/>
    </row>
    <row r="783" spans="1:8" ht="20.25" customHeight="1" thickBot="1">
      <c r="A783" s="446" t="s">
        <v>444</v>
      </c>
      <c r="B783" s="446"/>
      <c r="C783" s="446"/>
      <c r="D783" s="446"/>
      <c r="E783" s="446"/>
      <c r="F783" s="334" t="s">
        <v>91</v>
      </c>
      <c r="G783" s="402">
        <f>تسعير!E34</f>
        <v>3.7750001532838997</v>
      </c>
    </row>
    <row r="784" spans="1:8" ht="20.25" customHeight="1">
      <c r="A784" s="349" t="s">
        <v>0</v>
      </c>
      <c r="B784" s="20" t="s">
        <v>78</v>
      </c>
      <c r="C784" s="341" t="s">
        <v>77</v>
      </c>
      <c r="D784" s="20" t="s">
        <v>80</v>
      </c>
      <c r="E784" s="20" t="s">
        <v>13</v>
      </c>
      <c r="F784" s="335" t="s">
        <v>83</v>
      </c>
      <c r="G784" s="335" t="s">
        <v>14</v>
      </c>
      <c r="H784" s="336" t="s">
        <v>79</v>
      </c>
    </row>
    <row r="785" spans="1:8" ht="20.25" customHeight="1">
      <c r="A785" s="345">
        <v>1</v>
      </c>
      <c r="B785" s="93"/>
      <c r="C785" s="95"/>
      <c r="D785" s="103"/>
      <c r="E785" s="119"/>
      <c r="F785" s="279">
        <f>E785/G783</f>
        <v>0</v>
      </c>
      <c r="G785" s="119"/>
      <c r="H785" s="297">
        <f>G785+F785</f>
        <v>0</v>
      </c>
    </row>
    <row r="786" spans="1:8" ht="20.25" customHeight="1">
      <c r="A786" s="345">
        <v>2</v>
      </c>
      <c r="B786" s="93"/>
      <c r="C786" s="95"/>
      <c r="D786" s="103"/>
      <c r="E786" s="119"/>
      <c r="F786" s="279">
        <f>E786/G783</f>
        <v>0</v>
      </c>
      <c r="G786" s="119"/>
      <c r="H786" s="297">
        <f t="shared" ref="H786:H809" si="18">G786+F786</f>
        <v>0</v>
      </c>
    </row>
    <row r="787" spans="1:8" ht="20.25" customHeight="1">
      <c r="A787" s="345">
        <v>3</v>
      </c>
      <c r="B787" s="93"/>
      <c r="C787" s="92"/>
      <c r="D787" s="103"/>
      <c r="E787" s="119"/>
      <c r="F787" s="279">
        <f>E787/G783</f>
        <v>0</v>
      </c>
      <c r="G787" s="119"/>
      <c r="H787" s="297">
        <f t="shared" si="18"/>
        <v>0</v>
      </c>
    </row>
    <row r="788" spans="1:8" ht="20.25" customHeight="1">
      <c r="A788" s="345">
        <v>4</v>
      </c>
      <c r="B788" s="93"/>
      <c r="C788" s="92"/>
      <c r="D788" s="103"/>
      <c r="E788" s="119"/>
      <c r="F788" s="279">
        <f>E788/G783</f>
        <v>0</v>
      </c>
      <c r="G788" s="119"/>
      <c r="H788" s="297">
        <f t="shared" si="18"/>
        <v>0</v>
      </c>
    </row>
    <row r="789" spans="1:8" ht="20.25" customHeight="1">
      <c r="A789" s="345">
        <v>5</v>
      </c>
      <c r="B789" s="93"/>
      <c r="C789" s="92"/>
      <c r="D789" s="103"/>
      <c r="E789" s="119"/>
      <c r="F789" s="279">
        <f>E789/G783</f>
        <v>0</v>
      </c>
      <c r="G789" s="119"/>
      <c r="H789" s="297">
        <f t="shared" si="18"/>
        <v>0</v>
      </c>
    </row>
    <row r="790" spans="1:8" ht="20.25" customHeight="1">
      <c r="A790" s="345">
        <v>6</v>
      </c>
      <c r="B790" s="93"/>
      <c r="C790" s="92"/>
      <c r="D790" s="103"/>
      <c r="E790" s="119"/>
      <c r="F790" s="279">
        <f>E790/G783</f>
        <v>0</v>
      </c>
      <c r="G790" s="119"/>
      <c r="H790" s="297">
        <f t="shared" si="18"/>
        <v>0</v>
      </c>
    </row>
    <row r="791" spans="1:8" ht="20.25" customHeight="1">
      <c r="A791" s="345">
        <v>7</v>
      </c>
      <c r="B791" s="93"/>
      <c r="C791" s="92"/>
      <c r="D791" s="103"/>
      <c r="E791" s="119"/>
      <c r="F791" s="279">
        <f>E791/G783</f>
        <v>0</v>
      </c>
      <c r="G791" s="119"/>
      <c r="H791" s="297">
        <f t="shared" si="18"/>
        <v>0</v>
      </c>
    </row>
    <row r="792" spans="1:8" ht="20.25" customHeight="1">
      <c r="A792" s="345">
        <v>8</v>
      </c>
      <c r="B792" s="93"/>
      <c r="C792" s="92"/>
      <c r="D792" s="103"/>
      <c r="E792" s="119"/>
      <c r="F792" s="279">
        <f>E792/G783</f>
        <v>0</v>
      </c>
      <c r="G792" s="119"/>
      <c r="H792" s="297">
        <f t="shared" si="18"/>
        <v>0</v>
      </c>
    </row>
    <row r="793" spans="1:8" ht="20.25" customHeight="1">
      <c r="A793" s="345">
        <v>9</v>
      </c>
      <c r="B793" s="93"/>
      <c r="C793" s="357"/>
      <c r="D793" s="103"/>
      <c r="E793" s="119"/>
      <c r="F793" s="279">
        <f>E793/G783</f>
        <v>0</v>
      </c>
      <c r="G793" s="119"/>
      <c r="H793" s="297">
        <f t="shared" si="18"/>
        <v>0</v>
      </c>
    </row>
    <row r="794" spans="1:8" ht="20.25" customHeight="1">
      <c r="A794" s="345">
        <v>10</v>
      </c>
      <c r="B794" s="93"/>
      <c r="C794" s="96"/>
      <c r="D794" s="103"/>
      <c r="E794" s="119"/>
      <c r="F794" s="279">
        <f>E794/G783</f>
        <v>0</v>
      </c>
      <c r="G794" s="119"/>
      <c r="H794" s="297">
        <f t="shared" si="18"/>
        <v>0</v>
      </c>
    </row>
    <row r="795" spans="1:8" ht="20.25" customHeight="1">
      <c r="A795" s="345">
        <v>11</v>
      </c>
      <c r="B795" s="93"/>
      <c r="C795" s="96"/>
      <c r="D795" s="103"/>
      <c r="E795" s="119"/>
      <c r="F795" s="279">
        <f>E795/G783</f>
        <v>0</v>
      </c>
      <c r="G795" s="119"/>
      <c r="H795" s="297">
        <f t="shared" si="18"/>
        <v>0</v>
      </c>
    </row>
    <row r="796" spans="1:8" ht="20.25" customHeight="1">
      <c r="A796" s="345">
        <v>12</v>
      </c>
      <c r="B796" s="93"/>
      <c r="C796" s="95"/>
      <c r="D796" s="103"/>
      <c r="E796" s="119"/>
      <c r="F796" s="279">
        <f>E796/G783</f>
        <v>0</v>
      </c>
      <c r="G796" s="119"/>
      <c r="H796" s="297">
        <f t="shared" si="18"/>
        <v>0</v>
      </c>
    </row>
    <row r="797" spans="1:8" ht="20.25" customHeight="1">
      <c r="A797" s="345">
        <v>13</v>
      </c>
      <c r="B797" s="93"/>
      <c r="C797" s="95"/>
      <c r="D797" s="103"/>
      <c r="E797" s="119"/>
      <c r="F797" s="279">
        <f>E797/G783</f>
        <v>0</v>
      </c>
      <c r="G797" s="119"/>
      <c r="H797" s="297">
        <f t="shared" si="18"/>
        <v>0</v>
      </c>
    </row>
    <row r="798" spans="1:8" ht="20.25" customHeight="1">
      <c r="A798" s="345">
        <v>14</v>
      </c>
      <c r="B798" s="93"/>
      <c r="C798" s="95"/>
      <c r="D798" s="103"/>
      <c r="E798" s="119"/>
      <c r="F798" s="279">
        <f>E798/G783</f>
        <v>0</v>
      </c>
      <c r="G798" s="119"/>
      <c r="H798" s="297">
        <f t="shared" si="18"/>
        <v>0</v>
      </c>
    </row>
    <row r="799" spans="1:8" ht="20.25" customHeight="1">
      <c r="A799" s="345">
        <v>15</v>
      </c>
      <c r="B799" s="93"/>
      <c r="C799" s="98"/>
      <c r="D799" s="103"/>
      <c r="E799" s="119"/>
      <c r="F799" s="279">
        <f>E799/G783</f>
        <v>0</v>
      </c>
      <c r="G799" s="119"/>
      <c r="H799" s="297">
        <f t="shared" si="18"/>
        <v>0</v>
      </c>
    </row>
    <row r="800" spans="1:8" ht="20.25" customHeight="1">
      <c r="A800" s="345">
        <v>16</v>
      </c>
      <c r="B800" s="93"/>
      <c r="C800" s="98"/>
      <c r="D800" s="103"/>
      <c r="E800" s="119"/>
      <c r="F800" s="279">
        <f>E800/G783</f>
        <v>0</v>
      </c>
      <c r="G800" s="119"/>
      <c r="H800" s="297">
        <f t="shared" si="18"/>
        <v>0</v>
      </c>
    </row>
    <row r="801" spans="1:8" ht="20.25" customHeight="1">
      <c r="A801" s="345">
        <v>17</v>
      </c>
      <c r="B801" s="93"/>
      <c r="C801" s="98"/>
      <c r="D801" s="103"/>
      <c r="E801" s="119"/>
      <c r="F801" s="279">
        <f>E801/G783</f>
        <v>0</v>
      </c>
      <c r="G801" s="119"/>
      <c r="H801" s="297">
        <f t="shared" si="18"/>
        <v>0</v>
      </c>
    </row>
    <row r="802" spans="1:8" ht="20.25" customHeight="1">
      <c r="A802" s="345">
        <v>18</v>
      </c>
      <c r="B802" s="93"/>
      <c r="C802" s="98"/>
      <c r="D802" s="103"/>
      <c r="E802" s="119"/>
      <c r="F802" s="279">
        <f>E802/G783</f>
        <v>0</v>
      </c>
      <c r="G802" s="119"/>
      <c r="H802" s="297">
        <f t="shared" si="18"/>
        <v>0</v>
      </c>
    </row>
    <row r="803" spans="1:8" ht="20.25" customHeight="1">
      <c r="A803" s="345">
        <v>19</v>
      </c>
      <c r="B803" s="93"/>
      <c r="C803" s="98"/>
      <c r="D803" s="103"/>
      <c r="E803" s="119"/>
      <c r="F803" s="279">
        <f>E803/G783</f>
        <v>0</v>
      </c>
      <c r="G803" s="119"/>
      <c r="H803" s="297">
        <f t="shared" si="18"/>
        <v>0</v>
      </c>
    </row>
    <row r="804" spans="1:8" ht="20.25" customHeight="1">
      <c r="A804" s="345">
        <v>20</v>
      </c>
      <c r="B804" s="93"/>
      <c r="C804" s="99"/>
      <c r="D804" s="103"/>
      <c r="E804" s="119"/>
      <c r="F804" s="279">
        <f>E804/G783</f>
        <v>0</v>
      </c>
      <c r="G804" s="119"/>
      <c r="H804" s="297">
        <f t="shared" si="18"/>
        <v>0</v>
      </c>
    </row>
    <row r="805" spans="1:8" ht="20.25" customHeight="1">
      <c r="A805" s="345">
        <v>21</v>
      </c>
      <c r="B805" s="93"/>
      <c r="C805" s="97"/>
      <c r="D805" s="103"/>
      <c r="E805" s="119"/>
      <c r="F805" s="279">
        <f>E805/G783</f>
        <v>0</v>
      </c>
      <c r="G805" s="119"/>
      <c r="H805" s="297">
        <f t="shared" si="18"/>
        <v>0</v>
      </c>
    </row>
    <row r="806" spans="1:8" ht="20.25" customHeight="1">
      <c r="A806" s="345">
        <v>22</v>
      </c>
      <c r="B806" s="93"/>
      <c r="C806" s="94"/>
      <c r="D806" s="103"/>
      <c r="E806" s="119"/>
      <c r="F806" s="279">
        <f>E806/G783</f>
        <v>0</v>
      </c>
      <c r="G806" s="119"/>
      <c r="H806" s="297">
        <f t="shared" si="18"/>
        <v>0</v>
      </c>
    </row>
    <row r="807" spans="1:8" ht="20.25" customHeight="1">
      <c r="A807" s="345">
        <v>23</v>
      </c>
      <c r="B807" s="93"/>
      <c r="C807" s="94"/>
      <c r="D807" s="103"/>
      <c r="E807" s="119"/>
      <c r="F807" s="279">
        <f>E807/G783</f>
        <v>0</v>
      </c>
      <c r="G807" s="119"/>
      <c r="H807" s="297">
        <f t="shared" si="18"/>
        <v>0</v>
      </c>
    </row>
    <row r="808" spans="1:8" ht="20.25" customHeight="1">
      <c r="A808" s="345">
        <v>24</v>
      </c>
      <c r="B808" s="94"/>
      <c r="C808" s="94"/>
      <c r="D808" s="94"/>
      <c r="E808" s="119"/>
      <c r="F808" s="279">
        <f>E808/G783</f>
        <v>0</v>
      </c>
      <c r="G808" s="119"/>
      <c r="H808" s="297">
        <f t="shared" si="18"/>
        <v>0</v>
      </c>
    </row>
    <row r="809" spans="1:8" ht="20.25" customHeight="1">
      <c r="A809" s="345">
        <v>25</v>
      </c>
      <c r="B809" s="94"/>
      <c r="C809" s="94"/>
      <c r="D809" s="94">
        <f>SUM(D785:D808)</f>
        <v>0</v>
      </c>
      <c r="E809" s="119"/>
      <c r="F809" s="279">
        <f>E809/G783</f>
        <v>0</v>
      </c>
      <c r="G809" s="119"/>
      <c r="H809" s="297">
        <f t="shared" si="18"/>
        <v>0</v>
      </c>
    </row>
    <row r="810" spans="1:8" ht="20.25" customHeight="1" thickBot="1">
      <c r="A810" s="448" t="s">
        <v>4</v>
      </c>
      <c r="B810" s="449"/>
      <c r="C810" s="449"/>
      <c r="D810" s="450"/>
      <c r="E810" s="120">
        <f>SUM(E785:E809)</f>
        <v>0</v>
      </c>
      <c r="F810" s="120">
        <f>SUM(F785:F809)</f>
        <v>0</v>
      </c>
      <c r="G810" s="120">
        <f>SUM(G785:G809)</f>
        <v>0</v>
      </c>
      <c r="H810" s="298">
        <f>SUM(H785:H809)</f>
        <v>0</v>
      </c>
    </row>
    <row r="811" spans="1:8" ht="20.25" customHeight="1"/>
    <row r="812" spans="1:8" ht="20.25" customHeight="1">
      <c r="A812" s="451" t="s">
        <v>7</v>
      </c>
      <c r="B812" s="451"/>
      <c r="C812" s="452" t="s">
        <v>274</v>
      </c>
      <c r="D812" s="452"/>
      <c r="E812" s="452" t="s">
        <v>275</v>
      </c>
      <c r="F812" s="452"/>
      <c r="G812" s="452"/>
    </row>
  </sheetData>
  <mergeCells count="163">
    <mergeCell ref="A812:B812"/>
    <mergeCell ref="C812:D812"/>
    <mergeCell ref="E812:G812"/>
    <mergeCell ref="A781:E781"/>
    <mergeCell ref="A782:E782"/>
    <mergeCell ref="F782:G782"/>
    <mergeCell ref="A783:E783"/>
    <mergeCell ref="A810:D810"/>
    <mergeCell ref="A731:E731"/>
    <mergeCell ref="A758:D758"/>
    <mergeCell ref="A760:B760"/>
    <mergeCell ref="C760:D760"/>
    <mergeCell ref="E760:G760"/>
    <mergeCell ref="A708:B708"/>
    <mergeCell ref="C708:D708"/>
    <mergeCell ref="E708:G708"/>
    <mergeCell ref="A729:E729"/>
    <mergeCell ref="A730:E730"/>
    <mergeCell ref="F730:G730"/>
    <mergeCell ref="A677:E677"/>
    <mergeCell ref="A678:E678"/>
    <mergeCell ref="F678:G678"/>
    <mergeCell ref="A679:E679"/>
    <mergeCell ref="A706:D706"/>
    <mergeCell ref="A628:E628"/>
    <mergeCell ref="A655:D655"/>
    <mergeCell ref="A657:B657"/>
    <mergeCell ref="C657:D657"/>
    <mergeCell ref="E657:G657"/>
    <mergeCell ref="A605:B605"/>
    <mergeCell ref="C605:D605"/>
    <mergeCell ref="E605:G605"/>
    <mergeCell ref="A626:E626"/>
    <mergeCell ref="A627:E627"/>
    <mergeCell ref="F627:G627"/>
    <mergeCell ref="A574:E574"/>
    <mergeCell ref="A575:E575"/>
    <mergeCell ref="F575:G575"/>
    <mergeCell ref="A576:E576"/>
    <mergeCell ref="A603:D603"/>
    <mergeCell ref="A524:E524"/>
    <mergeCell ref="A551:D551"/>
    <mergeCell ref="A553:B553"/>
    <mergeCell ref="C553:D553"/>
    <mergeCell ref="E553:G553"/>
    <mergeCell ref="A501:B501"/>
    <mergeCell ref="C501:D501"/>
    <mergeCell ref="E501:G501"/>
    <mergeCell ref="A522:E522"/>
    <mergeCell ref="A523:E523"/>
    <mergeCell ref="F523:G523"/>
    <mergeCell ref="A470:E470"/>
    <mergeCell ref="A471:E471"/>
    <mergeCell ref="F471:G471"/>
    <mergeCell ref="A472:E472"/>
    <mergeCell ref="A499:D499"/>
    <mergeCell ref="A418:E418"/>
    <mergeCell ref="F418:G418"/>
    <mergeCell ref="A419:E419"/>
    <mergeCell ref="A446:D446"/>
    <mergeCell ref="A448:B448"/>
    <mergeCell ref="C448:D448"/>
    <mergeCell ref="E448:G448"/>
    <mergeCell ref="J16:O16"/>
    <mergeCell ref="J17:O17"/>
    <mergeCell ref="J18:O18"/>
    <mergeCell ref="J19:O19"/>
    <mergeCell ref="A417:E417"/>
    <mergeCell ref="A410:B410"/>
    <mergeCell ref="C410:D410"/>
    <mergeCell ref="E410:G410"/>
    <mergeCell ref="E326:G326"/>
    <mergeCell ref="F296:G296"/>
    <mergeCell ref="A253:E253"/>
    <mergeCell ref="A254:E254"/>
    <mergeCell ref="A255:E255"/>
    <mergeCell ref="A282:D282"/>
    <mergeCell ref="A284:B284"/>
    <mergeCell ref="C284:D284"/>
    <mergeCell ref="E284:G284"/>
    <mergeCell ref="J11:O11"/>
    <mergeCell ref="J12:O12"/>
    <mergeCell ref="J13:O13"/>
    <mergeCell ref="J14:O14"/>
    <mergeCell ref="J15:O15"/>
    <mergeCell ref="A379:E379"/>
    <mergeCell ref="A380:E380"/>
    <mergeCell ref="A381:E381"/>
    <mergeCell ref="A408:D408"/>
    <mergeCell ref="F380:G380"/>
    <mergeCell ref="A337:E337"/>
    <mergeCell ref="A338:E338"/>
    <mergeCell ref="A339:E339"/>
    <mergeCell ref="A366:D366"/>
    <mergeCell ref="A368:B368"/>
    <mergeCell ref="C368:D368"/>
    <mergeCell ref="E368:G368"/>
    <mergeCell ref="F338:G338"/>
    <mergeCell ref="A295:E295"/>
    <mergeCell ref="A296:E296"/>
    <mergeCell ref="A297:E297"/>
    <mergeCell ref="A324:D324"/>
    <mergeCell ref="A326:B326"/>
    <mergeCell ref="C326:D326"/>
    <mergeCell ref="F254:G254"/>
    <mergeCell ref="A211:E211"/>
    <mergeCell ref="A212:E212"/>
    <mergeCell ref="A213:E213"/>
    <mergeCell ref="A240:D240"/>
    <mergeCell ref="A242:B242"/>
    <mergeCell ref="C242:D242"/>
    <mergeCell ref="E242:G242"/>
    <mergeCell ref="F212:G212"/>
    <mergeCell ref="A169:E169"/>
    <mergeCell ref="A170:E170"/>
    <mergeCell ref="A171:E171"/>
    <mergeCell ref="A198:D198"/>
    <mergeCell ref="A200:B200"/>
    <mergeCell ref="C200:D200"/>
    <mergeCell ref="E200:G200"/>
    <mergeCell ref="F170:G170"/>
    <mergeCell ref="A127:E127"/>
    <mergeCell ref="A128:E128"/>
    <mergeCell ref="A129:E129"/>
    <mergeCell ref="A156:D156"/>
    <mergeCell ref="A158:B158"/>
    <mergeCell ref="C158:D158"/>
    <mergeCell ref="E158:G158"/>
    <mergeCell ref="F128:G128"/>
    <mergeCell ref="A45:E45"/>
    <mergeCell ref="A72:D72"/>
    <mergeCell ref="A87:E87"/>
    <mergeCell ref="A114:D114"/>
    <mergeCell ref="A116:B116"/>
    <mergeCell ref="C116:D116"/>
    <mergeCell ref="E116:G116"/>
    <mergeCell ref="A85:E85"/>
    <mergeCell ref="A86:E86"/>
    <mergeCell ref="A74:B74"/>
    <mergeCell ref="C74:D74"/>
    <mergeCell ref="E74:G74"/>
    <mergeCell ref="F86:G86"/>
    <mergeCell ref="A32:B32"/>
    <mergeCell ref="C32:D32"/>
    <mergeCell ref="E32:G32"/>
    <mergeCell ref="A43:E43"/>
    <mergeCell ref="A44:E44"/>
    <mergeCell ref="F44:G44"/>
    <mergeCell ref="A1:E1"/>
    <mergeCell ref="A2:E2"/>
    <mergeCell ref="A3:E3"/>
    <mergeCell ref="A30:D30"/>
    <mergeCell ref="F2:G2"/>
    <mergeCell ref="J1:M1"/>
    <mergeCell ref="J7:N7"/>
    <mergeCell ref="J9:N9"/>
    <mergeCell ref="J10:N10"/>
    <mergeCell ref="J2:N2"/>
    <mergeCell ref="J3:M3"/>
    <mergeCell ref="J4:M4"/>
    <mergeCell ref="J5:N5"/>
    <mergeCell ref="J6:M6"/>
    <mergeCell ref="J8:O8"/>
  </mergeCells>
  <hyperlinks>
    <hyperlink ref="J1:L1" location="'ريز فرهنگي'!A1" display="برگزاري جشن نوروز"/>
    <hyperlink ref="A3:E3" location="'ريز فرهنگي'!A1" display="هزينه فرهنگي: برگزاري جشن نوروز"/>
    <hyperlink ref="J2:L2" location="'ريز فرهنگي'!A45" display="برگزاري مراسم ارتحال امام"/>
    <hyperlink ref="A45:E45" location="'ريز فرهنگي'!A1" display="هزينه فرهنگي: برگزاري مراسم ارتحال امام"/>
    <hyperlink ref="A87:E87" location="'ريز فرهنگي'!A1" display="هزينه فرهنگي سه:"/>
    <hyperlink ref="A129:E129" location="'ريز فرهنگي'!A1" display="هزينه فرهنگي: برگزاري مراسم ارتحال امام"/>
    <hyperlink ref="A171:E171" location="'ريز فرهنگي'!A1" display="هزينه فرهنگي: برگزاري مراسم ارتحال امام"/>
    <hyperlink ref="A213:E213" location="'ريز فرهنگي'!A1" display="هزينه فرهنگي: برگزاري مراسم ارتحال امام"/>
    <hyperlink ref="A255:E255" location="'ريز فرهنگي'!A1" display="هزينه فرهنگي: برگزاري مراسم ارتحال امام"/>
    <hyperlink ref="A297:E297" location="'ريز فرهنگي'!A1" display="هزينه فرهنگي: برگزاري مراسم ارتحال امام"/>
    <hyperlink ref="A339:E339" location="'ريز فرهنگي'!A1" display="هزينه فرهنگي: برگزاري مراسم ارتحال امام"/>
    <hyperlink ref="A381:E381" location="'ريز فرهنگي'!A1" display="هزينه فرهنگي: برگزاري مراسم ارتحال امام"/>
    <hyperlink ref="J3:L3" location="'ريز فرهنگي'!A87" display="هزينه سه:"/>
    <hyperlink ref="J4:L4" location="'ريز فرهنگي'!A129" display="هزينه چهار:"/>
    <hyperlink ref="J6:L6" location="'ريز فرهنگي'!A213" display="هزينه شش:"/>
    <hyperlink ref="J7:L7" location="'ريز فرهنگي'!A255" display="هزينه هفت:"/>
    <hyperlink ref="J9:L9" location="'ريز فرهنگي'!A339" display="هزينه نه:"/>
    <hyperlink ref="J10:L10" location="'ريز فرهنگي'!A381" display="هزينه ده:"/>
    <hyperlink ref="J5:N5" location="'ريز فرهنگي'!A171" display="هزينه فرهنگي پنج: اجرای برنامه های مبادلات فرهنگی"/>
    <hyperlink ref="J8:O8" location="'ريز فرهنگي'!A297" display="هزینه هشت: ترجمه و چاپ کتاب آموزش زبان فارسی اول به ترکمنی"/>
    <hyperlink ref="A419:E419" location="'ريز فرهنگي'!A1" display="هزينه فرهنگي: برگزاري مراسم ارتحال امام"/>
    <hyperlink ref="A472:E472" location="'ريز فرهنگي'!A1" display="هزينه فرهنگي: برگزاري مراسم ارتحال امام"/>
    <hyperlink ref="A524:E524" location="'ريز فرهنگي'!A1" display="هزينه فرهنگي: برگزاري مراسم ارتحال امام"/>
    <hyperlink ref="A576:E576" location="'ريز فرهنگي'!A1" display="هزينه فرهنگي: برگزاري مراسم ارتحال امام"/>
    <hyperlink ref="A628:E628" location="'ريز فرهنگي'!A1" display="هزينه فرهنگي: برگزاري مراسم ارتحال امام"/>
    <hyperlink ref="A679:E679" location="'ريز فرهنگي'!A1" display="هزينه فرهنگي: برگزاري مراسم ارتحال امام"/>
    <hyperlink ref="A731:E731" location="'ريز فرهنگي'!A1" display="هزينه فرهنگي: برگزاري مراسم ارتحال امام"/>
    <hyperlink ref="A783:E783" location="'ريز فرهنگي'!A1" display="هزينه فرهنگي: برگزاري مراسم ارتحال امام"/>
    <hyperlink ref="J18:O18" location="'ريز فرهنگي'!A783" display="هزینه18: "/>
    <hyperlink ref="J17:O17" location="'ريز فرهنگي'!A731" display="هزینه17: "/>
    <hyperlink ref="J16:O16" location="'ريز فرهنگي'!A679" display="هزینه16: "/>
    <hyperlink ref="J14:O14" location="'ريز فرهنگي'!A576" display="هزینه14: "/>
    <hyperlink ref="J13:O13" location="'ريز فرهنگي'!A524" display="هزینه13: "/>
    <hyperlink ref="J12:O12" location="'ريز فرهنگي'!A472" display="هزینه12: "/>
    <hyperlink ref="J11:O11" location="'ريز فرهنگي'!A419" display="هزینه11: "/>
    <hyperlink ref="J15:O15" location="'ريز فرهنگي'!A628" display="هزینه:15 برگزاری 3 اردوی علمی آموزشی فارسی آموزان"/>
  </hyperlinks>
  <pageMargins left="0.39370078740157483" right="0.59055118110236227" top="0.39370078740157483" bottom="0.3937007874015748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sheetPr>
    <tabColor rgb="FF92D050"/>
  </sheetPr>
  <dimension ref="A1:H23"/>
  <sheetViews>
    <sheetView rightToLeft="1" topLeftCell="A16" zoomScale="110" zoomScaleNormal="110" workbookViewId="0">
      <selection activeCell="C16" sqref="C16"/>
    </sheetView>
  </sheetViews>
  <sheetFormatPr defaultRowHeight="15"/>
  <cols>
    <col min="1" max="1" width="3.7109375" customWidth="1"/>
    <col min="2" max="7" width="11.85546875" customWidth="1"/>
    <col min="8" max="8" width="17.7109375" customWidth="1"/>
    <col min="9" max="10" width="7.7109375" customWidth="1"/>
    <col min="11" max="11" width="10.7109375" customWidth="1"/>
    <col min="12" max="12" width="15.42578125" customWidth="1"/>
  </cols>
  <sheetData>
    <row r="1" spans="1:8" ht="24" customHeight="1">
      <c r="A1" s="463" t="s">
        <v>363</v>
      </c>
      <c r="B1" s="464"/>
      <c r="C1" s="464"/>
      <c r="D1" s="465"/>
    </row>
    <row r="2" spans="1:8" ht="24" customHeight="1">
      <c r="A2" s="463" t="s">
        <v>323</v>
      </c>
      <c r="B2" s="466"/>
      <c r="C2" s="466"/>
    </row>
    <row r="3" spans="1:8" ht="18.75" customHeight="1">
      <c r="A3" s="463" t="s">
        <v>451</v>
      </c>
      <c r="B3" s="466"/>
      <c r="C3" s="466"/>
      <c r="D3" s="465"/>
      <c r="G3" s="332" t="s">
        <v>362</v>
      </c>
    </row>
    <row r="4" spans="1:8" ht="15.75" thickBot="1"/>
    <row r="5" spans="1:8" ht="30" customHeight="1">
      <c r="A5" s="263" t="s">
        <v>122</v>
      </c>
      <c r="B5" s="264" t="s">
        <v>123</v>
      </c>
      <c r="C5" s="264" t="s">
        <v>332</v>
      </c>
      <c r="D5" s="260" t="s">
        <v>333</v>
      </c>
      <c r="E5" s="331" t="s">
        <v>361</v>
      </c>
      <c r="F5" s="260" t="s">
        <v>334</v>
      </c>
      <c r="G5" s="260"/>
      <c r="H5" s="261" t="s">
        <v>126</v>
      </c>
    </row>
    <row r="6" spans="1:8" ht="27" customHeight="1">
      <c r="A6" s="262">
        <v>1</v>
      </c>
      <c r="B6" s="265" t="s">
        <v>335</v>
      </c>
      <c r="C6" s="328"/>
      <c r="D6" s="328"/>
      <c r="E6" s="329"/>
      <c r="F6" s="328">
        <v>8898</v>
      </c>
      <c r="G6" s="328"/>
      <c r="H6" s="258"/>
    </row>
    <row r="7" spans="1:8" ht="27" customHeight="1">
      <c r="A7" s="262">
        <v>2</v>
      </c>
      <c r="B7" s="265" t="s">
        <v>336</v>
      </c>
      <c r="C7" s="328"/>
      <c r="D7" s="328"/>
      <c r="E7" s="329"/>
      <c r="F7" s="328">
        <v>2966</v>
      </c>
      <c r="G7" s="328"/>
      <c r="H7" s="258"/>
    </row>
    <row r="8" spans="1:8" ht="27" customHeight="1">
      <c r="A8" s="262">
        <v>3</v>
      </c>
      <c r="B8" s="265" t="s">
        <v>337</v>
      </c>
      <c r="C8" s="328">
        <v>14082</v>
      </c>
      <c r="D8" s="328">
        <v>7800</v>
      </c>
      <c r="E8" s="329"/>
      <c r="F8" s="328"/>
      <c r="G8" s="328"/>
      <c r="H8" s="258"/>
    </row>
    <row r="9" spans="1:8" ht="27" customHeight="1">
      <c r="A9" s="262">
        <v>4</v>
      </c>
      <c r="B9" s="265" t="s">
        <v>324</v>
      </c>
      <c r="C9" s="328"/>
      <c r="D9" s="328"/>
      <c r="E9" s="329"/>
      <c r="F9" s="328"/>
      <c r="G9" s="328"/>
      <c r="H9" s="258"/>
    </row>
    <row r="10" spans="1:8" ht="27" customHeight="1">
      <c r="A10" s="262">
        <v>5</v>
      </c>
      <c r="B10" s="265" t="s">
        <v>325</v>
      </c>
      <c r="C10" s="328"/>
      <c r="D10" s="328">
        <v>5200</v>
      </c>
      <c r="E10" s="329"/>
      <c r="F10" s="328"/>
      <c r="G10" s="328"/>
      <c r="H10" s="258"/>
    </row>
    <row r="11" spans="1:8" ht="27" customHeight="1">
      <c r="A11" s="262">
        <v>6</v>
      </c>
      <c r="B11" s="265" t="s">
        <v>326</v>
      </c>
      <c r="C11" s="328"/>
      <c r="D11" s="328">
        <v>2600</v>
      </c>
      <c r="E11" s="329"/>
      <c r="F11" s="328"/>
      <c r="G11" s="328"/>
      <c r="H11" s="258"/>
    </row>
    <row r="12" spans="1:8" ht="27" customHeight="1">
      <c r="A12" s="262">
        <v>7</v>
      </c>
      <c r="B12" s="265" t="s">
        <v>327</v>
      </c>
      <c r="C12" s="328"/>
      <c r="D12" s="328"/>
      <c r="E12" s="329"/>
      <c r="F12" s="328"/>
      <c r="G12" s="328"/>
      <c r="H12" s="258"/>
    </row>
    <row r="13" spans="1:8" ht="27" customHeight="1">
      <c r="A13" s="262">
        <v>8</v>
      </c>
      <c r="B13" s="265" t="s">
        <v>328</v>
      </c>
      <c r="C13" s="328"/>
      <c r="D13" s="280"/>
      <c r="E13" s="329"/>
      <c r="F13" s="328"/>
      <c r="G13" s="328"/>
      <c r="H13" s="258"/>
    </row>
    <row r="14" spans="1:8" ht="27" customHeight="1">
      <c r="A14" s="262">
        <v>9</v>
      </c>
      <c r="B14" s="265" t="s">
        <v>338</v>
      </c>
      <c r="C14" s="328"/>
      <c r="D14" s="328">
        <v>7800</v>
      </c>
      <c r="E14" s="329"/>
      <c r="F14" s="328"/>
      <c r="G14" s="328"/>
      <c r="H14" s="258"/>
    </row>
    <row r="15" spans="1:8" ht="27" customHeight="1">
      <c r="A15" s="262">
        <v>10</v>
      </c>
      <c r="B15" s="265" t="s">
        <v>329</v>
      </c>
      <c r="C15" s="328"/>
      <c r="D15" s="328">
        <v>2600</v>
      </c>
      <c r="E15" s="329"/>
      <c r="F15" s="328"/>
      <c r="G15" s="328"/>
      <c r="H15" s="258"/>
    </row>
    <row r="16" spans="1:8" ht="27" customHeight="1">
      <c r="A16" s="262">
        <v>11</v>
      </c>
      <c r="B16" s="265" t="s">
        <v>330</v>
      </c>
      <c r="C16" s="328"/>
      <c r="D16" s="328">
        <v>2417</v>
      </c>
      <c r="E16" s="329"/>
      <c r="F16" s="328"/>
      <c r="G16" s="328"/>
      <c r="H16" s="258"/>
    </row>
    <row r="17" spans="1:8" ht="27" customHeight="1">
      <c r="A17" s="262">
        <v>12</v>
      </c>
      <c r="B17" s="265" t="s">
        <v>331</v>
      </c>
      <c r="C17" s="328"/>
      <c r="D17" s="328"/>
      <c r="E17" s="329"/>
      <c r="F17" s="328"/>
      <c r="G17" s="328"/>
      <c r="H17" s="258"/>
    </row>
    <row r="18" spans="1:8" ht="30" customHeight="1" thickBot="1">
      <c r="A18" s="468" t="s">
        <v>344</v>
      </c>
      <c r="B18" s="469"/>
      <c r="C18" s="330">
        <f>SUM(C6:C17)</f>
        <v>14082</v>
      </c>
      <c r="D18" s="330">
        <f>SUM(D6:D17)</f>
        <v>28417</v>
      </c>
      <c r="E18" s="330">
        <f>SUM(E6:E17)</f>
        <v>0</v>
      </c>
      <c r="F18" s="330">
        <f>SUM(F6:F17)</f>
        <v>11864</v>
      </c>
      <c r="G18" s="330">
        <f>SUM(G6:G17)</f>
        <v>0</v>
      </c>
      <c r="H18" s="259"/>
    </row>
    <row r="19" spans="1:8" ht="27" customHeight="1" thickBot="1">
      <c r="A19" s="470" t="s">
        <v>340</v>
      </c>
      <c r="B19" s="471"/>
      <c r="C19" s="472">
        <f>G18+F18+E18+D18+C18</f>
        <v>54363</v>
      </c>
      <c r="D19" s="473"/>
      <c r="E19" s="473"/>
      <c r="F19" s="473"/>
      <c r="G19" s="473"/>
      <c r="H19" s="474"/>
    </row>
    <row r="22" spans="1:8">
      <c r="B22" s="467" t="s">
        <v>343</v>
      </c>
      <c r="C22" s="467"/>
      <c r="F22" s="467" t="s">
        <v>341</v>
      </c>
      <c r="G22" s="467"/>
      <c r="H22" s="467"/>
    </row>
    <row r="23" spans="1:8">
      <c r="F23" s="467" t="s">
        <v>342</v>
      </c>
      <c r="G23" s="467"/>
      <c r="H23" s="3"/>
    </row>
  </sheetData>
  <mergeCells count="9">
    <mergeCell ref="A1:D1"/>
    <mergeCell ref="A2:C2"/>
    <mergeCell ref="B22:C22"/>
    <mergeCell ref="F23:G23"/>
    <mergeCell ref="A18:B18"/>
    <mergeCell ref="A19:B19"/>
    <mergeCell ref="C19:H19"/>
    <mergeCell ref="F22:H22"/>
    <mergeCell ref="A3:D3"/>
  </mergeCells>
  <pageMargins left="0.37" right="0.41" top="0.54"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sheetPr>
    <tabColor rgb="FF92D050"/>
  </sheetPr>
  <dimension ref="A1:F92"/>
  <sheetViews>
    <sheetView rightToLeft="1" topLeftCell="A27" zoomScale="110" zoomScaleNormal="110" workbookViewId="0">
      <selection activeCell="E35" sqref="E35"/>
    </sheetView>
  </sheetViews>
  <sheetFormatPr defaultRowHeight="15.75"/>
  <cols>
    <col min="1" max="1" width="4.7109375" style="368" customWidth="1"/>
    <col min="2" max="2" width="13.7109375" style="368" customWidth="1"/>
    <col min="3" max="3" width="36.140625" style="368" customWidth="1"/>
    <col min="4" max="6" width="13.7109375" style="368" customWidth="1"/>
    <col min="7" max="16384" width="9.140625" style="368"/>
  </cols>
  <sheetData>
    <row r="1" spans="1:6">
      <c r="A1" s="475" t="s">
        <v>446</v>
      </c>
      <c r="B1" s="476"/>
      <c r="C1" s="476"/>
      <c r="D1" s="476"/>
      <c r="E1" s="360"/>
      <c r="F1" s="360"/>
    </row>
    <row r="2" spans="1:6">
      <c r="A2" s="475" t="s">
        <v>586</v>
      </c>
      <c r="B2" s="476"/>
      <c r="C2" s="476"/>
      <c r="D2" s="476"/>
      <c r="E2" s="360"/>
      <c r="F2" s="360"/>
    </row>
    <row r="3" spans="1:6" ht="17.25" customHeight="1" thickBot="1">
      <c r="A3" s="339"/>
      <c r="B3" s="339"/>
      <c r="C3" s="339"/>
      <c r="D3" s="369" t="s">
        <v>134</v>
      </c>
      <c r="E3" s="399">
        <f>تسعير!E34</f>
        <v>3.7750001532838997</v>
      </c>
      <c r="F3" s="360"/>
    </row>
    <row r="4" spans="1:6" ht="16.5" customHeight="1">
      <c r="A4" s="19" t="s">
        <v>0</v>
      </c>
      <c r="B4" s="20" t="s">
        <v>11</v>
      </c>
      <c r="C4" s="20" t="s">
        <v>12</v>
      </c>
      <c r="D4" s="20" t="s">
        <v>13</v>
      </c>
      <c r="E4" s="20" t="s">
        <v>14</v>
      </c>
      <c r="F4" s="21" t="s">
        <v>15</v>
      </c>
    </row>
    <row r="5" spans="1:6" ht="20.25" customHeight="1">
      <c r="A5" s="358">
        <v>1</v>
      </c>
      <c r="B5" s="94"/>
      <c r="C5" s="370" t="s">
        <v>93</v>
      </c>
      <c r="D5" s="279">
        <f>'ريز جاري'!E30</f>
        <v>0</v>
      </c>
      <c r="E5" s="279">
        <f>'ريز جاري'!G30</f>
        <v>0</v>
      </c>
      <c r="F5" s="297">
        <f>D5/تسعير!E34+E5</f>
        <v>0</v>
      </c>
    </row>
    <row r="6" spans="1:6" ht="43.5" customHeight="1">
      <c r="A6" s="358">
        <v>2</v>
      </c>
      <c r="B6" s="316" t="s">
        <v>544</v>
      </c>
      <c r="C6" s="370" t="s">
        <v>265</v>
      </c>
      <c r="D6" s="279">
        <f>'ريز جاري'!E72</f>
        <v>0</v>
      </c>
      <c r="E6" s="279">
        <f>'ريز جاري'!G72</f>
        <v>19591</v>
      </c>
      <c r="F6" s="297">
        <f>D6/تسعير!E34+E6</f>
        <v>19591</v>
      </c>
    </row>
    <row r="7" spans="1:6" ht="20.25" customHeight="1">
      <c r="A7" s="358">
        <v>3</v>
      </c>
      <c r="B7" s="94">
        <v>9213214156</v>
      </c>
      <c r="C7" s="370" t="s">
        <v>267</v>
      </c>
      <c r="D7" s="279">
        <f>'ريز جاري'!E156</f>
        <v>2109</v>
      </c>
      <c r="E7" s="279">
        <f>'ريز جاري'!G156</f>
        <v>0</v>
      </c>
      <c r="F7" s="110">
        <f>D7/تسعير!E34+E7</f>
        <v>558.67547400372041</v>
      </c>
    </row>
    <row r="8" spans="1:6" ht="20.25" customHeight="1">
      <c r="A8" s="358">
        <v>4</v>
      </c>
      <c r="B8" s="94">
        <v>9213214155</v>
      </c>
      <c r="C8" s="370" t="s">
        <v>268</v>
      </c>
      <c r="D8" s="109">
        <f>'ريز جاري'!E198</f>
        <v>3535.5</v>
      </c>
      <c r="E8" s="279">
        <f>'ريز جاري'!G198</f>
        <v>0</v>
      </c>
      <c r="F8" s="110">
        <f>D8/تسعير!E34+E8</f>
        <v>936.55625336185562</v>
      </c>
    </row>
    <row r="9" spans="1:6" ht="20.25" customHeight="1">
      <c r="A9" s="358">
        <v>5</v>
      </c>
      <c r="B9" s="94">
        <v>9213214154</v>
      </c>
      <c r="C9" s="370" t="s">
        <v>86</v>
      </c>
      <c r="D9" s="279">
        <f>'ريز جاري'!E240</f>
        <v>1384</v>
      </c>
      <c r="E9" s="279">
        <f>'ريز جاري'!G240</f>
        <v>0</v>
      </c>
      <c r="F9" s="110">
        <f>D9/تسعير!E34+E9</f>
        <v>366.62250166958233</v>
      </c>
    </row>
    <row r="10" spans="1:6" ht="20.25" customHeight="1">
      <c r="A10" s="358">
        <v>6</v>
      </c>
      <c r="B10" s="94">
        <v>9213214160</v>
      </c>
      <c r="C10" s="370" t="s">
        <v>87</v>
      </c>
      <c r="D10" s="279">
        <f>'ريز جاري'!E282</f>
        <v>3823</v>
      </c>
      <c r="E10" s="279">
        <f>'ريز جاري'!G282</f>
        <v>0</v>
      </c>
      <c r="F10" s="110">
        <f>D10/تسعير!E34+E10</f>
        <v>1012.7151906667725</v>
      </c>
    </row>
    <row r="11" spans="1:6" ht="20.25" customHeight="1">
      <c r="A11" s="358">
        <v>7</v>
      </c>
      <c r="B11" s="94">
        <v>9213214157</v>
      </c>
      <c r="C11" s="370" t="s">
        <v>94</v>
      </c>
      <c r="D11" s="279">
        <f>'ريز جاري'!E324</f>
        <v>19129</v>
      </c>
      <c r="E11" s="279">
        <f>'ريز جاري'!G324</f>
        <v>0</v>
      </c>
      <c r="F11" s="110">
        <f>D11/تسعير!E34+E11</f>
        <v>5067.2845624547981</v>
      </c>
    </row>
    <row r="12" spans="1:6" ht="20.25" customHeight="1">
      <c r="A12" s="358">
        <v>8</v>
      </c>
      <c r="B12" s="94"/>
      <c r="C12" s="370" t="s">
        <v>269</v>
      </c>
      <c r="D12" s="279">
        <f>'ريز جاري'!E366</f>
        <v>0</v>
      </c>
      <c r="E12" s="279">
        <f>'ريز جاري'!G366</f>
        <v>0</v>
      </c>
      <c r="F12" s="110">
        <f>D12/تسعير!E34+E12</f>
        <v>0</v>
      </c>
    </row>
    <row r="13" spans="1:6" ht="20.25" customHeight="1">
      <c r="A13" s="358">
        <v>9</v>
      </c>
      <c r="B13" s="94">
        <v>921321415</v>
      </c>
      <c r="C13" s="370" t="s">
        <v>89</v>
      </c>
      <c r="D13" s="279">
        <f>'ريز جاري'!E408</f>
        <v>278</v>
      </c>
      <c r="E13" s="279">
        <f>'ريز جاري'!G408</f>
        <v>0</v>
      </c>
      <c r="F13" s="110">
        <f>D13/تسعير!E34+E13</f>
        <v>73.642381115710904</v>
      </c>
    </row>
    <row r="14" spans="1:6" ht="20.25" customHeight="1">
      <c r="A14" s="358">
        <v>10</v>
      </c>
      <c r="B14" s="94"/>
      <c r="C14" s="370" t="s">
        <v>16</v>
      </c>
      <c r="D14" s="279">
        <f>'ريز جاري'!E450</f>
        <v>0</v>
      </c>
      <c r="E14" s="279">
        <f>'ريز جاري'!G450</f>
        <v>0</v>
      </c>
      <c r="F14" s="297">
        <f>D14/تسعير!E34+E14</f>
        <v>0</v>
      </c>
    </row>
    <row r="15" spans="1:6" ht="20.25" customHeight="1">
      <c r="A15" s="358">
        <v>11</v>
      </c>
      <c r="B15" s="94">
        <v>9213214152</v>
      </c>
      <c r="C15" s="370" t="s">
        <v>90</v>
      </c>
      <c r="D15" s="279">
        <f>'ريز جاري'!E492</f>
        <v>1361</v>
      </c>
      <c r="E15" s="279">
        <f>'ريز جاري'!G492</f>
        <v>0</v>
      </c>
      <c r="F15" s="110">
        <f>D15/تسعير!E34+E15</f>
        <v>360.52978668518898</v>
      </c>
    </row>
    <row r="16" spans="1:6" ht="20.25" customHeight="1">
      <c r="A16" s="358">
        <v>12</v>
      </c>
      <c r="B16" s="94">
        <v>9213214159</v>
      </c>
      <c r="C16" s="370" t="s">
        <v>266</v>
      </c>
      <c r="D16" s="109">
        <f>'ريز جاري'!E114</f>
        <v>7133.3</v>
      </c>
      <c r="E16" s="279">
        <f>'ريز جاري'!G114</f>
        <v>0</v>
      </c>
      <c r="F16" s="110">
        <f>D16/تسعير!E34+E16</f>
        <v>1889.6158173118724</v>
      </c>
    </row>
    <row r="17" spans="1:6" ht="20.25" customHeight="1">
      <c r="A17" s="358">
        <v>13</v>
      </c>
      <c r="B17" s="94">
        <v>921321411</v>
      </c>
      <c r="C17" s="345" t="s">
        <v>35</v>
      </c>
      <c r="D17" s="283"/>
      <c r="E17" s="283">
        <v>54363</v>
      </c>
      <c r="F17" s="297">
        <f>D17/تسعير!E34+E17</f>
        <v>54363</v>
      </c>
    </row>
    <row r="18" spans="1:6" ht="20.25" customHeight="1">
      <c r="A18" s="358">
        <v>14</v>
      </c>
      <c r="B18" s="94"/>
      <c r="C18" s="94"/>
      <c r="D18" s="111"/>
      <c r="E18" s="111"/>
      <c r="F18" s="297">
        <f>D18/تسعير!E34+E18</f>
        <v>0</v>
      </c>
    </row>
    <row r="19" spans="1:6" ht="16.5" customHeight="1">
      <c r="A19" s="358">
        <v>15</v>
      </c>
      <c r="B19" s="94"/>
      <c r="C19" s="94"/>
      <c r="D19" s="111"/>
      <c r="E19" s="111"/>
      <c r="F19" s="297">
        <f>D19/تسعير!E34+E19</f>
        <v>0</v>
      </c>
    </row>
    <row r="20" spans="1:6" ht="12.75" customHeight="1">
      <c r="A20" s="358">
        <v>16</v>
      </c>
      <c r="B20" s="94"/>
      <c r="C20" s="94"/>
      <c r="D20" s="111"/>
      <c r="E20" s="111"/>
      <c r="F20" s="297">
        <f>D20/تسعير!E34+E20</f>
        <v>0</v>
      </c>
    </row>
    <row r="21" spans="1:6" ht="12.75" customHeight="1">
      <c r="A21" s="358">
        <v>17</v>
      </c>
      <c r="B21" s="94"/>
      <c r="C21" s="94"/>
      <c r="D21" s="111"/>
      <c r="E21" s="111"/>
      <c r="F21" s="297">
        <f>D21/تسعير!E34+E21</f>
        <v>0</v>
      </c>
    </row>
    <row r="22" spans="1:6" ht="12.75" customHeight="1">
      <c r="A22" s="358">
        <v>18</v>
      </c>
      <c r="B22" s="94"/>
      <c r="C22" s="94"/>
      <c r="D22" s="111"/>
      <c r="E22" s="111"/>
      <c r="F22" s="297">
        <f>D22/تسعير!E34+E22</f>
        <v>0</v>
      </c>
    </row>
    <row r="23" spans="1:6" ht="12.75" customHeight="1">
      <c r="A23" s="358">
        <v>19</v>
      </c>
      <c r="B23" s="94"/>
      <c r="C23" s="94"/>
      <c r="D23" s="111"/>
      <c r="E23" s="111"/>
      <c r="F23" s="297">
        <f>D23/تسعير!E34+E23</f>
        <v>0</v>
      </c>
    </row>
    <row r="24" spans="1:6" ht="12.75" customHeight="1">
      <c r="A24" s="358">
        <v>20</v>
      </c>
      <c r="B24" s="94"/>
      <c r="C24" s="94"/>
      <c r="D24" s="111"/>
      <c r="E24" s="111"/>
      <c r="F24" s="297">
        <f>D24/تسعير!E34+E24</f>
        <v>0</v>
      </c>
    </row>
    <row r="25" spans="1:6" ht="12.75" customHeight="1">
      <c r="A25" s="358">
        <v>21</v>
      </c>
      <c r="B25" s="94"/>
      <c r="C25" s="94"/>
      <c r="D25" s="111"/>
      <c r="E25" s="111"/>
      <c r="F25" s="297">
        <f>D25/تسعير!E34+E25</f>
        <v>0</v>
      </c>
    </row>
    <row r="26" spans="1:6" ht="12.75" customHeight="1">
      <c r="A26" s="358">
        <v>22</v>
      </c>
      <c r="B26" s="94"/>
      <c r="C26" s="94"/>
      <c r="D26" s="111"/>
      <c r="E26" s="111"/>
      <c r="F26" s="297">
        <f>D26/تسعير!E34+E26</f>
        <v>0</v>
      </c>
    </row>
    <row r="27" spans="1:6" ht="12.75" customHeight="1">
      <c r="A27" s="358">
        <v>23</v>
      </c>
      <c r="B27" s="94"/>
      <c r="C27" s="94"/>
      <c r="D27" s="111"/>
      <c r="E27" s="111"/>
      <c r="F27" s="297">
        <f>D27/تسعير!E34+E27</f>
        <v>0</v>
      </c>
    </row>
    <row r="28" spans="1:6" ht="12.75" customHeight="1">
      <c r="A28" s="358">
        <v>24</v>
      </c>
      <c r="B28" s="94"/>
      <c r="C28" s="94"/>
      <c r="D28" s="111"/>
      <c r="E28" s="111"/>
      <c r="F28" s="297">
        <f>D28/تسعير!E34+E28</f>
        <v>0</v>
      </c>
    </row>
    <row r="29" spans="1:6" ht="12.75" customHeight="1">
      <c r="A29" s="358">
        <v>25</v>
      </c>
      <c r="B29" s="94"/>
      <c r="C29" s="94"/>
      <c r="D29" s="111"/>
      <c r="E29" s="111"/>
      <c r="F29" s="297">
        <f>D29/تسعير!E34+E29</f>
        <v>0</v>
      </c>
    </row>
    <row r="30" spans="1:6" ht="12.75" customHeight="1">
      <c r="A30" s="358">
        <v>26</v>
      </c>
      <c r="B30" s="94"/>
      <c r="C30" s="94"/>
      <c r="D30" s="111"/>
      <c r="E30" s="111"/>
      <c r="F30" s="297">
        <f>D30/تسعير!E34+E30</f>
        <v>0</v>
      </c>
    </row>
    <row r="31" spans="1:6" ht="12.75" customHeight="1">
      <c r="A31" s="358">
        <v>27</v>
      </c>
      <c r="B31" s="94"/>
      <c r="C31" s="94"/>
      <c r="D31" s="111"/>
      <c r="E31" s="111"/>
      <c r="F31" s="297">
        <f>D31/تسعير!E34+E31</f>
        <v>0</v>
      </c>
    </row>
    <row r="32" spans="1:6" ht="12.75" customHeight="1">
      <c r="A32" s="358">
        <v>28</v>
      </c>
      <c r="B32" s="371"/>
      <c r="C32" s="371"/>
      <c r="D32" s="111"/>
      <c r="E32" s="111"/>
      <c r="F32" s="297">
        <f>D32/تسعير!E34+E32</f>
        <v>0</v>
      </c>
    </row>
    <row r="33" spans="1:6" ht="12.75" customHeight="1">
      <c r="A33" s="358">
        <v>29</v>
      </c>
      <c r="B33" s="94"/>
      <c r="C33" s="94"/>
      <c r="D33" s="111"/>
      <c r="E33" s="111"/>
      <c r="F33" s="297">
        <f>D33/تسعير!E34+E33</f>
        <v>0</v>
      </c>
    </row>
    <row r="34" spans="1:6" ht="16.5" customHeight="1">
      <c r="A34" s="358">
        <v>30</v>
      </c>
      <c r="B34" s="94"/>
      <c r="C34" s="94"/>
      <c r="D34" s="111"/>
      <c r="E34" s="111"/>
      <c r="F34" s="297">
        <f>D34/تسعير!E34+E34</f>
        <v>0</v>
      </c>
    </row>
    <row r="35" spans="1:6" ht="16.5" customHeight="1" thickBot="1">
      <c r="A35" s="482" t="s">
        <v>17</v>
      </c>
      <c r="B35" s="483"/>
      <c r="C35" s="372"/>
      <c r="D35" s="113">
        <f>SUM(D5:D34)</f>
        <v>38752.800000000003</v>
      </c>
      <c r="E35" s="120">
        <f>SUM(E5:E34)</f>
        <v>73954</v>
      </c>
      <c r="F35" s="114">
        <f>SUM(F5:F34)</f>
        <v>84219.641967269505</v>
      </c>
    </row>
    <row r="36" spans="1:6" ht="16.5" customHeight="1"/>
    <row r="37" spans="1:6" ht="16.5" customHeight="1">
      <c r="A37" s="475" t="s">
        <v>19</v>
      </c>
      <c r="B37" s="475"/>
      <c r="C37" s="373" t="s">
        <v>270</v>
      </c>
      <c r="D37" s="360"/>
      <c r="E37" s="455" t="s">
        <v>587</v>
      </c>
      <c r="F37" s="455"/>
    </row>
    <row r="47" spans="1:6" ht="18" customHeight="1">
      <c r="A47" s="475" t="s">
        <v>447</v>
      </c>
      <c r="B47" s="476"/>
      <c r="C47" s="476"/>
      <c r="D47" s="476"/>
    </row>
    <row r="48" spans="1:6" ht="18" customHeight="1">
      <c r="A48" s="480" t="s">
        <v>586</v>
      </c>
      <c r="B48" s="481"/>
      <c r="C48" s="481"/>
      <c r="D48" s="481"/>
    </row>
    <row r="49" spans="1:6" ht="18" customHeight="1" thickBot="1">
      <c r="A49" s="373"/>
      <c r="B49" s="374"/>
      <c r="C49" s="374"/>
      <c r="D49" s="369" t="s">
        <v>134</v>
      </c>
      <c r="E49" s="399">
        <f>تسعير!E34</f>
        <v>3.7750001532838997</v>
      </c>
    </row>
    <row r="50" spans="1:6" ht="18" customHeight="1">
      <c r="A50" s="19" t="s">
        <v>0</v>
      </c>
      <c r="B50" s="20" t="s">
        <v>11</v>
      </c>
      <c r="C50" s="20" t="s">
        <v>12</v>
      </c>
      <c r="D50" s="20" t="s">
        <v>13</v>
      </c>
      <c r="E50" s="20" t="s">
        <v>14</v>
      </c>
      <c r="F50" s="21" t="s">
        <v>15</v>
      </c>
    </row>
    <row r="51" spans="1:6" ht="18" customHeight="1">
      <c r="A51" s="337">
        <v>1</v>
      </c>
      <c r="B51" s="94">
        <v>9213214114</v>
      </c>
      <c r="C51" s="375" t="s">
        <v>95</v>
      </c>
      <c r="D51" s="109">
        <f>'ريز فرهنگي'!E30</f>
        <v>8854.2000000000007</v>
      </c>
      <c r="E51" s="109">
        <f>'ريز فرهنگي'!G30</f>
        <v>650</v>
      </c>
      <c r="F51" s="110">
        <f>D51/تسعير!E34+E51</f>
        <v>2995.4833484702426</v>
      </c>
    </row>
    <row r="52" spans="1:6" ht="18" customHeight="1">
      <c r="A52" s="337">
        <v>2</v>
      </c>
      <c r="B52" s="359">
        <v>9213214117</v>
      </c>
      <c r="C52" s="376" t="s">
        <v>354</v>
      </c>
      <c r="D52" s="279">
        <f>'ريز فرهنگي'!E72</f>
        <v>6140</v>
      </c>
      <c r="E52" s="279">
        <f>'ريز فرهنگي'!G72</f>
        <v>0</v>
      </c>
      <c r="F52" s="110">
        <f>D52/تسعير!E34+E52</f>
        <v>1626.4900001815286</v>
      </c>
    </row>
    <row r="53" spans="1:6" ht="18" customHeight="1">
      <c r="A53" s="337">
        <v>3</v>
      </c>
      <c r="B53" s="94">
        <v>9213214129</v>
      </c>
      <c r="C53" s="96" t="s">
        <v>249</v>
      </c>
      <c r="D53" s="109">
        <f>'ريز فرهنگي'!E114</f>
        <v>15692.78</v>
      </c>
      <c r="E53" s="279">
        <f>'ريز فرهنگي'!G114</f>
        <v>0</v>
      </c>
      <c r="F53" s="297">
        <f>D53/تسعير!E34+E53</f>
        <v>4157.0276457734017</v>
      </c>
    </row>
    <row r="54" spans="1:6" ht="18" customHeight="1">
      <c r="A54" s="337">
        <v>4</v>
      </c>
      <c r="B54" s="94">
        <v>9213214120</v>
      </c>
      <c r="C54" s="96" t="s">
        <v>251</v>
      </c>
      <c r="D54" s="109">
        <f>'ريز فرهنگي'!E156</f>
        <v>15054.880000000001</v>
      </c>
      <c r="E54" s="279">
        <f>'ريز فرهنگي'!G156</f>
        <v>0</v>
      </c>
      <c r="F54" s="297">
        <f>D54/تسعير!E34+E54</f>
        <v>3988.0475201845097</v>
      </c>
    </row>
    <row r="55" spans="1:6" ht="30" customHeight="1">
      <c r="A55" s="337">
        <v>5</v>
      </c>
      <c r="B55" s="94">
        <v>9213214138</v>
      </c>
      <c r="C55" s="362" t="s">
        <v>424</v>
      </c>
      <c r="D55" s="279">
        <f>'ريز فرهنگي'!E198</f>
        <v>1172</v>
      </c>
      <c r="E55" s="279">
        <f>'ريز فرهنگي'!G198</f>
        <v>0</v>
      </c>
      <c r="F55" s="110">
        <f>D55/تسعير!E34+E55</f>
        <v>310.46356355256535</v>
      </c>
    </row>
    <row r="56" spans="1:6" ht="16.5" customHeight="1">
      <c r="A56" s="337">
        <v>6</v>
      </c>
      <c r="B56" s="94">
        <v>9213214143</v>
      </c>
      <c r="C56" s="96" t="s">
        <v>253</v>
      </c>
      <c r="D56" s="279">
        <f>'ريز فرهنگي'!E240</f>
        <v>2040</v>
      </c>
      <c r="E56" s="279">
        <f>'ريز فرهنگي'!G240</f>
        <v>0</v>
      </c>
      <c r="F56" s="110">
        <f>D56/تسعير!E34+E56</f>
        <v>540.39732905054041</v>
      </c>
    </row>
    <row r="57" spans="1:6" ht="30" customHeight="1">
      <c r="A57" s="337">
        <v>7</v>
      </c>
      <c r="B57" s="94">
        <v>9213214133</v>
      </c>
      <c r="C57" s="362" t="s">
        <v>255</v>
      </c>
      <c r="D57" s="109">
        <f>'ريز فرهنگي'!E282</f>
        <v>13569.14</v>
      </c>
      <c r="E57" s="109">
        <f>'ريز فرهنگي'!G282</f>
        <v>400</v>
      </c>
      <c r="F57" s="110">
        <f>D57/تسعير!E34+E57</f>
        <v>3994.4740262317891</v>
      </c>
    </row>
    <row r="58" spans="1:6" ht="30" customHeight="1">
      <c r="A58" s="337">
        <v>8</v>
      </c>
      <c r="B58" s="94">
        <v>9213214151</v>
      </c>
      <c r="C58" s="362" t="s">
        <v>436</v>
      </c>
      <c r="D58" s="279">
        <f>'ريز فرهنگي'!E324</f>
        <v>1252</v>
      </c>
      <c r="E58" s="279">
        <f>'ريز فرهنگي'!G324</f>
        <v>0</v>
      </c>
      <c r="F58" s="110">
        <f>D58/تسعير!E34+E58</f>
        <v>331.65561567219441</v>
      </c>
    </row>
    <row r="59" spans="1:6" ht="30" customHeight="1">
      <c r="A59" s="337">
        <v>9</v>
      </c>
      <c r="B59" s="94">
        <v>9213214139</v>
      </c>
      <c r="C59" s="362" t="s">
        <v>258</v>
      </c>
      <c r="D59" s="279">
        <f>'ريز فرهنگي'!E366</f>
        <v>57842</v>
      </c>
      <c r="E59" s="279">
        <f>'ريز فرهنگي'!G366</f>
        <v>0</v>
      </c>
      <c r="F59" s="110">
        <f>D59/تسعير!E34+E59</f>
        <v>15322.383483794783</v>
      </c>
    </row>
    <row r="60" spans="1:6" ht="30" customHeight="1">
      <c r="A60" s="337">
        <v>10</v>
      </c>
      <c r="B60" s="94">
        <v>9213214130</v>
      </c>
      <c r="C60" s="362" t="s">
        <v>435</v>
      </c>
      <c r="D60" s="279">
        <f>'ريز فرهنگي'!E408</f>
        <v>34945</v>
      </c>
      <c r="E60" s="279">
        <f>'ريز فرهنگي'!G408</f>
        <v>0</v>
      </c>
      <c r="F60" s="297">
        <f>D60/تسعير!E34+E60</f>
        <v>9256.9532665054576</v>
      </c>
    </row>
    <row r="61" spans="1:6" ht="22.5" customHeight="1">
      <c r="A61" s="337">
        <v>11</v>
      </c>
      <c r="B61" s="94">
        <v>9213214115</v>
      </c>
      <c r="C61" s="96" t="s">
        <v>437</v>
      </c>
      <c r="D61" s="279">
        <f>'ريز فرهنگي'!E446</f>
        <v>4535</v>
      </c>
      <c r="E61" s="279">
        <f>'ريز فرهنگي'!G446</f>
        <v>0</v>
      </c>
      <c r="F61" s="297">
        <f>D61/تسعير!E34+E61</f>
        <v>1201.324454531471</v>
      </c>
    </row>
    <row r="62" spans="1:6" ht="20.25" customHeight="1">
      <c r="A62" s="337">
        <v>12</v>
      </c>
      <c r="B62" s="94">
        <v>9213214116</v>
      </c>
      <c r="C62" s="96" t="s">
        <v>438</v>
      </c>
      <c r="D62" s="279">
        <f>'ريز فرهنگي'!E499</f>
        <v>6783</v>
      </c>
      <c r="E62" s="279">
        <f>'ريز فرهنگي'!G499</f>
        <v>0</v>
      </c>
      <c r="F62" s="297">
        <f>D62/تسعير!E34+E62</f>
        <v>1796.8211190930469</v>
      </c>
    </row>
    <row r="63" spans="1:6" ht="29.25" customHeight="1">
      <c r="A63" s="337">
        <v>13</v>
      </c>
      <c r="B63" s="94">
        <v>9213214126</v>
      </c>
      <c r="C63" s="362" t="s">
        <v>439</v>
      </c>
      <c r="D63" s="279">
        <f>'ريز فرهنگي'!E551</f>
        <v>0</v>
      </c>
      <c r="E63" s="279">
        <f>'ريز فرهنگي'!G551</f>
        <v>0</v>
      </c>
      <c r="F63" s="297">
        <f>D63/تسعير!E34+E63</f>
        <v>0</v>
      </c>
    </row>
    <row r="64" spans="1:6" ht="20.25" customHeight="1">
      <c r="A64" s="337">
        <v>14</v>
      </c>
      <c r="B64" s="94">
        <v>9213214136</v>
      </c>
      <c r="C64" s="96" t="s">
        <v>440</v>
      </c>
      <c r="D64" s="279">
        <f>'ريز فرهنگي'!E603</f>
        <v>0</v>
      </c>
      <c r="E64" s="279">
        <f>'ريز فرهنگي'!G603</f>
        <v>0</v>
      </c>
      <c r="F64" s="297">
        <f>D64/تسعير!E34+E64</f>
        <v>0</v>
      </c>
    </row>
    <row r="65" spans="1:6" ht="30" customHeight="1">
      <c r="A65" s="337">
        <v>15</v>
      </c>
      <c r="B65" s="94">
        <v>9213214140</v>
      </c>
      <c r="C65" s="362" t="s">
        <v>441</v>
      </c>
      <c r="D65" s="109">
        <f>'ريز فرهنگي'!E655</f>
        <v>2701</v>
      </c>
      <c r="E65" s="279">
        <f>'ريز فرهنگي'!G655</f>
        <v>0</v>
      </c>
      <c r="F65" s="297">
        <f>D65/تسعير!E34+E65</f>
        <v>715.49665968897534</v>
      </c>
    </row>
    <row r="66" spans="1:6" ht="33" customHeight="1">
      <c r="A66" s="337">
        <v>16</v>
      </c>
      <c r="B66" s="94">
        <v>9213214145</v>
      </c>
      <c r="C66" s="362" t="s">
        <v>442</v>
      </c>
      <c r="D66" s="279">
        <f>'ريز فرهنگي'!E706</f>
        <v>0</v>
      </c>
      <c r="E66" s="279">
        <f>'ريز فرهنگي'!G706</f>
        <v>0</v>
      </c>
      <c r="F66" s="297">
        <f>D66/تسعير!E34+E66</f>
        <v>0</v>
      </c>
    </row>
    <row r="67" spans="1:6" ht="33" customHeight="1">
      <c r="A67" s="337">
        <v>17</v>
      </c>
      <c r="B67" s="94">
        <v>9213214146</v>
      </c>
      <c r="C67" s="362" t="s">
        <v>443</v>
      </c>
      <c r="D67" s="279">
        <f>'ريز فرهنگي'!E758</f>
        <v>0</v>
      </c>
      <c r="E67" s="279">
        <f>'ريز فرهنگي'!G758</f>
        <v>0</v>
      </c>
      <c r="F67" s="297">
        <f>D67/تسعير!E34+E67</f>
        <v>0</v>
      </c>
    </row>
    <row r="68" spans="1:6" ht="18" customHeight="1">
      <c r="A68" s="337">
        <v>18</v>
      </c>
      <c r="B68" s="94">
        <v>9213214144</v>
      </c>
      <c r="C68" s="378" t="s">
        <v>444</v>
      </c>
      <c r="D68" s="279">
        <f>'ريز فرهنگي'!E810</f>
        <v>0</v>
      </c>
      <c r="E68" s="279">
        <f>'ريز فرهنگي'!G810</f>
        <v>0</v>
      </c>
      <c r="F68" s="297">
        <f>D68/تسعير!E34+E68</f>
        <v>0</v>
      </c>
    </row>
    <row r="69" spans="1:6" ht="12" customHeight="1">
      <c r="A69" s="337">
        <v>19</v>
      </c>
      <c r="B69" s="377"/>
      <c r="C69" s="377"/>
      <c r="D69" s="111"/>
      <c r="E69" s="111"/>
      <c r="F69" s="297">
        <f>D69/تسعير!E34+E69</f>
        <v>0</v>
      </c>
    </row>
    <row r="70" spans="1:6" ht="12" customHeight="1">
      <c r="A70" s="337">
        <v>20</v>
      </c>
      <c r="B70" s="377"/>
      <c r="C70" s="377"/>
      <c r="D70" s="111"/>
      <c r="E70" s="111"/>
      <c r="F70" s="297">
        <f>D70/تسعير!E34+E70</f>
        <v>0</v>
      </c>
    </row>
    <row r="71" spans="1:6" ht="12" customHeight="1">
      <c r="A71" s="337">
        <v>21</v>
      </c>
      <c r="B71" s="377"/>
      <c r="C71" s="377"/>
      <c r="D71" s="111"/>
      <c r="E71" s="111"/>
      <c r="F71" s="297">
        <f>D71/تسعير!E34+E71</f>
        <v>0</v>
      </c>
    </row>
    <row r="72" spans="1:6" ht="12" customHeight="1">
      <c r="A72" s="337">
        <v>22</v>
      </c>
      <c r="B72" s="377"/>
      <c r="C72" s="377"/>
      <c r="D72" s="111"/>
      <c r="E72" s="111"/>
      <c r="F72" s="297">
        <f>D72/تسعير!E34+E72</f>
        <v>0</v>
      </c>
    </row>
    <row r="73" spans="1:6" ht="12" customHeight="1">
      <c r="A73" s="337">
        <v>23</v>
      </c>
      <c r="B73" s="377"/>
      <c r="C73" s="377"/>
      <c r="D73" s="111"/>
      <c r="E73" s="111"/>
      <c r="F73" s="297">
        <f>D73/تسعير!E34+E73</f>
        <v>0</v>
      </c>
    </row>
    <row r="74" spans="1:6" ht="12" customHeight="1">
      <c r="A74" s="337">
        <v>24</v>
      </c>
      <c r="B74" s="377"/>
      <c r="C74" s="377"/>
      <c r="D74" s="111"/>
      <c r="E74" s="111"/>
      <c r="F74" s="297">
        <f>D74/تسعير!E34+E74</f>
        <v>0</v>
      </c>
    </row>
    <row r="75" spans="1:6" ht="12" customHeight="1">
      <c r="A75" s="337">
        <v>25</v>
      </c>
      <c r="B75" s="377"/>
      <c r="C75" s="377"/>
      <c r="D75" s="111"/>
      <c r="E75" s="111"/>
      <c r="F75" s="297">
        <f>D75/تسعير!E34+E75</f>
        <v>0</v>
      </c>
    </row>
    <row r="76" spans="1:6" ht="12" customHeight="1">
      <c r="A76" s="337">
        <v>26</v>
      </c>
      <c r="B76" s="377"/>
      <c r="C76" s="377"/>
      <c r="D76" s="111"/>
      <c r="E76" s="111"/>
      <c r="F76" s="297">
        <f>D76/تسعير!E34+E76</f>
        <v>0</v>
      </c>
    </row>
    <row r="77" spans="1:6" ht="12" customHeight="1">
      <c r="A77" s="337">
        <v>27</v>
      </c>
      <c r="B77" s="377"/>
      <c r="C77" s="377"/>
      <c r="D77" s="111"/>
      <c r="E77" s="111"/>
      <c r="F77" s="297">
        <f>D77/تسعير!E34+E77</f>
        <v>0</v>
      </c>
    </row>
    <row r="78" spans="1:6" ht="12" customHeight="1">
      <c r="A78" s="337">
        <v>28</v>
      </c>
      <c r="B78" s="377"/>
      <c r="C78" s="377"/>
      <c r="D78" s="111"/>
      <c r="E78" s="111"/>
      <c r="F78" s="297">
        <f>D78/تسعير!E34+E78</f>
        <v>0</v>
      </c>
    </row>
    <row r="79" spans="1:6" ht="12" customHeight="1">
      <c r="A79" s="337">
        <v>29</v>
      </c>
      <c r="B79" s="377"/>
      <c r="C79" s="377"/>
      <c r="D79" s="111"/>
      <c r="E79" s="111"/>
      <c r="F79" s="297">
        <f>D79/تسعير!E34+E79</f>
        <v>0</v>
      </c>
    </row>
    <row r="80" spans="1:6" ht="12" customHeight="1">
      <c r="A80" s="337">
        <v>30</v>
      </c>
      <c r="B80" s="377"/>
      <c r="C80" s="377"/>
      <c r="D80" s="112"/>
      <c r="E80" s="112"/>
      <c r="F80" s="317">
        <f>D80/تسعير!E34+E80</f>
        <v>0</v>
      </c>
    </row>
    <row r="81" spans="1:6" ht="20.25" customHeight="1" thickBot="1">
      <c r="A81" s="477" t="s">
        <v>18</v>
      </c>
      <c r="B81" s="478"/>
      <c r="C81" s="479"/>
      <c r="D81" s="120">
        <f>SUM(D50:D80)</f>
        <v>170581</v>
      </c>
      <c r="E81" s="120">
        <f>SUM(E50:E80)</f>
        <v>1050</v>
      </c>
      <c r="F81" s="298">
        <f>SUM(F50:F80)</f>
        <v>46237.018032730499</v>
      </c>
    </row>
    <row r="82" spans="1:6" ht="16.5" customHeight="1">
      <c r="A82" s="361"/>
      <c r="B82" s="361"/>
      <c r="C82" s="361"/>
      <c r="D82" s="379"/>
      <c r="E82" s="379"/>
      <c r="F82" s="379"/>
    </row>
    <row r="83" spans="1:6" ht="16.5" customHeight="1">
      <c r="A83" s="475" t="s">
        <v>19</v>
      </c>
      <c r="B83" s="475"/>
      <c r="C83" s="373" t="s">
        <v>271</v>
      </c>
      <c r="D83" s="360"/>
      <c r="E83" s="475" t="s">
        <v>587</v>
      </c>
      <c r="F83" s="475"/>
    </row>
    <row r="84" spans="1:6" ht="16.5" customHeight="1">
      <c r="A84" s="361"/>
      <c r="B84" s="361"/>
      <c r="C84" s="361"/>
      <c r="D84" s="379"/>
      <c r="E84" s="379"/>
      <c r="F84" s="379"/>
    </row>
    <row r="85" spans="1:6" ht="16.5" customHeight="1">
      <c r="A85" s="361"/>
      <c r="B85" s="361"/>
      <c r="C85" s="361"/>
      <c r="D85" s="379"/>
      <c r="E85" s="379"/>
      <c r="F85" s="379"/>
    </row>
    <row r="86" spans="1:6" ht="16.5" customHeight="1">
      <c r="A86" s="361"/>
      <c r="B86" s="361"/>
      <c r="C86" s="361"/>
      <c r="D86" s="379"/>
      <c r="E86" s="379"/>
      <c r="F86" s="379"/>
    </row>
    <row r="92" spans="1:6">
      <c r="A92" s="339"/>
      <c r="B92" s="339"/>
      <c r="C92" s="339"/>
      <c r="D92" s="360"/>
      <c r="E92" s="360"/>
      <c r="F92" s="360"/>
    </row>
  </sheetData>
  <mergeCells count="10">
    <mergeCell ref="A1:D1"/>
    <mergeCell ref="A83:B83"/>
    <mergeCell ref="A81:C81"/>
    <mergeCell ref="E83:F83"/>
    <mergeCell ref="A2:D2"/>
    <mergeCell ref="A37:B37"/>
    <mergeCell ref="E37:F37"/>
    <mergeCell ref="A47:D47"/>
    <mergeCell ref="A48:D48"/>
    <mergeCell ref="A35:B35"/>
  </mergeCells>
  <hyperlinks>
    <hyperlink ref="C5" location="'ليست ريز جاري'!A1" display="هزينه بانكي"/>
    <hyperlink ref="C6" location="'ليست ريز جاري'!A45" display="حقوق بازخريدي و ... كاركنان بومي"/>
    <hyperlink ref="C16" location="'ليست ريز جاري'!A87" display="خريد اقلام مصرفي"/>
    <hyperlink ref="C7" location="'ليست ريز جاري'!A129" display="هزينه آب برق گاز و ساير سوخت ها"/>
    <hyperlink ref="C8" location="'ليست ريز جاري'!A171" display="تعمير و نگهداري خودرو"/>
    <hyperlink ref="C9" location="'ليست ريز جاري'!A213" display="ترميم و نگهداري جزئي ساختمان"/>
    <hyperlink ref="C10" location="'ليست ريز جاري'!A255" display="حمل و نقل و ارتباطات"/>
    <hyperlink ref="C11" location="'ليست ريز جاري'!A297" display="تلفن ، فاكس و اينترنت"/>
    <hyperlink ref="C12" location="'ليست ريز جاري'!A339" display="هزينه اجاره ساختمان نمايندگي"/>
    <hyperlink ref="C13" location="'ليست ريز جاري'!A381" display="كمك هزينه درمان و بيمه كاركنان"/>
    <hyperlink ref="C14" location="'ليست ريز جاري'!A423" display="هزينه هاي خارج از مصوب و تخصيص"/>
    <hyperlink ref="C15" location="'ليست ريز جاري'!A465" display="هزينه هاي پيش بيني نشده"/>
    <hyperlink ref="C51" location="'ليست ريز فرهنگي'!A1" display="برگزاري جشن نوروز"/>
    <hyperlink ref="C52" location="'ليست ريز فرهنگي'!A45" display="برگزاري مراسم ارتحال امام"/>
  </hyperlinks>
  <pageMargins left="0.39370078740157499" right="0.59055118110236204" top="0.39370078740157499" bottom="0.39370078740157499" header="0.31496062992126" footer="0.31496062992126"/>
  <pageSetup orientation="portrait" r:id="rId1"/>
</worksheet>
</file>

<file path=xl/worksheets/sheet6.xml><?xml version="1.0" encoding="utf-8"?>
<worksheet xmlns="http://schemas.openxmlformats.org/spreadsheetml/2006/main" xmlns:r="http://schemas.openxmlformats.org/officeDocument/2006/relationships">
  <sheetPr>
    <tabColor rgb="FFFF0000"/>
  </sheetPr>
  <dimension ref="A2:E73"/>
  <sheetViews>
    <sheetView rightToLeft="1" tabSelected="1" topLeftCell="A16" zoomScaleNormal="100" workbookViewId="0">
      <selection activeCell="B27" sqref="B27"/>
    </sheetView>
  </sheetViews>
  <sheetFormatPr defaultRowHeight="15"/>
  <cols>
    <col min="1" max="1" width="31.7109375" customWidth="1"/>
    <col min="2" max="5" width="15.140625" style="4" customWidth="1"/>
  </cols>
  <sheetData>
    <row r="2" spans="1:5" ht="20.25" customHeight="1">
      <c r="A2" s="503" t="s">
        <v>449</v>
      </c>
      <c r="B2" s="503"/>
      <c r="C2" s="503"/>
      <c r="D2" s="503"/>
      <c r="E2" s="503"/>
    </row>
    <row r="3" spans="1:5" ht="20.25" customHeight="1" thickBot="1">
      <c r="A3" s="489" t="s">
        <v>588</v>
      </c>
      <c r="B3" s="490"/>
      <c r="C3" s="490"/>
      <c r="D3" s="490"/>
      <c r="E3" s="490"/>
    </row>
    <row r="4" spans="1:5">
      <c r="A4" s="491" t="s">
        <v>20</v>
      </c>
      <c r="B4" s="494" t="s">
        <v>21</v>
      </c>
      <c r="C4" s="495"/>
      <c r="D4" s="494" t="s">
        <v>24</v>
      </c>
      <c r="E4" s="501"/>
    </row>
    <row r="5" spans="1:5">
      <c r="A5" s="492"/>
      <c r="B5" s="496"/>
      <c r="C5" s="496"/>
      <c r="D5" s="496"/>
      <c r="E5" s="502"/>
    </row>
    <row r="6" spans="1:5" ht="21" customHeight="1">
      <c r="A6" s="493"/>
      <c r="B6" s="31" t="s">
        <v>22</v>
      </c>
      <c r="C6" s="31" t="s">
        <v>23</v>
      </c>
      <c r="D6" s="31" t="s">
        <v>22</v>
      </c>
      <c r="E6" s="32" t="s">
        <v>23</v>
      </c>
    </row>
    <row r="7" spans="1:5" ht="21" customHeight="1">
      <c r="A7" s="79" t="s">
        <v>26</v>
      </c>
      <c r="B7" s="281"/>
      <c r="C7" s="281"/>
      <c r="D7" s="281"/>
      <c r="E7" s="282"/>
    </row>
    <row r="8" spans="1:5" ht="21" customHeight="1">
      <c r="A8" s="26" t="s">
        <v>204</v>
      </c>
      <c r="B8" s="283"/>
      <c r="C8" s="283"/>
      <c r="D8" s="111"/>
      <c r="E8" s="284"/>
    </row>
    <row r="9" spans="1:5" ht="21" customHeight="1">
      <c r="A9" s="26" t="s">
        <v>205</v>
      </c>
      <c r="B9" s="283"/>
      <c r="C9" s="283"/>
      <c r="D9" s="111"/>
      <c r="E9" s="284"/>
    </row>
    <row r="10" spans="1:5" ht="21" customHeight="1">
      <c r="A10" s="27" t="s">
        <v>27</v>
      </c>
      <c r="B10" s="285"/>
      <c r="C10" s="285"/>
      <c r="D10" s="285"/>
      <c r="E10" s="286"/>
    </row>
    <row r="11" spans="1:5" ht="21" customHeight="1">
      <c r="A11" s="26" t="s">
        <v>206</v>
      </c>
      <c r="B11" s="283"/>
      <c r="C11" s="283"/>
      <c r="D11" s="287">
        <v>84386.8</v>
      </c>
      <c r="E11" s="284"/>
    </row>
    <row r="12" spans="1:5" ht="21" customHeight="1">
      <c r="A12" s="25" t="s">
        <v>28</v>
      </c>
      <c r="B12" s="285"/>
      <c r="C12" s="285"/>
      <c r="D12" s="285"/>
      <c r="E12" s="286"/>
    </row>
    <row r="13" spans="1:5" ht="21" customHeight="1">
      <c r="A13" s="26" t="s">
        <v>357</v>
      </c>
      <c r="B13" s="283"/>
      <c r="C13" s="283"/>
      <c r="D13" s="283"/>
      <c r="E13" s="288">
        <v>16058</v>
      </c>
    </row>
    <row r="14" spans="1:5" ht="21" customHeight="1">
      <c r="A14" s="327" t="s">
        <v>358</v>
      </c>
      <c r="B14" s="283"/>
      <c r="C14" s="283"/>
      <c r="D14" s="111">
        <v>16058</v>
      </c>
      <c r="E14" s="284"/>
    </row>
    <row r="15" spans="1:5" ht="21" customHeight="1">
      <c r="A15" s="26" t="s">
        <v>211</v>
      </c>
      <c r="B15" s="283"/>
      <c r="C15" s="283"/>
      <c r="D15" s="111"/>
      <c r="E15" s="284"/>
    </row>
    <row r="16" spans="1:5" ht="21" customHeight="1">
      <c r="A16" s="26" t="s">
        <v>43</v>
      </c>
      <c r="B16" s="283"/>
      <c r="C16" s="283"/>
      <c r="D16" s="111"/>
      <c r="E16" s="284"/>
    </row>
    <row r="17" spans="1:5" ht="21" customHeight="1">
      <c r="A17" s="26" t="s">
        <v>42</v>
      </c>
      <c r="B17" s="283"/>
      <c r="C17" s="283"/>
      <c r="D17" s="111"/>
      <c r="E17" s="284"/>
    </row>
    <row r="18" spans="1:5" ht="21" customHeight="1">
      <c r="A18" s="26" t="s">
        <v>31</v>
      </c>
      <c r="B18" s="283"/>
      <c r="C18" s="283"/>
      <c r="D18" s="109">
        <f>تسعير!D34</f>
        <v>55452.66</v>
      </c>
      <c r="E18" s="284"/>
    </row>
    <row r="19" spans="1:5" ht="21" customHeight="1">
      <c r="A19" s="25" t="s">
        <v>32</v>
      </c>
      <c r="B19" s="285"/>
      <c r="C19" s="285"/>
      <c r="D19" s="285"/>
      <c r="E19" s="286"/>
    </row>
    <row r="20" spans="1:5" ht="21" customHeight="1">
      <c r="A20" s="26" t="s">
        <v>33</v>
      </c>
      <c r="B20" s="283"/>
      <c r="C20" s="283"/>
      <c r="D20" s="109">
        <f>'روكش جاري و فرهنگي'!E35-'روكش جاري و فرهنگي'!F17</f>
        <v>19591</v>
      </c>
      <c r="E20" s="289"/>
    </row>
    <row r="21" spans="1:5" ht="21" customHeight="1">
      <c r="A21" s="26" t="s">
        <v>34</v>
      </c>
      <c r="B21" s="283"/>
      <c r="C21" s="283"/>
      <c r="D21" s="290">
        <f>'روكش جاري و فرهنگي'!E81</f>
        <v>1050</v>
      </c>
      <c r="E21" s="284"/>
    </row>
    <row r="22" spans="1:5" ht="21" customHeight="1">
      <c r="A22" s="26" t="s">
        <v>35</v>
      </c>
      <c r="B22" s="283"/>
      <c r="C22" s="283"/>
      <c r="D22" s="109">
        <f>'روكش جاري و فرهنگي'!F17</f>
        <v>54363</v>
      </c>
      <c r="E22" s="284"/>
    </row>
    <row r="23" spans="1:5" ht="21" customHeight="1">
      <c r="A23" s="26" t="s">
        <v>36</v>
      </c>
      <c r="B23" s="283"/>
      <c r="C23" s="283"/>
      <c r="D23" s="111"/>
      <c r="E23" s="284"/>
    </row>
    <row r="24" spans="1:5" ht="21" customHeight="1">
      <c r="A24" s="26" t="s">
        <v>37</v>
      </c>
      <c r="B24" s="283"/>
      <c r="C24" s="283"/>
      <c r="D24" s="111"/>
      <c r="E24" s="284"/>
    </row>
    <row r="25" spans="1:5" ht="21" customHeight="1">
      <c r="A25" s="27" t="s">
        <v>25</v>
      </c>
      <c r="B25" s="285"/>
      <c r="C25" s="285"/>
      <c r="D25" s="285"/>
      <c r="E25" s="286"/>
    </row>
    <row r="26" spans="1:5" ht="21" customHeight="1">
      <c r="A26" s="26" t="s">
        <v>38</v>
      </c>
      <c r="B26" s="283"/>
      <c r="C26" s="283"/>
      <c r="D26" s="283"/>
      <c r="E26" s="288">
        <v>138000</v>
      </c>
    </row>
    <row r="27" spans="1:5" ht="21" customHeight="1">
      <c r="A27" s="26" t="s">
        <v>207</v>
      </c>
      <c r="B27" s="283"/>
      <c r="C27" s="283"/>
      <c r="D27" s="283"/>
      <c r="E27" s="288"/>
    </row>
    <row r="28" spans="1:5" ht="21" customHeight="1">
      <c r="A28" s="25" t="s">
        <v>39</v>
      </c>
      <c r="B28" s="285"/>
      <c r="C28" s="285"/>
      <c r="D28" s="285"/>
      <c r="E28" s="286"/>
    </row>
    <row r="29" spans="1:5" ht="21" customHeight="1">
      <c r="A29" s="26" t="s">
        <v>203</v>
      </c>
      <c r="B29" s="283"/>
      <c r="C29" s="283"/>
      <c r="D29" s="283"/>
      <c r="E29" s="288">
        <v>76843.5</v>
      </c>
    </row>
    <row r="30" spans="1:5" ht="21" customHeight="1">
      <c r="A30" s="26" t="s">
        <v>52</v>
      </c>
      <c r="B30" s="283"/>
      <c r="C30" s="283"/>
      <c r="D30" s="283"/>
      <c r="E30" s="288"/>
    </row>
    <row r="31" spans="1:5" ht="22.5" customHeight="1" thickBot="1">
      <c r="A31" s="28" t="s">
        <v>41</v>
      </c>
      <c r="B31" s="113">
        <f>SUM(B7:B30)</f>
        <v>0</v>
      </c>
      <c r="C31" s="113">
        <f>SUM(C7:C30)</f>
        <v>0</v>
      </c>
      <c r="D31" s="113">
        <f>SUM(D7:D30)</f>
        <v>230901.46000000002</v>
      </c>
      <c r="E31" s="114">
        <f>SUM(E7:E30)</f>
        <v>230901.5</v>
      </c>
    </row>
    <row r="33" spans="1:5" ht="22.5" customHeight="1">
      <c r="A33" s="484" t="s">
        <v>448</v>
      </c>
      <c r="B33" s="485"/>
      <c r="C33" s="485"/>
      <c r="D33" s="485"/>
      <c r="E33" s="485"/>
    </row>
    <row r="35" spans="1:5" ht="22.5" customHeight="1">
      <c r="A35" s="486" t="s">
        <v>282</v>
      </c>
      <c r="B35" s="486"/>
      <c r="C35" s="455" t="s">
        <v>283</v>
      </c>
      <c r="D35" s="455"/>
      <c r="E35" s="487"/>
    </row>
    <row r="43" spans="1:5" ht="20.25" customHeight="1">
      <c r="A43" s="488" t="s">
        <v>40</v>
      </c>
      <c r="B43" s="488"/>
      <c r="C43" s="488"/>
      <c r="D43" s="488"/>
      <c r="E43" s="488"/>
    </row>
    <row r="44" spans="1:5" ht="20.25" customHeight="1">
      <c r="A44" s="489" t="s">
        <v>589</v>
      </c>
      <c r="B44" s="490"/>
      <c r="C44" s="490"/>
      <c r="D44" s="490"/>
      <c r="E44" s="490"/>
    </row>
    <row r="45" spans="1:5" ht="20.25" customHeight="1" thickBot="1">
      <c r="A45" s="29"/>
      <c r="B45" s="36"/>
      <c r="C45" s="36"/>
      <c r="D45" s="47" t="s">
        <v>44</v>
      </c>
      <c r="E45" s="397">
        <f>تسعير!E34</f>
        <v>3.7750001532838997</v>
      </c>
    </row>
    <row r="46" spans="1:5">
      <c r="A46" s="491" t="s">
        <v>20</v>
      </c>
      <c r="B46" s="494" t="s">
        <v>21</v>
      </c>
      <c r="C46" s="495"/>
      <c r="D46" s="497" t="s">
        <v>24</v>
      </c>
      <c r="E46" s="498"/>
    </row>
    <row r="47" spans="1:5">
      <c r="A47" s="492"/>
      <c r="B47" s="496"/>
      <c r="C47" s="496"/>
      <c r="D47" s="499"/>
      <c r="E47" s="500"/>
    </row>
    <row r="48" spans="1:5" ht="21" customHeight="1">
      <c r="A48" s="493"/>
      <c r="B48" s="31" t="s">
        <v>22</v>
      </c>
      <c r="C48" s="31" t="s">
        <v>23</v>
      </c>
      <c r="D48" s="31" t="s">
        <v>22</v>
      </c>
      <c r="E48" s="32" t="s">
        <v>23</v>
      </c>
    </row>
    <row r="49" spans="1:5" ht="21" customHeight="1">
      <c r="A49" s="79" t="s">
        <v>26</v>
      </c>
      <c r="B49" s="82"/>
      <c r="C49" s="82"/>
      <c r="D49" s="82"/>
      <c r="E49" s="83"/>
    </row>
    <row r="50" spans="1:5" ht="21" customHeight="1">
      <c r="A50" s="26" t="s">
        <v>200</v>
      </c>
      <c r="B50" s="283"/>
      <c r="C50" s="283"/>
      <c r="D50" s="111"/>
      <c r="E50" s="284"/>
    </row>
    <row r="51" spans="1:5" ht="21" customHeight="1">
      <c r="A51" s="26" t="s">
        <v>201</v>
      </c>
      <c r="B51" s="283"/>
      <c r="C51" s="283"/>
      <c r="D51" s="111"/>
      <c r="E51" s="284"/>
    </row>
    <row r="52" spans="1:5" ht="21" customHeight="1">
      <c r="A52" s="27" t="s">
        <v>27</v>
      </c>
      <c r="B52" s="285"/>
      <c r="C52" s="285"/>
      <c r="D52" s="285"/>
      <c r="E52" s="286"/>
    </row>
    <row r="53" spans="1:5" ht="21" customHeight="1">
      <c r="A53" s="26" t="s">
        <v>202</v>
      </c>
      <c r="B53" s="283"/>
      <c r="C53" s="283"/>
      <c r="D53" s="287"/>
      <c r="E53" s="291"/>
    </row>
    <row r="54" spans="1:5" ht="21" customHeight="1">
      <c r="A54" s="25" t="s">
        <v>28</v>
      </c>
      <c r="B54" s="285"/>
      <c r="C54" s="285"/>
      <c r="D54" s="285"/>
      <c r="E54" s="286"/>
    </row>
    <row r="55" spans="1:5" ht="21" customHeight="1">
      <c r="A55" s="26" t="s">
        <v>47</v>
      </c>
      <c r="B55" s="283"/>
      <c r="C55" s="283"/>
      <c r="D55" s="283"/>
      <c r="E55" s="288"/>
    </row>
    <row r="56" spans="1:5" ht="21" customHeight="1">
      <c r="A56" s="40" t="s">
        <v>29</v>
      </c>
      <c r="B56" s="283"/>
      <c r="C56" s="283"/>
      <c r="D56" s="111"/>
      <c r="E56" s="284"/>
    </row>
    <row r="57" spans="1:5" ht="21" customHeight="1">
      <c r="A57" s="26" t="s">
        <v>30</v>
      </c>
      <c r="B57" s="283"/>
      <c r="C57" s="283"/>
      <c r="D57" s="111"/>
      <c r="E57" s="284"/>
    </row>
    <row r="58" spans="1:5" ht="21" customHeight="1">
      <c r="A58" s="26" t="s">
        <v>43</v>
      </c>
      <c r="B58" s="283"/>
      <c r="C58" s="283"/>
      <c r="D58" s="111"/>
      <c r="E58" s="284"/>
    </row>
    <row r="59" spans="1:5" ht="21" customHeight="1">
      <c r="A59" s="26" t="s">
        <v>42</v>
      </c>
      <c r="B59" s="283"/>
      <c r="C59" s="283"/>
      <c r="D59" s="111"/>
      <c r="E59" s="284"/>
    </row>
    <row r="60" spans="1:5" ht="21" customHeight="1">
      <c r="A60" s="25" t="s">
        <v>32</v>
      </c>
      <c r="B60" s="285"/>
      <c r="C60" s="285"/>
      <c r="D60" s="285"/>
      <c r="E60" s="286"/>
    </row>
    <row r="61" spans="1:5" ht="21" customHeight="1">
      <c r="A61" s="26" t="s">
        <v>33</v>
      </c>
      <c r="B61" s="283"/>
      <c r="C61" s="283"/>
      <c r="D61" s="109">
        <f>'روكش جاري و فرهنگي'!D35</f>
        <v>38752.800000000003</v>
      </c>
      <c r="E61" s="284"/>
    </row>
    <row r="62" spans="1:5" ht="21" customHeight="1">
      <c r="A62" s="26" t="s">
        <v>34</v>
      </c>
      <c r="B62" s="283"/>
      <c r="C62" s="283"/>
      <c r="D62" s="109">
        <f>'روكش جاري و فرهنگي'!D81</f>
        <v>170581</v>
      </c>
      <c r="E62" s="284"/>
    </row>
    <row r="63" spans="1:5" ht="21" customHeight="1">
      <c r="A63" s="26" t="s">
        <v>36</v>
      </c>
      <c r="B63" s="283"/>
      <c r="C63" s="283"/>
      <c r="D63" s="111"/>
      <c r="E63" s="284"/>
    </row>
    <row r="64" spans="1:5" ht="21" customHeight="1">
      <c r="A64" s="26" t="s">
        <v>37</v>
      </c>
      <c r="B64" s="283"/>
      <c r="C64" s="283"/>
      <c r="D64" s="111"/>
      <c r="E64" s="284"/>
    </row>
    <row r="65" spans="1:5" ht="21" customHeight="1">
      <c r="A65" s="27" t="s">
        <v>45</v>
      </c>
      <c r="B65" s="285"/>
      <c r="C65" s="285"/>
      <c r="D65" s="285"/>
      <c r="E65" s="286"/>
    </row>
    <row r="66" spans="1:5" ht="21" customHeight="1">
      <c r="A66" s="26" t="s">
        <v>203</v>
      </c>
      <c r="B66" s="283"/>
      <c r="C66" s="288"/>
      <c r="D66" s="283"/>
      <c r="E66" s="288"/>
    </row>
    <row r="67" spans="1:5" ht="21" customHeight="1">
      <c r="A67" s="26" t="s">
        <v>46</v>
      </c>
      <c r="B67" s="283"/>
      <c r="C67" s="283"/>
      <c r="D67" s="283"/>
      <c r="E67" s="110">
        <f>تسعير!F34</f>
        <v>209333.8</v>
      </c>
    </row>
    <row r="68" spans="1:5" ht="21" customHeight="1">
      <c r="A68" s="38" t="s">
        <v>51</v>
      </c>
      <c r="B68" s="292"/>
      <c r="C68" s="292"/>
      <c r="D68" s="292"/>
      <c r="E68" s="293"/>
    </row>
    <row r="69" spans="1:5" ht="22.5" customHeight="1" thickBot="1">
      <c r="A69" s="28" t="s">
        <v>41</v>
      </c>
      <c r="B69" s="113">
        <f>SUM(B49:B67)</f>
        <v>0</v>
      </c>
      <c r="C69" s="113">
        <f>SUM(C49:C67)</f>
        <v>0</v>
      </c>
      <c r="D69" s="113">
        <f>SUM(D49:D67)</f>
        <v>209333.8</v>
      </c>
      <c r="E69" s="114">
        <f>SUM(E49:E67)</f>
        <v>209333.8</v>
      </c>
    </row>
    <row r="71" spans="1:5" ht="22.5" customHeight="1">
      <c r="A71" s="484" t="s">
        <v>590</v>
      </c>
      <c r="B71" s="485"/>
      <c r="C71" s="485"/>
      <c r="D71" s="485"/>
      <c r="E71" s="485"/>
    </row>
    <row r="73" spans="1:5" ht="22.5" customHeight="1">
      <c r="A73" s="486" t="s">
        <v>282</v>
      </c>
      <c r="B73" s="486"/>
      <c r="C73" s="455" t="s">
        <v>283</v>
      </c>
      <c r="D73" s="455"/>
      <c r="E73" s="487"/>
    </row>
  </sheetData>
  <mergeCells count="16">
    <mergeCell ref="A33:E33"/>
    <mergeCell ref="A4:A6"/>
    <mergeCell ref="B4:C5"/>
    <mergeCell ref="D4:E5"/>
    <mergeCell ref="A2:E2"/>
    <mergeCell ref="A3:E3"/>
    <mergeCell ref="A71:E71"/>
    <mergeCell ref="A73:B73"/>
    <mergeCell ref="C73:E73"/>
    <mergeCell ref="C35:E35"/>
    <mergeCell ref="A35:B35"/>
    <mergeCell ref="A43:E43"/>
    <mergeCell ref="A44:E44"/>
    <mergeCell ref="A46:A48"/>
    <mergeCell ref="B46:C47"/>
    <mergeCell ref="D46:E47"/>
  </mergeCells>
  <pageMargins left="0.39370078740157483" right="0.59055118110236227" top="0.39370078740157483" bottom="0.39370078740157483" header="0.31496062992125984" footer="0.31496062992125984"/>
  <pageSetup paperSize="9" orientation="portrait" r:id="rId1"/>
  <legacyDrawing r:id="rId2"/>
</worksheet>
</file>

<file path=xl/worksheets/sheet7.xml><?xml version="1.0" encoding="utf-8"?>
<worksheet xmlns="http://schemas.openxmlformats.org/spreadsheetml/2006/main" xmlns:r="http://schemas.openxmlformats.org/officeDocument/2006/relationships">
  <sheetPr>
    <tabColor rgb="FFFF0000"/>
  </sheetPr>
  <dimension ref="A1:J38"/>
  <sheetViews>
    <sheetView rightToLeft="1" topLeftCell="A16" zoomScaleNormal="100" workbookViewId="0">
      <selection activeCell="F22" sqref="F22"/>
    </sheetView>
  </sheetViews>
  <sheetFormatPr defaultRowHeight="15"/>
  <cols>
    <col min="1" max="1" width="32.28515625" customWidth="1"/>
    <col min="2" max="7" width="10.5703125" style="4" customWidth="1"/>
  </cols>
  <sheetData>
    <row r="1" spans="1:10" ht="20.25" customHeight="1">
      <c r="A1" s="486" t="s">
        <v>54</v>
      </c>
      <c r="B1" s="486"/>
      <c r="C1" s="486"/>
      <c r="D1" s="486"/>
    </row>
    <row r="2" spans="1:10" ht="20.25" customHeight="1">
      <c r="A2" s="504" t="s">
        <v>450</v>
      </c>
      <c r="B2" s="504"/>
      <c r="C2" s="504"/>
      <c r="D2" s="504"/>
    </row>
    <row r="3" spans="1:10" ht="20.25" customHeight="1" thickBot="1">
      <c r="A3" s="515" t="s">
        <v>591</v>
      </c>
      <c r="B3" s="515"/>
      <c r="C3" s="516"/>
      <c r="D3" s="400">
        <f>تسعير!E34</f>
        <v>3.7750001532838997</v>
      </c>
    </row>
    <row r="4" spans="1:10" ht="21" customHeight="1">
      <c r="A4" s="513" t="s">
        <v>20</v>
      </c>
      <c r="B4" s="508" t="s">
        <v>48</v>
      </c>
      <c r="C4" s="509"/>
      <c r="D4" s="510" t="s">
        <v>49</v>
      </c>
      <c r="E4" s="511"/>
      <c r="F4" s="508" t="s">
        <v>50</v>
      </c>
      <c r="G4" s="512"/>
    </row>
    <row r="5" spans="1:10" ht="21" customHeight="1">
      <c r="A5" s="514"/>
      <c r="B5" s="34" t="s">
        <v>22</v>
      </c>
      <c r="C5" s="34" t="s">
        <v>23</v>
      </c>
      <c r="D5" s="34" t="s">
        <v>22</v>
      </c>
      <c r="E5" s="34" t="s">
        <v>23</v>
      </c>
      <c r="F5" s="34" t="s">
        <v>22</v>
      </c>
      <c r="G5" s="35" t="s">
        <v>23</v>
      </c>
    </row>
    <row r="6" spans="1:10" ht="21" customHeight="1">
      <c r="A6" s="37" t="s">
        <v>55</v>
      </c>
      <c r="B6" s="45"/>
      <c r="C6" s="45"/>
      <c r="D6" s="45"/>
      <c r="E6" s="45"/>
      <c r="F6" s="45"/>
      <c r="G6" s="46"/>
    </row>
    <row r="7" spans="1:10" ht="21" customHeight="1">
      <c r="A7" s="38" t="s">
        <v>56</v>
      </c>
      <c r="B7" s="109">
        <f>'تراز يوروئي و ارزمحل'!D8</f>
        <v>0</v>
      </c>
      <c r="C7" s="283"/>
      <c r="D7" s="283"/>
      <c r="E7" s="283"/>
      <c r="F7" s="109">
        <f>B7</f>
        <v>0</v>
      </c>
      <c r="G7" s="284"/>
    </row>
    <row r="8" spans="1:10" ht="21" customHeight="1">
      <c r="A8" s="38" t="s">
        <v>197</v>
      </c>
      <c r="B8" s="109">
        <f>'تراز يوروئي و ارزمحل'!D9</f>
        <v>0</v>
      </c>
      <c r="C8" s="283"/>
      <c r="D8" s="283"/>
      <c r="E8" s="283"/>
      <c r="F8" s="109">
        <f>B8</f>
        <v>0</v>
      </c>
      <c r="G8" s="284"/>
    </row>
    <row r="9" spans="1:10" ht="21" customHeight="1">
      <c r="A9" s="38" t="s">
        <v>195</v>
      </c>
      <c r="B9" s="283"/>
      <c r="C9" s="283"/>
      <c r="D9" s="109">
        <f>'تراز يوروئي و ارزمحل'!D50/تسعير!E34</f>
        <v>0</v>
      </c>
      <c r="E9" s="283"/>
      <c r="F9" s="109">
        <f>D9</f>
        <v>0</v>
      </c>
      <c r="G9" s="284"/>
    </row>
    <row r="10" spans="1:10" ht="21" customHeight="1">
      <c r="A10" s="38" t="s">
        <v>196</v>
      </c>
      <c r="B10" s="283"/>
      <c r="C10" s="283"/>
      <c r="D10" s="109">
        <f>'تراز يوروئي و ارزمحل'!D51/تسعير!E34</f>
        <v>0</v>
      </c>
      <c r="E10" s="283"/>
      <c r="F10" s="109">
        <f>D10</f>
        <v>0</v>
      </c>
      <c r="G10" s="284"/>
    </row>
    <row r="11" spans="1:10" ht="21" customHeight="1">
      <c r="A11" s="37" t="s">
        <v>57</v>
      </c>
      <c r="B11" s="285"/>
      <c r="C11" s="285"/>
      <c r="D11" s="285"/>
      <c r="E11" s="285"/>
      <c r="F11" s="285"/>
      <c r="G11" s="294"/>
    </row>
    <row r="12" spans="1:10" ht="21" customHeight="1">
      <c r="A12" s="38" t="s">
        <v>198</v>
      </c>
      <c r="B12" s="295">
        <f>'تراز يوروئي و ارزمحل'!D11</f>
        <v>84386.8</v>
      </c>
      <c r="C12" s="109">
        <f>'تراز يوروئي و ارزمحل'!E11</f>
        <v>0</v>
      </c>
      <c r="D12" s="295">
        <f>'تراز يوروئي و ارزمحل'!D53/تسعير!E34</f>
        <v>0</v>
      </c>
      <c r="E12" s="109">
        <f>'تراز يوروئي و ارزمحل'!E53/'تراز يوروئي و ارزمحل'!E45</f>
        <v>0</v>
      </c>
      <c r="F12" s="295">
        <f>D12+B12-E12-C12</f>
        <v>84386.8</v>
      </c>
      <c r="G12" s="284"/>
      <c r="H12" s="80"/>
      <c r="J12" s="81"/>
    </row>
    <row r="13" spans="1:10" ht="21" customHeight="1">
      <c r="A13" s="37" t="s">
        <v>58</v>
      </c>
      <c r="B13" s="285"/>
      <c r="C13" s="285"/>
      <c r="D13" s="285"/>
      <c r="E13" s="285"/>
      <c r="F13" s="285"/>
      <c r="G13" s="286"/>
    </row>
    <row r="14" spans="1:10" ht="21" customHeight="1">
      <c r="A14" s="26" t="s">
        <v>359</v>
      </c>
      <c r="B14" s="283"/>
      <c r="C14" s="109">
        <f>'تراز يوروئي و ارزمحل'!E13</f>
        <v>16058</v>
      </c>
      <c r="D14" s="283"/>
      <c r="E14" s="109">
        <f>'تراز يوروئي و ارزمحل'!E55/تسعير!E34</f>
        <v>0</v>
      </c>
      <c r="F14" s="283"/>
      <c r="G14" s="110">
        <f>E14+C14</f>
        <v>16058</v>
      </c>
    </row>
    <row r="15" spans="1:10" ht="21" customHeight="1">
      <c r="A15" s="38" t="s">
        <v>360</v>
      </c>
      <c r="B15" s="109">
        <f>'تراز يوروئي و ارزمحل'!D14</f>
        <v>16058</v>
      </c>
      <c r="C15" s="283"/>
      <c r="D15" s="109">
        <f>'تراز يوروئي و ارزمحل'!D56/تسعير!E34</f>
        <v>0</v>
      </c>
      <c r="E15" s="283"/>
      <c r="F15" s="109">
        <f>D15+B15</f>
        <v>16058</v>
      </c>
      <c r="G15" s="284"/>
    </row>
    <row r="16" spans="1:10" ht="21" customHeight="1">
      <c r="A16" s="38" t="s">
        <v>59</v>
      </c>
      <c r="B16" s="109">
        <f>'تراز يوروئي و ارزمحل'!D15</f>
        <v>0</v>
      </c>
      <c r="C16" s="283"/>
      <c r="D16" s="109">
        <f>'تراز يوروئي و ارزمحل'!D57/تسعير!E34</f>
        <v>0</v>
      </c>
      <c r="E16" s="283"/>
      <c r="F16" s="109">
        <f>D16+B16</f>
        <v>0</v>
      </c>
      <c r="G16" s="284"/>
    </row>
    <row r="17" spans="1:7" ht="21" customHeight="1">
      <c r="A17" s="38" t="s">
        <v>60</v>
      </c>
      <c r="B17" s="109">
        <f>'تراز يوروئي و ارزمحل'!D16</f>
        <v>0</v>
      </c>
      <c r="C17" s="283"/>
      <c r="D17" s="109">
        <f>'تراز يوروئي و ارزمحل'!D58/تسعير!E34</f>
        <v>0</v>
      </c>
      <c r="E17" s="283"/>
      <c r="F17" s="109">
        <f>D17+B17</f>
        <v>0</v>
      </c>
      <c r="G17" s="284"/>
    </row>
    <row r="18" spans="1:7" ht="21" customHeight="1">
      <c r="A18" s="38" t="s">
        <v>61</v>
      </c>
      <c r="B18" s="109">
        <f>'تراز يوروئي و ارزمحل'!D17</f>
        <v>0</v>
      </c>
      <c r="C18" s="283"/>
      <c r="D18" s="109">
        <f>'تراز يوروئي و ارزمحل'!D59/تسعير!E34</f>
        <v>0</v>
      </c>
      <c r="E18" s="283"/>
      <c r="F18" s="109">
        <f>D18+B18</f>
        <v>0</v>
      </c>
      <c r="G18" s="284"/>
    </row>
    <row r="19" spans="1:7" ht="21" customHeight="1">
      <c r="A19" s="38" t="s">
        <v>62</v>
      </c>
      <c r="B19" s="279">
        <f>'تراز يوروئي و ارزمحل'!D18</f>
        <v>55452.66</v>
      </c>
      <c r="C19" s="283"/>
      <c r="D19" s="283"/>
      <c r="E19" s="283"/>
      <c r="F19" s="279">
        <f>B19</f>
        <v>55452.66</v>
      </c>
      <c r="G19" s="284"/>
    </row>
    <row r="20" spans="1:7" ht="21" customHeight="1">
      <c r="A20" s="26" t="s">
        <v>63</v>
      </c>
      <c r="B20" s="283"/>
      <c r="C20" s="283"/>
      <c r="D20" s="283"/>
      <c r="E20" s="279">
        <f>'تراز يوروئي و ارزمحل'!E67/تسعير!E34</f>
        <v>55452.66</v>
      </c>
      <c r="F20" s="296"/>
      <c r="G20" s="297">
        <f>E20</f>
        <v>55452.66</v>
      </c>
    </row>
    <row r="21" spans="1:7" ht="21" customHeight="1">
      <c r="A21" s="37" t="s">
        <v>64</v>
      </c>
      <c r="B21" s="285"/>
      <c r="C21" s="285"/>
      <c r="D21" s="285"/>
      <c r="E21" s="285"/>
      <c r="F21" s="285"/>
      <c r="G21" s="286"/>
    </row>
    <row r="22" spans="1:7" ht="21" customHeight="1">
      <c r="A22" s="38" t="s">
        <v>65</v>
      </c>
      <c r="B22" s="279">
        <f>'تراز يوروئي و ارزمحل'!D20</f>
        <v>19591</v>
      </c>
      <c r="C22" s="283"/>
      <c r="D22" s="109">
        <f>'تراز يوروئي و ارزمحل'!D61/تسعير!E34</f>
        <v>10265.641967269501</v>
      </c>
      <c r="E22" s="283"/>
      <c r="F22" s="109">
        <f>D22+B22</f>
        <v>29856.641967269501</v>
      </c>
      <c r="G22" s="284"/>
    </row>
    <row r="23" spans="1:7" ht="21" customHeight="1">
      <c r="A23" s="38" t="s">
        <v>66</v>
      </c>
      <c r="B23" s="109">
        <f>'تراز يوروئي و ارزمحل'!D21</f>
        <v>1050</v>
      </c>
      <c r="C23" s="283"/>
      <c r="D23" s="109">
        <f>'تراز يوروئي و ارزمحل'!D62/تسعير!E34</f>
        <v>45187.018032730506</v>
      </c>
      <c r="E23" s="283"/>
      <c r="F23" s="109">
        <f>D23+B23</f>
        <v>46237.018032730506</v>
      </c>
      <c r="G23" s="284"/>
    </row>
    <row r="24" spans="1:7" ht="21" customHeight="1">
      <c r="A24" s="38" t="s">
        <v>67</v>
      </c>
      <c r="B24" s="109">
        <f>'تراز يوروئي و ارزمحل'!D22</f>
        <v>54363</v>
      </c>
      <c r="C24" s="283"/>
      <c r="D24" s="283"/>
      <c r="E24" s="283"/>
      <c r="F24" s="109">
        <f>B24</f>
        <v>54363</v>
      </c>
      <c r="G24" s="284"/>
    </row>
    <row r="25" spans="1:7" ht="21" customHeight="1">
      <c r="A25" s="38" t="s">
        <v>68</v>
      </c>
      <c r="B25" s="109">
        <f>'تراز يوروئي و ارزمحل'!D23</f>
        <v>0</v>
      </c>
      <c r="C25" s="283"/>
      <c r="D25" s="109">
        <f>'تراز يوروئي و ارزمحل'!D63/تسعير!E34</f>
        <v>0</v>
      </c>
      <c r="E25" s="283"/>
      <c r="F25" s="109">
        <f>D25+B25</f>
        <v>0</v>
      </c>
      <c r="G25" s="284"/>
    </row>
    <row r="26" spans="1:7" ht="21" customHeight="1">
      <c r="A26" s="38" t="s">
        <v>69</v>
      </c>
      <c r="B26" s="109">
        <f>'تراز يوروئي و ارزمحل'!D24</f>
        <v>0</v>
      </c>
      <c r="C26" s="283"/>
      <c r="D26" s="109">
        <f>'تراز يوروئي و ارزمحل'!D64/تسعير!E34</f>
        <v>0</v>
      </c>
      <c r="E26" s="283"/>
      <c r="F26" s="109">
        <f>D26+B26</f>
        <v>0</v>
      </c>
      <c r="G26" s="284"/>
    </row>
    <row r="27" spans="1:7" ht="21" customHeight="1">
      <c r="A27" s="38" t="s">
        <v>70</v>
      </c>
      <c r="B27" s="111"/>
      <c r="C27" s="283"/>
      <c r="D27" s="287"/>
      <c r="E27" s="283"/>
      <c r="F27" s="109">
        <f>D27+B27</f>
        <v>0</v>
      </c>
      <c r="G27" s="284"/>
    </row>
    <row r="28" spans="1:7" ht="21" customHeight="1">
      <c r="A28" s="38" t="s">
        <v>71</v>
      </c>
      <c r="B28" s="111"/>
      <c r="C28" s="283"/>
      <c r="D28" s="287"/>
      <c r="E28" s="283"/>
      <c r="F28" s="109">
        <f>D28+B28</f>
        <v>0</v>
      </c>
      <c r="G28" s="284"/>
    </row>
    <row r="29" spans="1:7" ht="21" customHeight="1">
      <c r="A29" s="27" t="s">
        <v>72</v>
      </c>
      <c r="B29" s="285"/>
      <c r="C29" s="285"/>
      <c r="D29" s="285"/>
      <c r="E29" s="285"/>
      <c r="F29" s="285"/>
      <c r="G29" s="286"/>
    </row>
    <row r="30" spans="1:7" ht="21" customHeight="1">
      <c r="A30" s="38" t="s">
        <v>73</v>
      </c>
      <c r="B30" s="283"/>
      <c r="C30" s="109">
        <f>'تراز يوروئي و ارزمحل'!E26</f>
        <v>138000</v>
      </c>
      <c r="D30" s="283"/>
      <c r="E30" s="283"/>
      <c r="F30" s="283"/>
      <c r="G30" s="297">
        <f>C30</f>
        <v>138000</v>
      </c>
    </row>
    <row r="31" spans="1:7" ht="21" customHeight="1">
      <c r="A31" s="38" t="s">
        <v>74</v>
      </c>
      <c r="B31" s="283"/>
      <c r="C31" s="109">
        <f>'تراز يوروئي و ارزمحل'!E27</f>
        <v>0</v>
      </c>
      <c r="D31" s="283"/>
      <c r="E31" s="283"/>
      <c r="F31" s="283"/>
      <c r="G31" s="110">
        <f>C31</f>
        <v>0</v>
      </c>
    </row>
    <row r="32" spans="1:7" ht="21" customHeight="1">
      <c r="A32" s="37" t="s">
        <v>75</v>
      </c>
      <c r="B32" s="285"/>
      <c r="C32" s="285"/>
      <c r="D32" s="285"/>
      <c r="E32" s="285"/>
      <c r="F32" s="285"/>
      <c r="G32" s="286"/>
    </row>
    <row r="33" spans="1:7" ht="21" customHeight="1">
      <c r="A33" s="78" t="s">
        <v>199</v>
      </c>
      <c r="B33" s="283"/>
      <c r="C33" s="109">
        <f>'تراز يوروئي و ارزمحل'!E29</f>
        <v>76843.5</v>
      </c>
      <c r="D33" s="283"/>
      <c r="E33" s="109">
        <f>'تراز يوروئي و ارزمحل'!E66/تسعير!E34</f>
        <v>0</v>
      </c>
      <c r="F33" s="296"/>
      <c r="G33" s="110">
        <f>E33+C33</f>
        <v>76843.5</v>
      </c>
    </row>
    <row r="34" spans="1:7" ht="21" customHeight="1">
      <c r="A34" s="38" t="s">
        <v>76</v>
      </c>
      <c r="B34" s="283"/>
      <c r="C34" s="109">
        <f>'تراز يوروئي و ارزمحل'!E30</f>
        <v>0</v>
      </c>
      <c r="D34" s="283"/>
      <c r="E34" s="109">
        <f>'تراز يوروئي و ارزمحل'!E68/تسعير!E34</f>
        <v>0</v>
      </c>
      <c r="F34" s="283"/>
      <c r="G34" s="110">
        <f>E34+C34</f>
        <v>0</v>
      </c>
    </row>
    <row r="35" spans="1:7" ht="21" customHeight="1" thickBot="1">
      <c r="A35" s="39" t="s">
        <v>4</v>
      </c>
      <c r="B35" s="113">
        <f t="shared" ref="B35:G35" si="0">SUM(B6:B34)</f>
        <v>230901.46000000002</v>
      </c>
      <c r="C35" s="113">
        <f t="shared" si="0"/>
        <v>230901.5</v>
      </c>
      <c r="D35" s="120">
        <f t="shared" si="0"/>
        <v>55452.66</v>
      </c>
      <c r="E35" s="120">
        <f t="shared" si="0"/>
        <v>55452.66</v>
      </c>
      <c r="F35" s="120">
        <f t="shared" si="0"/>
        <v>286354.12</v>
      </c>
      <c r="G35" s="298">
        <f t="shared" si="0"/>
        <v>286354.16000000003</v>
      </c>
    </row>
    <row r="36" spans="1:7" ht="21" customHeight="1">
      <c r="A36" s="505" t="s">
        <v>593</v>
      </c>
      <c r="B36" s="506"/>
      <c r="C36" s="506"/>
      <c r="D36" s="506"/>
      <c r="E36" s="506"/>
      <c r="F36" s="506"/>
      <c r="G36" s="506"/>
    </row>
    <row r="37" spans="1:7" ht="21" customHeight="1">
      <c r="A37" s="30" t="s">
        <v>53</v>
      </c>
    </row>
    <row r="38" spans="1:7" ht="21" customHeight="1">
      <c r="A38" s="384" t="s">
        <v>592</v>
      </c>
      <c r="D38" s="507" t="s">
        <v>283</v>
      </c>
      <c r="E38" s="507"/>
      <c r="F38" s="507"/>
    </row>
  </sheetData>
  <mergeCells count="9">
    <mergeCell ref="A1:D1"/>
    <mergeCell ref="A2:D2"/>
    <mergeCell ref="A36:G36"/>
    <mergeCell ref="D38:F38"/>
    <mergeCell ref="B4:C4"/>
    <mergeCell ref="D4:E4"/>
    <mergeCell ref="F4:G4"/>
    <mergeCell ref="A4:A5"/>
    <mergeCell ref="A3:C3"/>
  </mergeCells>
  <pageMargins left="0.19685039370078741" right="0.47244094488188981" top="0.39370078740157483" bottom="0.39370078740157483" header="0.31496062992125984" footer="0.31496062992125984"/>
  <pageSetup paperSize="9" orientation="portrait" verticalDpi="1200" r:id="rId1"/>
</worksheet>
</file>

<file path=xl/worksheets/sheet8.xml><?xml version="1.0" encoding="utf-8"?>
<worksheet xmlns="http://schemas.openxmlformats.org/spreadsheetml/2006/main" xmlns:r="http://schemas.openxmlformats.org/officeDocument/2006/relationships">
  <sheetPr>
    <tabColor rgb="FF00B0F0"/>
  </sheetPr>
  <dimension ref="A1:J343"/>
  <sheetViews>
    <sheetView rightToLeft="1" topLeftCell="A67" zoomScaleNormal="100" workbookViewId="0">
      <selection activeCell="H85" sqref="H85"/>
    </sheetView>
  </sheetViews>
  <sheetFormatPr defaultRowHeight="15"/>
  <cols>
    <col min="1" max="1" width="5.5703125" style="4" customWidth="1"/>
    <col min="2" max="3" width="15.5703125" style="4" customWidth="1"/>
    <col min="4" max="5" width="12.5703125" style="4" customWidth="1"/>
    <col min="6" max="6" width="8.5703125" style="4" customWidth="1"/>
    <col min="7" max="8" width="12.5703125" style="4" customWidth="1"/>
    <col min="9" max="9" width="20.5703125" style="4" customWidth="1"/>
  </cols>
  <sheetData>
    <row r="1" spans="1:6" ht="21" customHeight="1">
      <c r="A1" s="517" t="s">
        <v>110</v>
      </c>
      <c r="B1" s="517"/>
      <c r="C1" s="517"/>
      <c r="D1" s="517"/>
      <c r="E1" s="517"/>
      <c r="F1" s="517"/>
    </row>
    <row r="2" spans="1:6" ht="21" customHeight="1">
      <c r="A2" s="517" t="s">
        <v>111</v>
      </c>
      <c r="B2" s="517"/>
      <c r="C2" s="517"/>
      <c r="D2" s="517"/>
      <c r="E2" s="517"/>
      <c r="F2" s="517"/>
    </row>
    <row r="3" spans="1:6" ht="21" customHeight="1">
      <c r="A3" s="517" t="s">
        <v>112</v>
      </c>
      <c r="B3" s="517"/>
      <c r="C3" s="517"/>
      <c r="D3" s="517"/>
      <c r="E3" s="517"/>
      <c r="F3" s="517"/>
    </row>
    <row r="4" spans="1:6" ht="21" customHeight="1">
      <c r="A4" s="517" t="s">
        <v>113</v>
      </c>
      <c r="B4" s="517"/>
      <c r="C4" s="517"/>
      <c r="D4" s="517"/>
      <c r="E4" s="517"/>
      <c r="F4" s="517"/>
    </row>
    <row r="5" spans="1:6" ht="21" customHeight="1">
      <c r="A5" s="517" t="s">
        <v>114</v>
      </c>
      <c r="B5" s="517"/>
      <c r="C5" s="517"/>
      <c r="D5" s="517"/>
      <c r="E5" s="517"/>
      <c r="F5" s="517"/>
    </row>
    <row r="6" spans="1:6" ht="21" customHeight="1">
      <c r="A6" s="517" t="s">
        <v>115</v>
      </c>
      <c r="B6" s="517"/>
      <c r="C6" s="517"/>
      <c r="D6" s="517"/>
      <c r="E6" s="517"/>
      <c r="F6" s="517"/>
    </row>
    <row r="7" spans="1:6" ht="21" customHeight="1">
      <c r="A7" s="517" t="s">
        <v>116</v>
      </c>
      <c r="B7" s="517"/>
      <c r="C7" s="517"/>
      <c r="D7" s="517"/>
      <c r="E7" s="517"/>
      <c r="F7" s="517"/>
    </row>
    <row r="8" spans="1:6" ht="21" customHeight="1">
      <c r="A8" s="517" t="s">
        <v>117</v>
      </c>
      <c r="B8" s="517"/>
      <c r="C8" s="517"/>
      <c r="D8" s="517"/>
      <c r="E8" s="517"/>
      <c r="F8" s="517"/>
    </row>
    <row r="9" spans="1:6" ht="21" customHeight="1">
      <c r="A9" s="517" t="s">
        <v>119</v>
      </c>
      <c r="B9" s="517"/>
      <c r="C9" s="517"/>
      <c r="D9" s="517"/>
      <c r="E9" s="517"/>
      <c r="F9" s="517"/>
    </row>
    <row r="10" spans="1:6" ht="21" customHeight="1">
      <c r="A10" s="517" t="s">
        <v>120</v>
      </c>
      <c r="B10" s="517"/>
      <c r="C10" s="517"/>
      <c r="D10" s="517"/>
      <c r="E10" s="517"/>
      <c r="F10" s="517"/>
    </row>
    <row r="11" spans="1:6" ht="21" customHeight="1">
      <c r="A11" s="517" t="s">
        <v>121</v>
      </c>
      <c r="B11" s="517"/>
      <c r="C11" s="517"/>
      <c r="D11" s="517"/>
      <c r="E11" s="517"/>
      <c r="F11" s="517"/>
    </row>
    <row r="12" spans="1:6" ht="21" customHeight="1">
      <c r="A12" s="517" t="s">
        <v>118</v>
      </c>
      <c r="B12" s="517"/>
      <c r="C12" s="517"/>
      <c r="D12" s="517"/>
      <c r="E12" s="517"/>
      <c r="F12" s="517"/>
    </row>
    <row r="32" spans="1:6" ht="17.25" customHeight="1">
      <c r="A32" s="521" t="s">
        <v>109</v>
      </c>
      <c r="B32" s="521"/>
      <c r="C32" s="521"/>
      <c r="D32" s="521"/>
      <c r="E32" s="521"/>
      <c r="F32" s="521"/>
    </row>
    <row r="33" spans="1:10" ht="17.25" customHeight="1" thickBot="1">
      <c r="A33" s="517" t="s">
        <v>108</v>
      </c>
      <c r="B33" s="517"/>
      <c r="C33" s="517"/>
      <c r="D33" s="517"/>
      <c r="E33" s="517"/>
      <c r="F33" s="517"/>
      <c r="G33" s="49" t="s">
        <v>134</v>
      </c>
      <c r="H33" s="403">
        <f>تسعير!E34</f>
        <v>3.7750001532838997</v>
      </c>
    </row>
    <row r="34" spans="1:10" ht="30" customHeight="1">
      <c r="A34" s="58" t="s">
        <v>122</v>
      </c>
      <c r="B34" s="59" t="s">
        <v>123</v>
      </c>
      <c r="C34" s="59" t="s">
        <v>124</v>
      </c>
      <c r="D34" s="60" t="s">
        <v>127</v>
      </c>
      <c r="E34" s="60" t="s">
        <v>128</v>
      </c>
      <c r="F34" s="60" t="s">
        <v>125</v>
      </c>
      <c r="G34" s="60" t="s">
        <v>135</v>
      </c>
      <c r="H34" s="324" t="s">
        <v>129</v>
      </c>
      <c r="I34" s="61" t="s">
        <v>126</v>
      </c>
      <c r="J34" s="50"/>
    </row>
    <row r="35" spans="1:10" ht="21" customHeight="1">
      <c r="A35" s="87">
        <v>1</v>
      </c>
      <c r="B35" s="55"/>
      <c r="C35" s="55"/>
      <c r="D35" s="55"/>
      <c r="E35" s="55"/>
      <c r="F35" s="55"/>
      <c r="G35" s="55"/>
      <c r="H35" s="320">
        <f>D35+(E35/H33)+G35</f>
        <v>0</v>
      </c>
      <c r="I35" s="56"/>
      <c r="J35" s="50"/>
    </row>
    <row r="36" spans="1:10" ht="21" customHeight="1">
      <c r="A36" s="87">
        <v>2</v>
      </c>
      <c r="B36" s="55"/>
      <c r="C36" s="55"/>
      <c r="D36" s="55"/>
      <c r="E36" s="55"/>
      <c r="F36" s="55"/>
      <c r="G36" s="55"/>
      <c r="H36" s="320">
        <f>D36+E36/H33+G36</f>
        <v>0</v>
      </c>
      <c r="I36" s="56"/>
      <c r="J36" s="50"/>
    </row>
    <row r="37" spans="1:10" ht="21" customHeight="1">
      <c r="A37" s="87">
        <v>3</v>
      </c>
      <c r="B37" s="55"/>
      <c r="C37" s="55"/>
      <c r="D37" s="55"/>
      <c r="E37" s="55"/>
      <c r="F37" s="55"/>
      <c r="G37" s="55"/>
      <c r="H37" s="320">
        <f>D37+E37/H33+G37</f>
        <v>0</v>
      </c>
      <c r="I37" s="56"/>
      <c r="J37" s="50"/>
    </row>
    <row r="38" spans="1:10" ht="21" customHeight="1">
      <c r="A38" s="87">
        <v>4</v>
      </c>
      <c r="B38" s="55"/>
      <c r="C38" s="55"/>
      <c r="D38" s="55"/>
      <c r="E38" s="55"/>
      <c r="F38" s="55"/>
      <c r="G38" s="55"/>
      <c r="H38" s="320">
        <f>D38+E38/H33+G38</f>
        <v>0</v>
      </c>
      <c r="I38" s="56"/>
      <c r="J38" s="50"/>
    </row>
    <row r="39" spans="1:10" ht="21" customHeight="1">
      <c r="A39" s="87">
        <v>5</v>
      </c>
      <c r="B39" s="55"/>
      <c r="C39" s="55"/>
      <c r="D39" s="55"/>
      <c r="E39" s="55"/>
      <c r="F39" s="55"/>
      <c r="G39" s="55"/>
      <c r="H39" s="320">
        <f>D39+E39/H33+G39</f>
        <v>0</v>
      </c>
      <c r="I39" s="56"/>
      <c r="J39" s="50"/>
    </row>
    <row r="40" spans="1:10" ht="21" customHeight="1">
      <c r="A40" s="87">
        <v>6</v>
      </c>
      <c r="B40" s="55"/>
      <c r="C40" s="55"/>
      <c r="D40" s="55"/>
      <c r="E40" s="55"/>
      <c r="F40" s="55"/>
      <c r="G40" s="55"/>
      <c r="H40" s="320">
        <f>D40+E40/H33+G40</f>
        <v>0</v>
      </c>
      <c r="I40" s="56"/>
      <c r="J40" s="50"/>
    </row>
    <row r="41" spans="1:10" ht="21" customHeight="1">
      <c r="A41" s="87">
        <v>7</v>
      </c>
      <c r="B41" s="55"/>
      <c r="C41" s="55"/>
      <c r="D41" s="55"/>
      <c r="E41" s="55"/>
      <c r="F41" s="55"/>
      <c r="G41" s="55"/>
      <c r="H41" s="320">
        <f>D41+E41/H33+G41</f>
        <v>0</v>
      </c>
      <c r="I41" s="56"/>
      <c r="J41" s="50"/>
    </row>
    <row r="42" spans="1:10" ht="21" customHeight="1">
      <c r="A42" s="87">
        <v>8</v>
      </c>
      <c r="B42" s="55"/>
      <c r="C42" s="55"/>
      <c r="D42" s="55"/>
      <c r="E42" s="55"/>
      <c r="F42" s="55"/>
      <c r="G42" s="55"/>
      <c r="H42" s="320">
        <f>D42+E42/H33+G42</f>
        <v>0</v>
      </c>
      <c r="I42" s="56"/>
      <c r="J42" s="50"/>
    </row>
    <row r="43" spans="1:10" ht="21" customHeight="1">
      <c r="A43" s="87">
        <v>9</v>
      </c>
      <c r="B43" s="55"/>
      <c r="C43" s="55"/>
      <c r="D43" s="55"/>
      <c r="E43" s="55"/>
      <c r="F43" s="55"/>
      <c r="G43" s="55"/>
      <c r="H43" s="320">
        <f>D43+E43/H33+G43</f>
        <v>0</v>
      </c>
      <c r="I43" s="56"/>
      <c r="J43" s="50"/>
    </row>
    <row r="44" spans="1:10" ht="21" customHeight="1">
      <c r="A44" s="87">
        <v>10</v>
      </c>
      <c r="B44" s="55"/>
      <c r="C44" s="55"/>
      <c r="D44" s="55"/>
      <c r="E44" s="55"/>
      <c r="F44" s="55"/>
      <c r="G44" s="55"/>
      <c r="H44" s="320">
        <f>D44+E44/H33+G44</f>
        <v>0</v>
      </c>
      <c r="I44" s="56"/>
      <c r="J44" s="50"/>
    </row>
    <row r="45" spans="1:10" ht="21" customHeight="1">
      <c r="A45" s="87">
        <v>11</v>
      </c>
      <c r="B45" s="55"/>
      <c r="C45" s="55"/>
      <c r="D45" s="55"/>
      <c r="E45" s="55"/>
      <c r="F45" s="55"/>
      <c r="G45" s="55"/>
      <c r="H45" s="320">
        <f>D45+E45/H33+G45</f>
        <v>0</v>
      </c>
      <c r="I45" s="56"/>
      <c r="J45" s="50"/>
    </row>
    <row r="46" spans="1:10" ht="21" customHeight="1">
      <c r="A46" s="87">
        <v>12</v>
      </c>
      <c r="B46" s="55"/>
      <c r="C46" s="55"/>
      <c r="D46" s="55"/>
      <c r="E46" s="55"/>
      <c r="F46" s="55"/>
      <c r="G46" s="55"/>
      <c r="H46" s="320">
        <f>D46+E46/H33+G46</f>
        <v>0</v>
      </c>
      <c r="I46" s="56"/>
      <c r="J46" s="50"/>
    </row>
    <row r="47" spans="1:10" s="52" customFormat="1" ht="21" customHeight="1" thickBot="1">
      <c r="A47" s="522" t="s">
        <v>131</v>
      </c>
      <c r="B47" s="523"/>
      <c r="C47" s="524"/>
      <c r="D47" s="57">
        <f>SUM(D35:D46)</f>
        <v>0</v>
      </c>
      <c r="E47" s="57">
        <f>SUM(E35:E46)</f>
        <v>0</v>
      </c>
      <c r="F47" s="57">
        <f>SUM(F35:F46)</f>
        <v>0</v>
      </c>
      <c r="G47" s="57">
        <f>SUM(G35:G46)</f>
        <v>0</v>
      </c>
      <c r="H47" s="321">
        <f>SUM(H35:H46)</f>
        <v>0</v>
      </c>
      <c r="I47" s="54"/>
      <c r="J47" s="51"/>
    </row>
    <row r="48" spans="1:10" s="52" customFormat="1" ht="21" customHeight="1">
      <c r="A48" s="518" t="s">
        <v>130</v>
      </c>
      <c r="B48" s="518"/>
      <c r="C48" s="518"/>
      <c r="D48" s="518"/>
      <c r="E48" s="518"/>
      <c r="F48" s="518"/>
      <c r="G48" s="518"/>
      <c r="H48" s="518"/>
      <c r="I48" s="518"/>
      <c r="J48" s="51"/>
    </row>
    <row r="49" spans="1:10" s="52" customFormat="1" ht="21" customHeight="1">
      <c r="A49" s="519"/>
      <c r="B49" s="519"/>
      <c r="C49" s="519"/>
      <c r="D49" s="519"/>
      <c r="E49" s="519"/>
      <c r="F49" s="519"/>
      <c r="G49" s="519"/>
      <c r="H49" s="519"/>
      <c r="I49" s="519"/>
      <c r="J49" s="51"/>
    </row>
    <row r="50" spans="1:10" ht="21" customHeight="1">
      <c r="A50" s="520"/>
      <c r="B50" s="520"/>
      <c r="C50" s="520"/>
      <c r="D50" s="520"/>
      <c r="E50" s="520"/>
      <c r="F50" s="520"/>
      <c r="G50" s="520"/>
      <c r="H50" s="520"/>
      <c r="I50" s="520"/>
      <c r="J50" s="50"/>
    </row>
    <row r="51" spans="1:10" ht="21" customHeight="1">
      <c r="A51" s="525" t="s">
        <v>132</v>
      </c>
      <c r="B51" s="525"/>
      <c r="C51" s="525"/>
      <c r="D51" s="53"/>
      <c r="E51" s="53"/>
      <c r="F51" s="53"/>
      <c r="G51" s="525" t="s">
        <v>133</v>
      </c>
      <c r="H51" s="525"/>
      <c r="I51" s="53"/>
      <c r="J51" s="50"/>
    </row>
    <row r="52" spans="1:10">
      <c r="A52" s="53"/>
      <c r="B52" s="53"/>
      <c r="C52" s="53"/>
      <c r="D52" s="53"/>
      <c r="E52" s="53"/>
      <c r="F52" s="53"/>
      <c r="I52" s="53"/>
      <c r="J52" s="50"/>
    </row>
    <row r="53" spans="1:10">
      <c r="A53" s="53"/>
      <c r="B53" s="53"/>
      <c r="C53" s="53"/>
      <c r="D53" s="53"/>
      <c r="E53" s="53"/>
      <c r="F53" s="53"/>
      <c r="G53" s="53"/>
      <c r="H53" s="53"/>
      <c r="I53" s="53"/>
      <c r="J53" s="50"/>
    </row>
    <row r="54" spans="1:10">
      <c r="A54" s="53"/>
      <c r="B54" s="53"/>
      <c r="C54" s="53"/>
      <c r="D54" s="53"/>
      <c r="E54" s="53"/>
      <c r="F54" s="53"/>
      <c r="G54" s="53"/>
      <c r="H54" s="53"/>
      <c r="I54" s="53"/>
      <c r="J54" s="50"/>
    </row>
    <row r="55" spans="1:10">
      <c r="A55" s="53"/>
      <c r="B55" s="53"/>
      <c r="C55" s="53"/>
      <c r="D55" s="53"/>
      <c r="E55" s="53"/>
      <c r="F55" s="53"/>
      <c r="G55" s="53"/>
      <c r="H55" s="53"/>
      <c r="I55" s="53"/>
      <c r="J55" s="50"/>
    </row>
    <row r="56" spans="1:10">
      <c r="A56" s="53"/>
      <c r="B56" s="53"/>
      <c r="C56" s="53"/>
      <c r="D56" s="53"/>
      <c r="E56" s="53"/>
      <c r="F56" s="53"/>
      <c r="G56" s="53"/>
      <c r="H56" s="53"/>
      <c r="I56" s="53"/>
      <c r="J56" s="50"/>
    </row>
    <row r="57" spans="1:10">
      <c r="A57" s="53"/>
      <c r="B57" s="53"/>
      <c r="C57" s="53"/>
      <c r="D57" s="53"/>
      <c r="E57" s="53"/>
      <c r="F57" s="53"/>
      <c r="G57" s="53"/>
      <c r="H57" s="53"/>
      <c r="I57" s="53"/>
      <c r="J57" s="50"/>
    </row>
    <row r="58" spans="1:10" ht="21" customHeight="1">
      <c r="A58" s="521" t="s">
        <v>109</v>
      </c>
      <c r="B58" s="521"/>
      <c r="C58" s="521"/>
      <c r="D58" s="521"/>
      <c r="E58" s="521"/>
      <c r="F58" s="521"/>
    </row>
    <row r="59" spans="1:10" ht="21" customHeight="1" thickBot="1">
      <c r="A59" s="517" t="s">
        <v>136</v>
      </c>
      <c r="B59" s="517"/>
      <c r="C59" s="517"/>
      <c r="D59" s="517"/>
      <c r="E59" s="517"/>
      <c r="F59" s="517"/>
      <c r="G59" s="49" t="s">
        <v>134</v>
      </c>
      <c r="H59" s="403">
        <f>تسعير!E34</f>
        <v>3.7750001532838997</v>
      </c>
    </row>
    <row r="60" spans="1:10" ht="47.25">
      <c r="A60" s="58" t="s">
        <v>122</v>
      </c>
      <c r="B60" s="59" t="s">
        <v>123</v>
      </c>
      <c r="C60" s="59" t="s">
        <v>124</v>
      </c>
      <c r="D60" s="60" t="s">
        <v>127</v>
      </c>
      <c r="E60" s="60" t="s">
        <v>128</v>
      </c>
      <c r="F60" s="60" t="s">
        <v>125</v>
      </c>
      <c r="G60" s="60" t="s">
        <v>135</v>
      </c>
      <c r="H60" s="319" t="s">
        <v>129</v>
      </c>
      <c r="I60" s="61" t="s">
        <v>126</v>
      </c>
      <c r="J60" s="50"/>
    </row>
    <row r="61" spans="1:10" ht="21" customHeight="1">
      <c r="A61" s="87">
        <v>1</v>
      </c>
      <c r="B61" s="55"/>
      <c r="C61" s="55"/>
      <c r="D61" s="55"/>
      <c r="E61" s="55"/>
      <c r="F61" s="55"/>
      <c r="G61" s="55"/>
      <c r="H61" s="320">
        <f>D61+E61/H59+G61</f>
        <v>0</v>
      </c>
      <c r="I61" s="56"/>
      <c r="J61" s="50"/>
    </row>
    <row r="62" spans="1:10" ht="21" customHeight="1">
      <c r="A62" s="87">
        <v>2</v>
      </c>
      <c r="B62" s="55"/>
      <c r="C62" s="55"/>
      <c r="D62" s="55"/>
      <c r="E62" s="55"/>
      <c r="F62" s="55"/>
      <c r="G62" s="55"/>
      <c r="H62" s="320">
        <f>D62+E62/H59+G62</f>
        <v>0</v>
      </c>
      <c r="I62" s="56"/>
      <c r="J62" s="50"/>
    </row>
    <row r="63" spans="1:10" ht="21" customHeight="1">
      <c r="A63" s="87">
        <v>3</v>
      </c>
      <c r="B63" s="55"/>
      <c r="C63" s="55"/>
      <c r="D63" s="55"/>
      <c r="E63" s="55"/>
      <c r="F63" s="55"/>
      <c r="G63" s="55"/>
      <c r="H63" s="320">
        <f>D63+E63/H59+G63</f>
        <v>0</v>
      </c>
      <c r="I63" s="56"/>
      <c r="J63" s="50"/>
    </row>
    <row r="64" spans="1:10" ht="21" customHeight="1">
      <c r="A64" s="87">
        <v>4</v>
      </c>
      <c r="B64" s="55"/>
      <c r="C64" s="55"/>
      <c r="D64" s="55"/>
      <c r="E64" s="55"/>
      <c r="F64" s="55"/>
      <c r="G64" s="55"/>
      <c r="H64" s="320">
        <f>D64+E64/H59+G64</f>
        <v>0</v>
      </c>
      <c r="I64" s="56"/>
      <c r="J64" s="50"/>
    </row>
    <row r="65" spans="1:10" ht="21" customHeight="1">
      <c r="A65" s="87">
        <v>5</v>
      </c>
      <c r="B65" s="55"/>
      <c r="C65" s="55"/>
      <c r="D65" s="55"/>
      <c r="E65" s="55"/>
      <c r="F65" s="55"/>
      <c r="G65" s="55"/>
      <c r="H65" s="320">
        <f>D65+E65/H59+G65</f>
        <v>0</v>
      </c>
      <c r="I65" s="56"/>
      <c r="J65" s="50"/>
    </row>
    <row r="66" spans="1:10" ht="21" customHeight="1">
      <c r="A66" s="87">
        <v>6</v>
      </c>
      <c r="B66" s="55"/>
      <c r="C66" s="55"/>
      <c r="D66" s="55"/>
      <c r="E66" s="55"/>
      <c r="F66" s="55"/>
      <c r="G66" s="55"/>
      <c r="H66" s="320">
        <f>D66+E66/H59+G66</f>
        <v>0</v>
      </c>
      <c r="I66" s="56"/>
      <c r="J66" s="50"/>
    </row>
    <row r="67" spans="1:10" ht="21" customHeight="1">
      <c r="A67" s="87">
        <v>7</v>
      </c>
      <c r="B67" s="55"/>
      <c r="C67" s="55"/>
      <c r="D67" s="55"/>
      <c r="E67" s="55"/>
      <c r="F67" s="55"/>
      <c r="G67" s="55"/>
      <c r="H67" s="320">
        <f>D67+E67/H59+G67</f>
        <v>0</v>
      </c>
      <c r="I67" s="56"/>
      <c r="J67" s="50"/>
    </row>
    <row r="68" spans="1:10" ht="21" customHeight="1">
      <c r="A68" s="87">
        <v>8</v>
      </c>
      <c r="B68" s="55"/>
      <c r="C68" s="55"/>
      <c r="D68" s="55"/>
      <c r="E68" s="55"/>
      <c r="F68" s="55"/>
      <c r="G68" s="55"/>
      <c r="H68" s="320">
        <f>D68+E68/H59+G68</f>
        <v>0</v>
      </c>
      <c r="I68" s="56"/>
      <c r="J68" s="50"/>
    </row>
    <row r="69" spans="1:10" ht="21" customHeight="1">
      <c r="A69" s="87">
        <v>9</v>
      </c>
      <c r="B69" s="55"/>
      <c r="C69" s="55"/>
      <c r="D69" s="55"/>
      <c r="E69" s="55"/>
      <c r="F69" s="55"/>
      <c r="G69" s="55"/>
      <c r="H69" s="320">
        <f>D69+E69/H59+G69</f>
        <v>0</v>
      </c>
      <c r="I69" s="56"/>
      <c r="J69" s="50"/>
    </row>
    <row r="70" spans="1:10" ht="21" customHeight="1">
      <c r="A70" s="87">
        <v>10</v>
      </c>
      <c r="B70" s="55"/>
      <c r="C70" s="55"/>
      <c r="D70" s="55"/>
      <c r="E70" s="55"/>
      <c r="F70" s="55"/>
      <c r="G70" s="55"/>
      <c r="H70" s="320">
        <f>D70+E70/H59+G70</f>
        <v>0</v>
      </c>
      <c r="I70" s="56"/>
      <c r="J70" s="50"/>
    </row>
    <row r="71" spans="1:10" ht="21" customHeight="1">
      <c r="A71" s="87">
        <v>11</v>
      </c>
      <c r="B71" s="55"/>
      <c r="C71" s="55"/>
      <c r="D71" s="55"/>
      <c r="E71" s="55"/>
      <c r="F71" s="55"/>
      <c r="G71" s="55"/>
      <c r="H71" s="320">
        <f>D71+E71/H59+G71</f>
        <v>0</v>
      </c>
      <c r="I71" s="56"/>
      <c r="J71" s="50"/>
    </row>
    <row r="72" spans="1:10" ht="21" customHeight="1">
      <c r="A72" s="87">
        <v>12</v>
      </c>
      <c r="B72" s="55"/>
      <c r="C72" s="55"/>
      <c r="D72" s="55"/>
      <c r="E72" s="55"/>
      <c r="F72" s="55"/>
      <c r="G72" s="55"/>
      <c r="H72" s="320">
        <f>D72+E72/H59+G72</f>
        <v>0</v>
      </c>
      <c r="I72" s="56"/>
      <c r="J72" s="50"/>
    </row>
    <row r="73" spans="1:10" ht="21" customHeight="1" thickBot="1">
      <c r="A73" s="522" t="s">
        <v>131</v>
      </c>
      <c r="B73" s="523"/>
      <c r="C73" s="524"/>
      <c r="D73" s="57">
        <f>SUM(D61:D72)</f>
        <v>0</v>
      </c>
      <c r="E73" s="57">
        <f>SUM(E61:E72)</f>
        <v>0</v>
      </c>
      <c r="F73" s="57">
        <f>SUM(F61:F72)</f>
        <v>0</v>
      </c>
      <c r="G73" s="57">
        <f>SUM(G61:G72)</f>
        <v>0</v>
      </c>
      <c r="H73" s="321">
        <f>SUM(H61:H72)</f>
        <v>0</v>
      </c>
      <c r="I73" s="54"/>
      <c r="J73" s="51"/>
    </row>
    <row r="74" spans="1:10" ht="21" customHeight="1">
      <c r="A74" s="518" t="s">
        <v>137</v>
      </c>
      <c r="B74" s="518"/>
      <c r="C74" s="518"/>
      <c r="D74" s="518"/>
      <c r="E74" s="518"/>
      <c r="F74" s="518"/>
      <c r="G74" s="518"/>
      <c r="H74" s="518"/>
      <c r="I74" s="518"/>
      <c r="J74" s="51"/>
    </row>
    <row r="75" spans="1:10" ht="21" customHeight="1">
      <c r="A75" s="519"/>
      <c r="B75" s="519"/>
      <c r="C75" s="519"/>
      <c r="D75" s="519"/>
      <c r="E75" s="519"/>
      <c r="F75" s="519"/>
      <c r="G75" s="519"/>
      <c r="H75" s="519"/>
      <c r="I75" s="519"/>
      <c r="J75" s="51"/>
    </row>
    <row r="76" spans="1:10" ht="21" customHeight="1">
      <c r="A76" s="520"/>
      <c r="B76" s="520"/>
      <c r="C76" s="520"/>
      <c r="D76" s="520"/>
      <c r="E76" s="520"/>
      <c r="F76" s="520"/>
      <c r="G76" s="520"/>
      <c r="H76" s="520"/>
      <c r="I76" s="520"/>
      <c r="J76" s="50"/>
    </row>
    <row r="77" spans="1:10" ht="21" customHeight="1">
      <c r="A77" s="525" t="s">
        <v>132</v>
      </c>
      <c r="B77" s="525"/>
      <c r="C77" s="525"/>
      <c r="D77" s="53"/>
      <c r="E77" s="53"/>
      <c r="F77" s="53"/>
      <c r="G77" s="525" t="s">
        <v>133</v>
      </c>
      <c r="H77" s="525"/>
      <c r="I77" s="53"/>
      <c r="J77" s="50"/>
    </row>
    <row r="78" spans="1:10">
      <c r="A78" s="53"/>
      <c r="B78" s="53"/>
      <c r="C78" s="53"/>
      <c r="D78" s="53"/>
      <c r="E78" s="53"/>
      <c r="F78" s="53"/>
      <c r="I78" s="53"/>
      <c r="J78" s="50"/>
    </row>
    <row r="79" spans="1:10">
      <c r="A79" s="53"/>
      <c r="B79" s="53"/>
      <c r="C79" s="53"/>
      <c r="D79" s="53"/>
      <c r="E79" s="53"/>
      <c r="F79" s="53"/>
      <c r="G79" s="53"/>
      <c r="H79" s="53"/>
      <c r="I79" s="53"/>
      <c r="J79" s="50"/>
    </row>
    <row r="80" spans="1:10">
      <c r="A80" s="53"/>
      <c r="B80" s="53"/>
      <c r="C80" s="53"/>
      <c r="D80" s="53"/>
      <c r="E80" s="53"/>
      <c r="F80" s="53"/>
      <c r="G80" s="53"/>
      <c r="H80" s="53"/>
      <c r="I80" s="53"/>
      <c r="J80" s="50"/>
    </row>
    <row r="81" spans="1:10">
      <c r="A81" s="53"/>
      <c r="B81" s="53"/>
      <c r="C81" s="53"/>
      <c r="D81" s="53"/>
      <c r="E81" s="53"/>
      <c r="F81" s="53"/>
      <c r="G81" s="53"/>
      <c r="H81" s="53"/>
      <c r="I81" s="53"/>
      <c r="J81" s="50"/>
    </row>
    <row r="82" spans="1:10">
      <c r="A82" s="53"/>
      <c r="B82" s="53"/>
      <c r="C82" s="53"/>
      <c r="D82" s="53"/>
      <c r="E82" s="53"/>
      <c r="F82" s="53"/>
      <c r="G82" s="53"/>
      <c r="H82" s="53"/>
      <c r="I82" s="53"/>
      <c r="J82" s="50"/>
    </row>
    <row r="83" spans="1:10">
      <c r="A83" s="53"/>
      <c r="B83" s="53"/>
      <c r="C83" s="53"/>
      <c r="D83" s="53"/>
      <c r="E83" s="53"/>
      <c r="F83" s="53"/>
      <c r="G83" s="53"/>
      <c r="H83" s="53"/>
      <c r="I83" s="53"/>
      <c r="J83" s="50"/>
    </row>
    <row r="84" spans="1:10" ht="21" customHeight="1">
      <c r="A84" s="521" t="s">
        <v>109</v>
      </c>
      <c r="B84" s="521"/>
      <c r="C84" s="521"/>
      <c r="D84" s="521"/>
      <c r="E84" s="521"/>
      <c r="F84" s="521"/>
      <c r="J84" s="50"/>
    </row>
    <row r="85" spans="1:10" ht="21" customHeight="1" thickBot="1">
      <c r="A85" s="517" t="s">
        <v>157</v>
      </c>
      <c r="B85" s="517"/>
      <c r="C85" s="517"/>
      <c r="D85" s="517"/>
      <c r="E85" s="517"/>
      <c r="F85" s="517"/>
      <c r="G85" s="49" t="s">
        <v>134</v>
      </c>
      <c r="H85" s="403">
        <f>تسعير!E34</f>
        <v>3.7750001532838997</v>
      </c>
    </row>
    <row r="86" spans="1:10" ht="47.25">
      <c r="A86" s="58" t="s">
        <v>122</v>
      </c>
      <c r="B86" s="59" t="s">
        <v>123</v>
      </c>
      <c r="C86" s="59" t="s">
        <v>124</v>
      </c>
      <c r="D86" s="60" t="s">
        <v>127</v>
      </c>
      <c r="E86" s="60" t="s">
        <v>128</v>
      </c>
      <c r="F86" s="60" t="s">
        <v>125</v>
      </c>
      <c r="G86" s="60" t="s">
        <v>135</v>
      </c>
      <c r="H86" s="319" t="s">
        <v>129</v>
      </c>
      <c r="I86" s="61" t="s">
        <v>126</v>
      </c>
    </row>
    <row r="87" spans="1:10" ht="21" customHeight="1">
      <c r="A87" s="87">
        <v>1</v>
      </c>
      <c r="B87" s="55"/>
      <c r="C87" s="55"/>
      <c r="D87" s="55"/>
      <c r="E87" s="55"/>
      <c r="F87" s="55"/>
      <c r="G87" s="55"/>
      <c r="H87" s="322">
        <f>D87+E87/H85+G87</f>
        <v>0</v>
      </c>
      <c r="I87" s="56"/>
    </row>
    <row r="88" spans="1:10" ht="21" customHeight="1">
      <c r="A88" s="87">
        <v>2</v>
      </c>
      <c r="B88" s="55"/>
      <c r="C88" s="55"/>
      <c r="D88" s="55"/>
      <c r="E88" s="55"/>
      <c r="F88" s="55"/>
      <c r="G88" s="55"/>
      <c r="H88" s="322">
        <f>D88+E88/H85+G88</f>
        <v>0</v>
      </c>
      <c r="I88" s="56"/>
    </row>
    <row r="89" spans="1:10" ht="21" customHeight="1">
      <c r="A89" s="87">
        <v>3</v>
      </c>
      <c r="B89" s="55"/>
      <c r="C89" s="55"/>
      <c r="D89" s="55"/>
      <c r="E89" s="55"/>
      <c r="F89" s="55"/>
      <c r="G89" s="55"/>
      <c r="H89" s="322">
        <f>D89+E89/H85+G89</f>
        <v>0</v>
      </c>
      <c r="I89" s="56"/>
    </row>
    <row r="90" spans="1:10" ht="21" customHeight="1">
      <c r="A90" s="87">
        <v>4</v>
      </c>
      <c r="B90" s="55"/>
      <c r="C90" s="55"/>
      <c r="D90" s="55"/>
      <c r="E90" s="55"/>
      <c r="F90" s="55"/>
      <c r="G90" s="55"/>
      <c r="H90" s="322">
        <f>D90+E90/H85+G90</f>
        <v>0</v>
      </c>
      <c r="I90" s="56"/>
    </row>
    <row r="91" spans="1:10" ht="21" customHeight="1">
      <c r="A91" s="87">
        <v>5</v>
      </c>
      <c r="B91" s="55"/>
      <c r="C91" s="55"/>
      <c r="D91" s="55"/>
      <c r="E91" s="55"/>
      <c r="F91" s="55"/>
      <c r="G91" s="55"/>
      <c r="H91" s="322">
        <f>D91+E91/H85+G91</f>
        <v>0</v>
      </c>
      <c r="I91" s="56"/>
    </row>
    <row r="92" spans="1:10" ht="21" customHeight="1">
      <c r="A92" s="87">
        <v>6</v>
      </c>
      <c r="B92" s="55"/>
      <c r="C92" s="55"/>
      <c r="D92" s="55"/>
      <c r="E92" s="55"/>
      <c r="F92" s="55"/>
      <c r="G92" s="55"/>
      <c r="H92" s="322">
        <f>D92+E92/H85+G92</f>
        <v>0</v>
      </c>
      <c r="I92" s="56"/>
    </row>
    <row r="93" spans="1:10" ht="21" customHeight="1">
      <c r="A93" s="87">
        <v>7</v>
      </c>
      <c r="B93" s="55"/>
      <c r="C93" s="55"/>
      <c r="D93" s="55"/>
      <c r="E93" s="55"/>
      <c r="F93" s="55"/>
      <c r="G93" s="55"/>
      <c r="H93" s="322">
        <f>D93+E93/H85+G93</f>
        <v>0</v>
      </c>
      <c r="I93" s="56"/>
    </row>
    <row r="94" spans="1:10" ht="21" customHeight="1">
      <c r="A94" s="87">
        <v>8</v>
      </c>
      <c r="B94" s="55"/>
      <c r="C94" s="55"/>
      <c r="D94" s="55"/>
      <c r="E94" s="55"/>
      <c r="F94" s="55"/>
      <c r="G94" s="55"/>
      <c r="H94" s="322">
        <f>D94+E94/H85+G94</f>
        <v>0</v>
      </c>
      <c r="I94" s="56"/>
    </row>
    <row r="95" spans="1:10" ht="21" customHeight="1">
      <c r="A95" s="87">
        <v>9</v>
      </c>
      <c r="B95" s="55"/>
      <c r="C95" s="55"/>
      <c r="D95" s="55"/>
      <c r="E95" s="55"/>
      <c r="F95" s="55"/>
      <c r="G95" s="55"/>
      <c r="H95" s="322">
        <f>D95+E95/H85+G95</f>
        <v>0</v>
      </c>
      <c r="I95" s="56"/>
    </row>
    <row r="96" spans="1:10" ht="21" customHeight="1">
      <c r="A96" s="87">
        <v>10</v>
      </c>
      <c r="B96" s="55"/>
      <c r="C96" s="55"/>
      <c r="D96" s="55"/>
      <c r="E96" s="55"/>
      <c r="F96" s="55"/>
      <c r="G96" s="55"/>
      <c r="H96" s="322">
        <f>D96+E96/H85+G96</f>
        <v>0</v>
      </c>
      <c r="I96" s="56"/>
    </row>
    <row r="97" spans="1:9" ht="21" customHeight="1">
      <c r="A97" s="87">
        <v>11</v>
      </c>
      <c r="B97" s="55"/>
      <c r="C97" s="55"/>
      <c r="D97" s="55"/>
      <c r="E97" s="55"/>
      <c r="F97" s="55"/>
      <c r="G97" s="55"/>
      <c r="H97" s="322">
        <f>D97+E97/H85+G97</f>
        <v>0</v>
      </c>
      <c r="I97" s="56"/>
    </row>
    <row r="98" spans="1:9" ht="21" customHeight="1">
      <c r="A98" s="87">
        <v>12</v>
      </c>
      <c r="B98" s="55"/>
      <c r="C98" s="55"/>
      <c r="D98" s="55"/>
      <c r="E98" s="55"/>
      <c r="F98" s="55"/>
      <c r="G98" s="55"/>
      <c r="H98" s="322">
        <f>D98+E98/H85+G98</f>
        <v>0</v>
      </c>
      <c r="I98" s="56"/>
    </row>
    <row r="99" spans="1:9" ht="21" customHeight="1" thickBot="1">
      <c r="A99" s="522" t="s">
        <v>131</v>
      </c>
      <c r="B99" s="523"/>
      <c r="C99" s="524"/>
      <c r="D99" s="57">
        <f>SUM(D87:D98)</f>
        <v>0</v>
      </c>
      <c r="E99" s="57">
        <f>SUM(E87:E98)</f>
        <v>0</v>
      </c>
      <c r="F99" s="57">
        <f>SUM(F87:F98)</f>
        <v>0</v>
      </c>
      <c r="G99" s="57">
        <f>SUM(G87:G98)</f>
        <v>0</v>
      </c>
      <c r="H99" s="323">
        <f>SUM(H87:H98)</f>
        <v>0</v>
      </c>
      <c r="I99" s="54"/>
    </row>
    <row r="100" spans="1:9" ht="21" customHeight="1">
      <c r="A100" s="518" t="s">
        <v>156</v>
      </c>
      <c r="B100" s="518"/>
      <c r="C100" s="518"/>
      <c r="D100" s="518"/>
      <c r="E100" s="518"/>
      <c r="F100" s="518"/>
      <c r="G100" s="518"/>
      <c r="H100" s="518"/>
      <c r="I100" s="518"/>
    </row>
    <row r="101" spans="1:9" ht="21" customHeight="1">
      <c r="A101" s="519"/>
      <c r="B101" s="519"/>
      <c r="C101" s="519"/>
      <c r="D101" s="519"/>
      <c r="E101" s="519"/>
      <c r="F101" s="519"/>
      <c r="G101" s="519"/>
      <c r="H101" s="519"/>
      <c r="I101" s="519"/>
    </row>
    <row r="102" spans="1:9" ht="21" customHeight="1">
      <c r="A102" s="520"/>
      <c r="B102" s="520"/>
      <c r="C102" s="520"/>
      <c r="D102" s="520"/>
      <c r="E102" s="520"/>
      <c r="F102" s="520"/>
      <c r="G102" s="520"/>
      <c r="H102" s="520"/>
      <c r="I102" s="520"/>
    </row>
    <row r="103" spans="1:9" ht="21" customHeight="1">
      <c r="A103" s="525" t="s">
        <v>132</v>
      </c>
      <c r="B103" s="525"/>
      <c r="C103" s="525"/>
      <c r="D103" s="53"/>
      <c r="E103" s="53"/>
      <c r="F103" s="53"/>
      <c r="G103" s="525" t="s">
        <v>133</v>
      </c>
      <c r="H103" s="525"/>
      <c r="I103" s="53"/>
    </row>
    <row r="104" spans="1:9">
      <c r="A104" s="53"/>
      <c r="B104" s="53"/>
      <c r="C104" s="53"/>
      <c r="D104" s="53"/>
      <c r="E104" s="53"/>
      <c r="F104" s="53"/>
      <c r="I104" s="53"/>
    </row>
    <row r="105" spans="1:9">
      <c r="A105" s="53"/>
      <c r="B105" s="53"/>
      <c r="C105" s="53"/>
      <c r="D105" s="53"/>
      <c r="E105" s="53"/>
      <c r="F105" s="53"/>
      <c r="G105" s="53"/>
      <c r="H105" s="53"/>
      <c r="I105" s="53"/>
    </row>
    <row r="106" spans="1:9">
      <c r="A106" s="53"/>
      <c r="B106" s="53"/>
      <c r="C106" s="53"/>
      <c r="D106" s="53"/>
      <c r="E106" s="53"/>
      <c r="F106" s="53"/>
      <c r="G106" s="53"/>
      <c r="H106" s="53"/>
      <c r="I106" s="53"/>
    </row>
    <row r="107" spans="1:9">
      <c r="A107" s="53"/>
      <c r="B107" s="53"/>
      <c r="C107" s="53"/>
      <c r="D107" s="53"/>
      <c r="E107" s="53"/>
      <c r="F107" s="53"/>
      <c r="G107" s="53"/>
      <c r="H107" s="53"/>
      <c r="I107" s="53"/>
    </row>
    <row r="108" spans="1:9">
      <c r="A108" s="53"/>
      <c r="B108" s="53"/>
      <c r="C108" s="53"/>
      <c r="D108" s="53"/>
      <c r="E108" s="53"/>
      <c r="F108" s="53"/>
      <c r="G108" s="53"/>
      <c r="H108" s="53"/>
      <c r="I108" s="53"/>
    </row>
    <row r="109" spans="1:9">
      <c r="A109" s="53"/>
      <c r="B109" s="53"/>
      <c r="C109" s="53"/>
      <c r="D109" s="53"/>
      <c r="E109" s="53"/>
      <c r="F109" s="53"/>
      <c r="G109" s="53"/>
      <c r="H109" s="53"/>
      <c r="I109" s="53"/>
    </row>
    <row r="110" spans="1:9" ht="21" customHeight="1">
      <c r="A110" s="521" t="s">
        <v>109</v>
      </c>
      <c r="B110" s="521"/>
      <c r="C110" s="521"/>
      <c r="D110" s="521"/>
      <c r="E110" s="521"/>
      <c r="F110" s="521"/>
    </row>
    <row r="111" spans="1:9" ht="21" customHeight="1" thickBot="1">
      <c r="A111" s="517" t="s">
        <v>155</v>
      </c>
      <c r="B111" s="517"/>
      <c r="C111" s="517"/>
      <c r="D111" s="517"/>
      <c r="E111" s="517"/>
      <c r="F111" s="517"/>
      <c r="G111" s="49" t="s">
        <v>134</v>
      </c>
      <c r="H111" s="318">
        <f>تسعير!E34</f>
        <v>3.7750001532838997</v>
      </c>
    </row>
    <row r="112" spans="1:9" ht="47.25">
      <c r="A112" s="58" t="s">
        <v>122</v>
      </c>
      <c r="B112" s="59" t="s">
        <v>123</v>
      </c>
      <c r="C112" s="59" t="s">
        <v>124</v>
      </c>
      <c r="D112" s="60" t="s">
        <v>127</v>
      </c>
      <c r="E112" s="60" t="s">
        <v>128</v>
      </c>
      <c r="F112" s="60" t="s">
        <v>125</v>
      </c>
      <c r="G112" s="60" t="s">
        <v>135</v>
      </c>
      <c r="H112" s="324" t="s">
        <v>129</v>
      </c>
      <c r="I112" s="61" t="s">
        <v>126</v>
      </c>
    </row>
    <row r="113" spans="1:9" ht="21" customHeight="1">
      <c r="A113" s="87">
        <v>1</v>
      </c>
      <c r="B113" s="55"/>
      <c r="C113" s="55"/>
      <c r="D113" s="55"/>
      <c r="E113" s="55"/>
      <c r="F113" s="55"/>
      <c r="G113" s="55"/>
      <c r="H113" s="320">
        <f>D113+E113/H111+G113</f>
        <v>0</v>
      </c>
      <c r="I113" s="56"/>
    </row>
    <row r="114" spans="1:9" ht="21" customHeight="1">
      <c r="A114" s="87">
        <v>2</v>
      </c>
      <c r="B114" s="55"/>
      <c r="C114" s="55"/>
      <c r="D114" s="55"/>
      <c r="E114" s="55"/>
      <c r="F114" s="55"/>
      <c r="G114" s="55"/>
      <c r="H114" s="320">
        <f>D114+E114/H111+G114</f>
        <v>0</v>
      </c>
      <c r="I114" s="56"/>
    </row>
    <row r="115" spans="1:9" ht="21" customHeight="1">
      <c r="A115" s="87">
        <v>3</v>
      </c>
      <c r="B115" s="55"/>
      <c r="C115" s="55"/>
      <c r="D115" s="55"/>
      <c r="E115" s="55"/>
      <c r="F115" s="55"/>
      <c r="G115" s="55"/>
      <c r="H115" s="320">
        <f>D115+E115/H111+G115</f>
        <v>0</v>
      </c>
      <c r="I115" s="56"/>
    </row>
    <row r="116" spans="1:9" ht="21" customHeight="1">
      <c r="A116" s="87">
        <v>4</v>
      </c>
      <c r="B116" s="55"/>
      <c r="C116" s="55"/>
      <c r="D116" s="55"/>
      <c r="E116" s="55"/>
      <c r="F116" s="55"/>
      <c r="G116" s="55"/>
      <c r="H116" s="320">
        <f>D116+E116/H111+G116</f>
        <v>0</v>
      </c>
      <c r="I116" s="56"/>
    </row>
    <row r="117" spans="1:9" ht="21" customHeight="1">
      <c r="A117" s="87">
        <v>5</v>
      </c>
      <c r="B117" s="55"/>
      <c r="C117" s="55"/>
      <c r="D117" s="55"/>
      <c r="E117" s="55"/>
      <c r="F117" s="55"/>
      <c r="G117" s="55"/>
      <c r="H117" s="320">
        <f>D117+E117/H111+G117</f>
        <v>0</v>
      </c>
      <c r="I117" s="56"/>
    </row>
    <row r="118" spans="1:9" ht="21" customHeight="1">
      <c r="A118" s="87">
        <v>6</v>
      </c>
      <c r="B118" s="55"/>
      <c r="C118" s="55"/>
      <c r="D118" s="55"/>
      <c r="E118" s="55"/>
      <c r="F118" s="55"/>
      <c r="G118" s="55"/>
      <c r="H118" s="320">
        <f>D118+E118/H111+G118</f>
        <v>0</v>
      </c>
      <c r="I118" s="56"/>
    </row>
    <row r="119" spans="1:9" ht="21" customHeight="1">
      <c r="A119" s="87">
        <v>7</v>
      </c>
      <c r="B119" s="55"/>
      <c r="C119" s="55"/>
      <c r="D119" s="55"/>
      <c r="E119" s="55"/>
      <c r="F119" s="55"/>
      <c r="G119" s="55"/>
      <c r="H119" s="320">
        <f>D119+E119/H111+G119</f>
        <v>0</v>
      </c>
      <c r="I119" s="56"/>
    </row>
    <row r="120" spans="1:9" ht="21" customHeight="1">
      <c r="A120" s="87">
        <v>8</v>
      </c>
      <c r="B120" s="55"/>
      <c r="C120" s="55"/>
      <c r="D120" s="55"/>
      <c r="E120" s="55"/>
      <c r="F120" s="55"/>
      <c r="G120" s="55"/>
      <c r="H120" s="320">
        <f>D120+E120/H111+G120</f>
        <v>0</v>
      </c>
      <c r="I120" s="56"/>
    </row>
    <row r="121" spans="1:9" ht="21" customHeight="1">
      <c r="A121" s="87">
        <v>9</v>
      </c>
      <c r="B121" s="55"/>
      <c r="C121" s="55"/>
      <c r="D121" s="55"/>
      <c r="E121" s="55"/>
      <c r="F121" s="55"/>
      <c r="G121" s="55"/>
      <c r="H121" s="320">
        <f>D121+E121/H111+G121</f>
        <v>0</v>
      </c>
      <c r="I121" s="56"/>
    </row>
    <row r="122" spans="1:9" ht="21" customHeight="1">
      <c r="A122" s="87">
        <v>10</v>
      </c>
      <c r="B122" s="55"/>
      <c r="C122" s="55"/>
      <c r="D122" s="55"/>
      <c r="E122" s="55"/>
      <c r="F122" s="55"/>
      <c r="G122" s="55"/>
      <c r="H122" s="320">
        <f>D122+E122/H111+G122</f>
        <v>0</v>
      </c>
      <c r="I122" s="56"/>
    </row>
    <row r="123" spans="1:9" ht="21" customHeight="1">
      <c r="A123" s="87">
        <v>11</v>
      </c>
      <c r="B123" s="55"/>
      <c r="C123" s="55"/>
      <c r="D123" s="55"/>
      <c r="E123" s="55"/>
      <c r="F123" s="55"/>
      <c r="G123" s="55"/>
      <c r="H123" s="320">
        <f>D123+E123/H111+G123</f>
        <v>0</v>
      </c>
      <c r="I123" s="56"/>
    </row>
    <row r="124" spans="1:9" ht="21" customHeight="1">
      <c r="A124" s="87">
        <v>12</v>
      </c>
      <c r="B124" s="55"/>
      <c r="C124" s="55"/>
      <c r="D124" s="55"/>
      <c r="E124" s="55"/>
      <c r="F124" s="55"/>
      <c r="G124" s="55"/>
      <c r="H124" s="320">
        <f>D124+E124/H111+G124</f>
        <v>0</v>
      </c>
      <c r="I124" s="56"/>
    </row>
    <row r="125" spans="1:9" ht="21" customHeight="1" thickBot="1">
      <c r="A125" s="522" t="s">
        <v>131</v>
      </c>
      <c r="B125" s="523"/>
      <c r="C125" s="524"/>
      <c r="D125" s="57">
        <f>SUM(D113:D124)</f>
        <v>0</v>
      </c>
      <c r="E125" s="57">
        <f>SUM(E113:E124)</f>
        <v>0</v>
      </c>
      <c r="F125" s="57">
        <f>SUM(F113:F124)</f>
        <v>0</v>
      </c>
      <c r="G125" s="57">
        <f>SUM(G113:G124)</f>
        <v>0</v>
      </c>
      <c r="H125" s="321">
        <f>SUM(H113:H124)</f>
        <v>0</v>
      </c>
      <c r="I125" s="54"/>
    </row>
    <row r="126" spans="1:9" ht="21" customHeight="1">
      <c r="A126" s="518" t="s">
        <v>154</v>
      </c>
      <c r="B126" s="518"/>
      <c r="C126" s="518"/>
      <c r="D126" s="518"/>
      <c r="E126" s="518"/>
      <c r="F126" s="518"/>
      <c r="G126" s="518"/>
      <c r="H126" s="518"/>
      <c r="I126" s="518"/>
    </row>
    <row r="127" spans="1:9" ht="21" customHeight="1">
      <c r="A127" s="519"/>
      <c r="B127" s="519"/>
      <c r="C127" s="519"/>
      <c r="D127" s="519"/>
      <c r="E127" s="519"/>
      <c r="F127" s="519"/>
      <c r="G127" s="519"/>
      <c r="H127" s="519"/>
      <c r="I127" s="519"/>
    </row>
    <row r="128" spans="1:9" ht="21" customHeight="1">
      <c r="A128" s="520"/>
      <c r="B128" s="520"/>
      <c r="C128" s="520"/>
      <c r="D128" s="520"/>
      <c r="E128" s="520"/>
      <c r="F128" s="520"/>
      <c r="G128" s="520"/>
      <c r="H128" s="520"/>
      <c r="I128" s="520"/>
    </row>
    <row r="129" spans="1:9" ht="21" customHeight="1">
      <c r="A129" s="525" t="s">
        <v>132</v>
      </c>
      <c r="B129" s="525"/>
      <c r="C129" s="525"/>
      <c r="D129" s="53"/>
      <c r="E129" s="53"/>
      <c r="F129" s="53"/>
      <c r="G129" s="525" t="s">
        <v>133</v>
      </c>
      <c r="H129" s="525"/>
      <c r="I129" s="53"/>
    </row>
    <row r="130" spans="1:9">
      <c r="A130" s="53"/>
      <c r="B130" s="53"/>
      <c r="C130" s="53"/>
      <c r="D130" s="53"/>
      <c r="E130" s="53"/>
      <c r="F130" s="53"/>
      <c r="I130" s="53"/>
    </row>
    <row r="131" spans="1:9">
      <c r="A131" s="53"/>
      <c r="B131" s="53"/>
      <c r="C131" s="53"/>
      <c r="D131" s="53"/>
      <c r="E131" s="53"/>
      <c r="F131" s="53"/>
      <c r="G131" s="53"/>
      <c r="H131" s="53"/>
      <c r="I131" s="53"/>
    </row>
    <row r="132" spans="1:9">
      <c r="A132" s="53"/>
      <c r="B132" s="53"/>
      <c r="C132" s="53"/>
      <c r="D132" s="53"/>
      <c r="E132" s="53"/>
      <c r="F132" s="53"/>
      <c r="G132" s="53"/>
      <c r="H132" s="53"/>
      <c r="I132" s="53"/>
    </row>
    <row r="133" spans="1:9">
      <c r="A133" s="53"/>
      <c r="B133" s="53"/>
      <c r="C133" s="53"/>
      <c r="D133" s="53"/>
      <c r="E133" s="53"/>
      <c r="F133" s="53"/>
      <c r="G133" s="53"/>
      <c r="H133" s="53"/>
      <c r="I133" s="53"/>
    </row>
    <row r="134" spans="1:9">
      <c r="A134" s="53"/>
      <c r="B134" s="53"/>
      <c r="C134" s="53"/>
      <c r="D134" s="53"/>
      <c r="E134" s="53"/>
      <c r="F134" s="53"/>
      <c r="G134" s="53"/>
      <c r="H134" s="53"/>
      <c r="I134" s="53"/>
    </row>
    <row r="135" spans="1:9">
      <c r="A135" s="53"/>
      <c r="B135" s="53"/>
      <c r="C135" s="53"/>
      <c r="D135" s="53"/>
      <c r="E135" s="53"/>
      <c r="F135" s="53"/>
      <c r="G135" s="53"/>
      <c r="H135" s="53"/>
      <c r="I135" s="53"/>
    </row>
    <row r="136" spans="1:9" ht="21" customHeight="1">
      <c r="A136" s="521" t="s">
        <v>109</v>
      </c>
      <c r="B136" s="521"/>
      <c r="C136" s="521"/>
      <c r="D136" s="521"/>
      <c r="E136" s="521"/>
      <c r="F136" s="521"/>
    </row>
    <row r="137" spans="1:9" ht="21" customHeight="1" thickBot="1">
      <c r="A137" s="517" t="s">
        <v>153</v>
      </c>
      <c r="B137" s="517"/>
      <c r="C137" s="517"/>
      <c r="D137" s="517"/>
      <c r="E137" s="517"/>
      <c r="F137" s="517"/>
      <c r="G137" s="49" t="s">
        <v>134</v>
      </c>
      <c r="H137" s="318">
        <f>تسعير!E34</f>
        <v>3.7750001532838997</v>
      </c>
    </row>
    <row r="138" spans="1:9" ht="47.25">
      <c r="A138" s="58" t="s">
        <v>122</v>
      </c>
      <c r="B138" s="59" t="s">
        <v>123</v>
      </c>
      <c r="C138" s="59" t="s">
        <v>124</v>
      </c>
      <c r="D138" s="60" t="s">
        <v>127</v>
      </c>
      <c r="E138" s="60" t="s">
        <v>128</v>
      </c>
      <c r="F138" s="60" t="s">
        <v>125</v>
      </c>
      <c r="G138" s="60" t="s">
        <v>135</v>
      </c>
      <c r="H138" s="319" t="s">
        <v>129</v>
      </c>
      <c r="I138" s="61" t="s">
        <v>126</v>
      </c>
    </row>
    <row r="139" spans="1:9" ht="21" customHeight="1">
      <c r="A139" s="87">
        <v>1</v>
      </c>
      <c r="B139" s="55"/>
      <c r="C139" s="55"/>
      <c r="D139" s="55"/>
      <c r="E139" s="55"/>
      <c r="F139" s="55"/>
      <c r="G139" s="55"/>
      <c r="H139" s="322">
        <f>D139+E139/H137+G139</f>
        <v>0</v>
      </c>
      <c r="I139" s="56"/>
    </row>
    <row r="140" spans="1:9" ht="21" customHeight="1">
      <c r="A140" s="87">
        <v>2</v>
      </c>
      <c r="B140" s="55"/>
      <c r="C140" s="55"/>
      <c r="D140" s="55"/>
      <c r="E140" s="55"/>
      <c r="F140" s="55"/>
      <c r="G140" s="55"/>
      <c r="H140" s="322">
        <f>D140+E140/H137+G140</f>
        <v>0</v>
      </c>
      <c r="I140" s="56"/>
    </row>
    <row r="141" spans="1:9" ht="21" customHeight="1">
      <c r="A141" s="87">
        <v>3</v>
      </c>
      <c r="B141" s="55"/>
      <c r="C141" s="55"/>
      <c r="D141" s="55"/>
      <c r="E141" s="55"/>
      <c r="F141" s="55"/>
      <c r="G141" s="55"/>
      <c r="H141" s="322">
        <f>D141+E141/H137+G141</f>
        <v>0</v>
      </c>
      <c r="I141" s="56"/>
    </row>
    <row r="142" spans="1:9" ht="21" customHeight="1">
      <c r="A142" s="87">
        <v>4</v>
      </c>
      <c r="B142" s="55"/>
      <c r="C142" s="55"/>
      <c r="D142" s="55"/>
      <c r="E142" s="55"/>
      <c r="F142" s="55"/>
      <c r="G142" s="55"/>
      <c r="H142" s="322">
        <f>D142+E142/H137+G142</f>
        <v>0</v>
      </c>
      <c r="I142" s="56"/>
    </row>
    <row r="143" spans="1:9" ht="21" customHeight="1">
      <c r="A143" s="87">
        <v>5</v>
      </c>
      <c r="B143" s="55"/>
      <c r="C143" s="55"/>
      <c r="D143" s="55"/>
      <c r="E143" s="55"/>
      <c r="F143" s="55"/>
      <c r="G143" s="55"/>
      <c r="H143" s="322">
        <f>D143+E143/H137+G143</f>
        <v>0</v>
      </c>
      <c r="I143" s="56"/>
    </row>
    <row r="144" spans="1:9" ht="21" customHeight="1">
      <c r="A144" s="87">
        <v>6</v>
      </c>
      <c r="B144" s="55"/>
      <c r="C144" s="55"/>
      <c r="D144" s="55"/>
      <c r="E144" s="55"/>
      <c r="F144" s="55"/>
      <c r="G144" s="55"/>
      <c r="H144" s="322">
        <f>D144+E144/H137+G144</f>
        <v>0</v>
      </c>
      <c r="I144" s="56"/>
    </row>
    <row r="145" spans="1:9" ht="21" customHeight="1">
      <c r="A145" s="87">
        <v>7</v>
      </c>
      <c r="B145" s="55"/>
      <c r="C145" s="55"/>
      <c r="D145" s="55"/>
      <c r="E145" s="55"/>
      <c r="F145" s="55"/>
      <c r="G145" s="55"/>
      <c r="H145" s="322">
        <f>D145+E145/H137+G145</f>
        <v>0</v>
      </c>
      <c r="I145" s="56"/>
    </row>
    <row r="146" spans="1:9" ht="21" customHeight="1">
      <c r="A146" s="87">
        <v>8</v>
      </c>
      <c r="B146" s="55"/>
      <c r="C146" s="55"/>
      <c r="D146" s="55"/>
      <c r="E146" s="55"/>
      <c r="F146" s="55"/>
      <c r="G146" s="55"/>
      <c r="H146" s="322">
        <f>D146+E146/H137+G146</f>
        <v>0</v>
      </c>
      <c r="I146" s="56"/>
    </row>
    <row r="147" spans="1:9" ht="21" customHeight="1">
      <c r="A147" s="87">
        <v>9</v>
      </c>
      <c r="B147" s="55"/>
      <c r="C147" s="55"/>
      <c r="D147" s="55"/>
      <c r="E147" s="55"/>
      <c r="F147" s="55"/>
      <c r="G147" s="55"/>
      <c r="H147" s="322">
        <f>D147+E147/H137+G147</f>
        <v>0</v>
      </c>
      <c r="I147" s="56"/>
    </row>
    <row r="148" spans="1:9" ht="21" customHeight="1">
      <c r="A148" s="87">
        <v>10</v>
      </c>
      <c r="B148" s="55"/>
      <c r="C148" s="55"/>
      <c r="D148" s="55"/>
      <c r="E148" s="55"/>
      <c r="F148" s="55"/>
      <c r="G148" s="55"/>
      <c r="H148" s="322">
        <f>D148+E148/H137+G148</f>
        <v>0</v>
      </c>
      <c r="I148" s="56"/>
    </row>
    <row r="149" spans="1:9" ht="21" customHeight="1">
      <c r="A149" s="87">
        <v>11</v>
      </c>
      <c r="B149" s="55"/>
      <c r="C149" s="55"/>
      <c r="D149" s="55"/>
      <c r="E149" s="55"/>
      <c r="F149" s="55"/>
      <c r="G149" s="55"/>
      <c r="H149" s="322">
        <f>D149+E149/H137+G149</f>
        <v>0</v>
      </c>
      <c r="I149" s="56"/>
    </row>
    <row r="150" spans="1:9" ht="21" customHeight="1">
      <c r="A150" s="87">
        <v>12</v>
      </c>
      <c r="B150" s="55"/>
      <c r="C150" s="55"/>
      <c r="D150" s="55"/>
      <c r="E150" s="55"/>
      <c r="F150" s="55"/>
      <c r="G150" s="55"/>
      <c r="H150" s="322">
        <f>D150+E150/H137+G150</f>
        <v>0</v>
      </c>
      <c r="I150" s="56"/>
    </row>
    <row r="151" spans="1:9" ht="21" customHeight="1" thickBot="1">
      <c r="A151" s="522" t="s">
        <v>131</v>
      </c>
      <c r="B151" s="523"/>
      <c r="C151" s="524"/>
      <c r="D151" s="57">
        <f>SUM(D139:D150)</f>
        <v>0</v>
      </c>
      <c r="E151" s="57">
        <f>SUM(E139:E150)</f>
        <v>0</v>
      </c>
      <c r="F151" s="57">
        <f>SUM(F139:F150)</f>
        <v>0</v>
      </c>
      <c r="G151" s="57">
        <f>SUM(G139:G150)</f>
        <v>0</v>
      </c>
      <c r="H151" s="323">
        <f>SUM(H139:H150)</f>
        <v>0</v>
      </c>
      <c r="I151" s="54"/>
    </row>
    <row r="152" spans="1:9" ht="21" customHeight="1">
      <c r="A152" s="518" t="s">
        <v>152</v>
      </c>
      <c r="B152" s="518"/>
      <c r="C152" s="518"/>
      <c r="D152" s="518"/>
      <c r="E152" s="518"/>
      <c r="F152" s="518"/>
      <c r="G152" s="518"/>
      <c r="H152" s="518"/>
      <c r="I152" s="518"/>
    </row>
    <row r="153" spans="1:9" ht="21" customHeight="1">
      <c r="A153" s="519"/>
      <c r="B153" s="519"/>
      <c r="C153" s="519"/>
      <c r="D153" s="519"/>
      <c r="E153" s="519"/>
      <c r="F153" s="519"/>
      <c r="G153" s="519"/>
      <c r="H153" s="519"/>
      <c r="I153" s="519"/>
    </row>
    <row r="154" spans="1:9" ht="21" customHeight="1">
      <c r="A154" s="520"/>
      <c r="B154" s="520"/>
      <c r="C154" s="520"/>
      <c r="D154" s="520"/>
      <c r="E154" s="520"/>
      <c r="F154" s="520"/>
      <c r="G154" s="520"/>
      <c r="H154" s="520"/>
      <c r="I154" s="520"/>
    </row>
    <row r="155" spans="1:9" ht="21" customHeight="1">
      <c r="A155" s="525" t="s">
        <v>132</v>
      </c>
      <c r="B155" s="525"/>
      <c r="C155" s="525"/>
      <c r="D155" s="53"/>
      <c r="E155" s="53"/>
      <c r="F155" s="53"/>
      <c r="G155" s="525" t="s">
        <v>133</v>
      </c>
      <c r="H155" s="525"/>
      <c r="I155" s="53"/>
    </row>
    <row r="156" spans="1:9">
      <c r="A156" s="53"/>
      <c r="B156" s="53"/>
      <c r="C156" s="53"/>
      <c r="D156" s="53"/>
      <c r="E156" s="53"/>
      <c r="F156" s="53"/>
      <c r="I156" s="53"/>
    </row>
    <row r="157" spans="1:9">
      <c r="A157" s="53"/>
      <c r="B157" s="53"/>
      <c r="C157" s="53"/>
      <c r="D157" s="53"/>
      <c r="E157" s="53"/>
      <c r="F157" s="53"/>
      <c r="G157" s="53"/>
      <c r="H157" s="53"/>
      <c r="I157" s="53"/>
    </row>
    <row r="158" spans="1:9">
      <c r="A158" s="53"/>
      <c r="B158" s="53"/>
      <c r="C158" s="53"/>
      <c r="D158" s="53"/>
      <c r="E158" s="53"/>
      <c r="F158" s="53"/>
      <c r="G158" s="53"/>
      <c r="H158" s="53"/>
      <c r="I158" s="53"/>
    </row>
    <row r="159" spans="1:9">
      <c r="A159" s="53"/>
      <c r="B159" s="53"/>
      <c r="C159" s="53"/>
      <c r="D159" s="53"/>
      <c r="E159" s="53"/>
      <c r="F159" s="53"/>
      <c r="G159" s="53"/>
      <c r="H159" s="53"/>
      <c r="I159" s="53"/>
    </row>
    <row r="160" spans="1:9">
      <c r="A160" s="53"/>
      <c r="B160" s="53"/>
      <c r="C160" s="53"/>
      <c r="D160" s="53"/>
      <c r="E160" s="53"/>
      <c r="F160" s="53"/>
      <c r="G160" s="53"/>
      <c r="H160" s="53"/>
      <c r="I160" s="53"/>
    </row>
    <row r="161" spans="1:9">
      <c r="A161" s="53"/>
      <c r="B161" s="53"/>
      <c r="C161" s="53"/>
      <c r="D161" s="53"/>
      <c r="E161" s="53"/>
      <c r="F161" s="53"/>
      <c r="G161" s="53"/>
      <c r="H161" s="53"/>
      <c r="I161" s="53"/>
    </row>
    <row r="162" spans="1:9" ht="21" customHeight="1">
      <c r="A162" s="521" t="s">
        <v>109</v>
      </c>
      <c r="B162" s="521"/>
      <c r="C162" s="521"/>
      <c r="D162" s="521"/>
      <c r="E162" s="521"/>
      <c r="F162" s="521"/>
    </row>
    <row r="163" spans="1:9" ht="21" customHeight="1" thickBot="1">
      <c r="A163" s="517" t="s">
        <v>151</v>
      </c>
      <c r="B163" s="517"/>
      <c r="C163" s="517"/>
      <c r="D163" s="517"/>
      <c r="E163" s="517"/>
      <c r="F163" s="517"/>
      <c r="G163" s="49" t="s">
        <v>134</v>
      </c>
      <c r="H163" s="318">
        <f>تسعير!E34</f>
        <v>3.7750001532838997</v>
      </c>
    </row>
    <row r="164" spans="1:9" ht="47.25">
      <c r="A164" s="58" t="s">
        <v>122</v>
      </c>
      <c r="B164" s="59" t="s">
        <v>123</v>
      </c>
      <c r="C164" s="59" t="s">
        <v>124</v>
      </c>
      <c r="D164" s="60" t="s">
        <v>127</v>
      </c>
      <c r="E164" s="60" t="s">
        <v>128</v>
      </c>
      <c r="F164" s="60" t="s">
        <v>125</v>
      </c>
      <c r="G164" s="60" t="s">
        <v>135</v>
      </c>
      <c r="H164" s="319" t="s">
        <v>129</v>
      </c>
      <c r="I164" s="61" t="s">
        <v>126</v>
      </c>
    </row>
    <row r="165" spans="1:9" ht="21" customHeight="1">
      <c r="A165" s="87">
        <v>1</v>
      </c>
      <c r="B165" s="55"/>
      <c r="C165" s="55"/>
      <c r="D165" s="55"/>
      <c r="E165" s="55"/>
      <c r="F165" s="55"/>
      <c r="G165" s="55"/>
      <c r="H165" s="322">
        <f>D165+E165/H163+G165</f>
        <v>0</v>
      </c>
      <c r="I165" s="56"/>
    </row>
    <row r="166" spans="1:9" ht="21" customHeight="1">
      <c r="A166" s="87">
        <v>2</v>
      </c>
      <c r="B166" s="55"/>
      <c r="C166" s="55"/>
      <c r="D166" s="55"/>
      <c r="E166" s="55"/>
      <c r="F166" s="55"/>
      <c r="G166" s="55"/>
      <c r="H166" s="322">
        <f>D166+E166/H163+G166</f>
        <v>0</v>
      </c>
      <c r="I166" s="56"/>
    </row>
    <row r="167" spans="1:9" ht="21" customHeight="1">
      <c r="A167" s="87">
        <v>3</v>
      </c>
      <c r="B167" s="55"/>
      <c r="C167" s="55"/>
      <c r="D167" s="55"/>
      <c r="E167" s="55"/>
      <c r="F167" s="55"/>
      <c r="G167" s="55"/>
      <c r="H167" s="322">
        <f>D167+E167/H163+G167</f>
        <v>0</v>
      </c>
      <c r="I167" s="56"/>
    </row>
    <row r="168" spans="1:9" ht="21" customHeight="1">
      <c r="A168" s="87">
        <v>4</v>
      </c>
      <c r="B168" s="55"/>
      <c r="C168" s="55"/>
      <c r="D168" s="55"/>
      <c r="E168" s="55"/>
      <c r="F168" s="55"/>
      <c r="G168" s="55"/>
      <c r="H168" s="322">
        <f>D168+E168/H163+G168</f>
        <v>0</v>
      </c>
      <c r="I168" s="56"/>
    </row>
    <row r="169" spans="1:9" ht="21" customHeight="1">
      <c r="A169" s="87">
        <v>5</v>
      </c>
      <c r="B169" s="55"/>
      <c r="C169" s="55"/>
      <c r="D169" s="55"/>
      <c r="E169" s="55"/>
      <c r="F169" s="55"/>
      <c r="G169" s="55"/>
      <c r="H169" s="322">
        <f>D169+E169/H163+G169</f>
        <v>0</v>
      </c>
      <c r="I169" s="56"/>
    </row>
    <row r="170" spans="1:9" ht="21" customHeight="1">
      <c r="A170" s="87">
        <v>6</v>
      </c>
      <c r="B170" s="55"/>
      <c r="C170" s="55"/>
      <c r="D170" s="55"/>
      <c r="E170" s="55"/>
      <c r="F170" s="55"/>
      <c r="G170" s="55"/>
      <c r="H170" s="322">
        <f>D170+E170/H163+G170</f>
        <v>0</v>
      </c>
      <c r="I170" s="56"/>
    </row>
    <row r="171" spans="1:9" ht="21" customHeight="1">
      <c r="A171" s="87">
        <v>7</v>
      </c>
      <c r="B171" s="55"/>
      <c r="C171" s="55"/>
      <c r="D171" s="55"/>
      <c r="E171" s="55"/>
      <c r="F171" s="55"/>
      <c r="G171" s="55"/>
      <c r="H171" s="322">
        <f>D171+E171/H163+G171</f>
        <v>0</v>
      </c>
      <c r="I171" s="56"/>
    </row>
    <row r="172" spans="1:9" ht="21" customHeight="1">
      <c r="A172" s="87">
        <v>8</v>
      </c>
      <c r="B172" s="55"/>
      <c r="C172" s="55"/>
      <c r="D172" s="55"/>
      <c r="E172" s="55"/>
      <c r="F172" s="55"/>
      <c r="G172" s="55"/>
      <c r="H172" s="322">
        <f>D172+E172/H163+G172</f>
        <v>0</v>
      </c>
      <c r="I172" s="56"/>
    </row>
    <row r="173" spans="1:9" ht="21" customHeight="1">
      <c r="A173" s="87">
        <v>9</v>
      </c>
      <c r="B173" s="55"/>
      <c r="C173" s="55"/>
      <c r="D173" s="55"/>
      <c r="E173" s="55"/>
      <c r="F173" s="55"/>
      <c r="G173" s="55"/>
      <c r="H173" s="322">
        <f>D173+E173/H163+G173</f>
        <v>0</v>
      </c>
      <c r="I173" s="56"/>
    </row>
    <row r="174" spans="1:9" ht="21" customHeight="1">
      <c r="A174" s="87">
        <v>10</v>
      </c>
      <c r="B174" s="55"/>
      <c r="C174" s="55"/>
      <c r="D174" s="55"/>
      <c r="E174" s="55"/>
      <c r="F174" s="55"/>
      <c r="G174" s="55"/>
      <c r="H174" s="322">
        <f>D174+E174/H163+G174</f>
        <v>0</v>
      </c>
      <c r="I174" s="56"/>
    </row>
    <row r="175" spans="1:9" ht="21" customHeight="1">
      <c r="A175" s="87">
        <v>11</v>
      </c>
      <c r="B175" s="55"/>
      <c r="C175" s="55"/>
      <c r="D175" s="55"/>
      <c r="E175" s="55"/>
      <c r="F175" s="55"/>
      <c r="G175" s="55"/>
      <c r="H175" s="322">
        <f>D175+E175/H163+G175</f>
        <v>0</v>
      </c>
      <c r="I175" s="56"/>
    </row>
    <row r="176" spans="1:9" ht="21" customHeight="1">
      <c r="A176" s="87">
        <v>12</v>
      </c>
      <c r="B176" s="55"/>
      <c r="C176" s="55"/>
      <c r="D176" s="55"/>
      <c r="E176" s="55"/>
      <c r="F176" s="55"/>
      <c r="G176" s="55"/>
      <c r="H176" s="322">
        <f>D176+E176/H163+G176</f>
        <v>0</v>
      </c>
      <c r="I176" s="56"/>
    </row>
    <row r="177" spans="1:9" ht="21" customHeight="1" thickBot="1">
      <c r="A177" s="522" t="s">
        <v>131</v>
      </c>
      <c r="B177" s="523"/>
      <c r="C177" s="524"/>
      <c r="D177" s="57">
        <f>SUM(D165:D176)</f>
        <v>0</v>
      </c>
      <c r="E177" s="57">
        <f>SUM(E165:E176)</f>
        <v>0</v>
      </c>
      <c r="F177" s="57">
        <f>SUM(F165:F176)</f>
        <v>0</v>
      </c>
      <c r="G177" s="57">
        <f>SUM(G165:G176)</f>
        <v>0</v>
      </c>
      <c r="H177" s="323">
        <f>SUM(H165:H176)</f>
        <v>0</v>
      </c>
      <c r="I177" s="54"/>
    </row>
    <row r="178" spans="1:9" ht="21" customHeight="1">
      <c r="A178" s="518" t="s">
        <v>150</v>
      </c>
      <c r="B178" s="518"/>
      <c r="C178" s="518"/>
      <c r="D178" s="518"/>
      <c r="E178" s="518"/>
      <c r="F178" s="518"/>
      <c r="G178" s="518"/>
      <c r="H178" s="518"/>
      <c r="I178" s="518"/>
    </row>
    <row r="179" spans="1:9" ht="21" customHeight="1">
      <c r="A179" s="519"/>
      <c r="B179" s="519"/>
      <c r="C179" s="519"/>
      <c r="D179" s="519"/>
      <c r="E179" s="519"/>
      <c r="F179" s="519"/>
      <c r="G179" s="519"/>
      <c r="H179" s="519"/>
      <c r="I179" s="519"/>
    </row>
    <row r="180" spans="1:9" ht="21" customHeight="1">
      <c r="A180" s="520"/>
      <c r="B180" s="520"/>
      <c r="C180" s="520"/>
      <c r="D180" s="520"/>
      <c r="E180" s="520"/>
      <c r="F180" s="520"/>
      <c r="G180" s="520"/>
      <c r="H180" s="520"/>
      <c r="I180" s="520"/>
    </row>
    <row r="181" spans="1:9" ht="21" customHeight="1">
      <c r="A181" s="525" t="s">
        <v>132</v>
      </c>
      <c r="B181" s="525"/>
      <c r="C181" s="525"/>
      <c r="D181" s="53"/>
      <c r="E181" s="53"/>
      <c r="F181" s="53"/>
      <c r="G181" s="525" t="s">
        <v>133</v>
      </c>
      <c r="H181" s="525"/>
      <c r="I181" s="53"/>
    </row>
    <row r="182" spans="1:9">
      <c r="A182" s="53"/>
      <c r="B182" s="53"/>
      <c r="C182" s="53"/>
      <c r="D182" s="53"/>
      <c r="E182" s="53"/>
      <c r="F182" s="53"/>
      <c r="I182" s="53"/>
    </row>
    <row r="183" spans="1:9">
      <c r="A183" s="53"/>
      <c r="B183" s="53"/>
      <c r="C183" s="53"/>
      <c r="D183" s="53"/>
      <c r="E183" s="53"/>
      <c r="F183" s="53"/>
      <c r="G183" s="53"/>
      <c r="H183" s="53"/>
      <c r="I183" s="53"/>
    </row>
    <row r="184" spans="1:9">
      <c r="A184" s="53"/>
      <c r="B184" s="53"/>
      <c r="C184" s="53"/>
      <c r="D184" s="53"/>
      <c r="E184" s="53"/>
      <c r="F184" s="53"/>
      <c r="G184" s="53"/>
      <c r="H184" s="53"/>
      <c r="I184" s="53"/>
    </row>
    <row r="185" spans="1:9">
      <c r="A185" s="53"/>
      <c r="B185" s="53"/>
      <c r="C185" s="53"/>
      <c r="D185" s="53"/>
      <c r="E185" s="53"/>
      <c r="F185" s="53"/>
      <c r="G185" s="53"/>
      <c r="H185" s="53"/>
      <c r="I185" s="53"/>
    </row>
    <row r="186" spans="1:9">
      <c r="A186" s="53"/>
      <c r="B186" s="53"/>
      <c r="C186" s="53"/>
      <c r="D186" s="53"/>
      <c r="E186" s="53"/>
      <c r="F186" s="53"/>
      <c r="G186" s="53"/>
      <c r="H186" s="53"/>
      <c r="I186" s="53"/>
    </row>
    <row r="187" spans="1:9">
      <c r="A187" s="53"/>
      <c r="B187" s="53"/>
      <c r="C187" s="53"/>
      <c r="D187" s="53"/>
      <c r="E187" s="53"/>
      <c r="F187" s="53"/>
      <c r="G187" s="53"/>
      <c r="H187" s="53"/>
      <c r="I187" s="53"/>
    </row>
    <row r="188" spans="1:9" ht="21" customHeight="1">
      <c r="A188" s="521" t="s">
        <v>109</v>
      </c>
      <c r="B188" s="521"/>
      <c r="C188" s="521"/>
      <c r="D188" s="521"/>
      <c r="E188" s="521"/>
      <c r="F188" s="521"/>
    </row>
    <row r="189" spans="1:9" ht="21" customHeight="1" thickBot="1">
      <c r="A189" s="517" t="s">
        <v>149</v>
      </c>
      <c r="B189" s="517"/>
      <c r="C189" s="517"/>
      <c r="D189" s="517"/>
      <c r="E189" s="517"/>
      <c r="F189" s="517"/>
      <c r="G189" s="49" t="s">
        <v>134</v>
      </c>
      <c r="H189" s="318">
        <f>تسعير!E34</f>
        <v>3.7750001532838997</v>
      </c>
    </row>
    <row r="190" spans="1:9" ht="47.25">
      <c r="A190" s="58" t="s">
        <v>122</v>
      </c>
      <c r="B190" s="59" t="s">
        <v>123</v>
      </c>
      <c r="C190" s="59" t="s">
        <v>124</v>
      </c>
      <c r="D190" s="60" t="s">
        <v>127</v>
      </c>
      <c r="E190" s="60" t="s">
        <v>128</v>
      </c>
      <c r="F190" s="60" t="s">
        <v>125</v>
      </c>
      <c r="G190" s="60" t="s">
        <v>135</v>
      </c>
      <c r="H190" s="319" t="s">
        <v>129</v>
      </c>
      <c r="I190" s="61" t="s">
        <v>126</v>
      </c>
    </row>
    <row r="191" spans="1:9" ht="21" customHeight="1">
      <c r="A191" s="87">
        <v>1</v>
      </c>
      <c r="B191" s="55"/>
      <c r="C191" s="55"/>
      <c r="D191" s="55"/>
      <c r="E191" s="55"/>
      <c r="F191" s="55"/>
      <c r="G191" s="55"/>
      <c r="H191" s="322">
        <f>D191+E191/H189+G191</f>
        <v>0</v>
      </c>
      <c r="I191" s="56"/>
    </row>
    <row r="192" spans="1:9" ht="21" customHeight="1">
      <c r="A192" s="87">
        <v>2</v>
      </c>
      <c r="B192" s="55"/>
      <c r="C192" s="55"/>
      <c r="D192" s="55"/>
      <c r="E192" s="55"/>
      <c r="F192" s="55"/>
      <c r="G192" s="55"/>
      <c r="H192" s="322">
        <f>D192+E192/H189+G192</f>
        <v>0</v>
      </c>
      <c r="I192" s="56"/>
    </row>
    <row r="193" spans="1:9" ht="21" customHeight="1">
      <c r="A193" s="87">
        <v>3</v>
      </c>
      <c r="B193" s="55"/>
      <c r="C193" s="55"/>
      <c r="D193" s="55"/>
      <c r="E193" s="55"/>
      <c r="F193" s="55"/>
      <c r="G193" s="55"/>
      <c r="H193" s="322">
        <f>D193+E193/H189+G193</f>
        <v>0</v>
      </c>
      <c r="I193" s="56"/>
    </row>
    <row r="194" spans="1:9" ht="21" customHeight="1">
      <c r="A194" s="87">
        <v>4</v>
      </c>
      <c r="B194" s="55"/>
      <c r="C194" s="55"/>
      <c r="D194" s="55"/>
      <c r="E194" s="55"/>
      <c r="F194" s="55"/>
      <c r="G194" s="55"/>
      <c r="H194" s="322">
        <f>D194+E194/H189+G194</f>
        <v>0</v>
      </c>
      <c r="I194" s="56"/>
    </row>
    <row r="195" spans="1:9" ht="21" customHeight="1">
      <c r="A195" s="87">
        <v>5</v>
      </c>
      <c r="B195" s="55"/>
      <c r="C195" s="55"/>
      <c r="D195" s="55"/>
      <c r="E195" s="55"/>
      <c r="F195" s="55"/>
      <c r="G195" s="55"/>
      <c r="H195" s="322">
        <f>D195+E195/H189+G195</f>
        <v>0</v>
      </c>
      <c r="I195" s="56"/>
    </row>
    <row r="196" spans="1:9" ht="21" customHeight="1">
      <c r="A196" s="87">
        <v>6</v>
      </c>
      <c r="B196" s="55"/>
      <c r="C196" s="55"/>
      <c r="D196" s="55"/>
      <c r="E196" s="55"/>
      <c r="F196" s="55"/>
      <c r="G196" s="55"/>
      <c r="H196" s="322">
        <f>D196+E196/H189+G196</f>
        <v>0</v>
      </c>
      <c r="I196" s="56"/>
    </row>
    <row r="197" spans="1:9" ht="21" customHeight="1">
      <c r="A197" s="87">
        <v>7</v>
      </c>
      <c r="B197" s="55"/>
      <c r="C197" s="55"/>
      <c r="D197" s="55"/>
      <c r="E197" s="55"/>
      <c r="F197" s="55"/>
      <c r="G197" s="55"/>
      <c r="H197" s="322">
        <f>D197+E197/H189+G197</f>
        <v>0</v>
      </c>
      <c r="I197" s="56"/>
    </row>
    <row r="198" spans="1:9" ht="21" customHeight="1">
      <c r="A198" s="87">
        <v>8</v>
      </c>
      <c r="B198" s="55"/>
      <c r="C198" s="55"/>
      <c r="D198" s="55"/>
      <c r="E198" s="55"/>
      <c r="F198" s="55"/>
      <c r="G198" s="55"/>
      <c r="H198" s="322">
        <f>D198+E198/H189+G198</f>
        <v>0</v>
      </c>
      <c r="I198" s="56"/>
    </row>
    <row r="199" spans="1:9" ht="21" customHeight="1">
      <c r="A199" s="87">
        <v>9</v>
      </c>
      <c r="B199" s="55"/>
      <c r="C199" s="55"/>
      <c r="D199" s="55"/>
      <c r="E199" s="55"/>
      <c r="F199" s="55"/>
      <c r="G199" s="55"/>
      <c r="H199" s="322">
        <f>D199+E199/H189+G199</f>
        <v>0</v>
      </c>
      <c r="I199" s="56"/>
    </row>
    <row r="200" spans="1:9" ht="21" customHeight="1">
      <c r="A200" s="87">
        <v>10</v>
      </c>
      <c r="B200" s="55"/>
      <c r="C200" s="55"/>
      <c r="D200" s="55"/>
      <c r="E200" s="55"/>
      <c r="F200" s="55"/>
      <c r="G200" s="55"/>
      <c r="H200" s="322">
        <f>D200+E200/H189+G200</f>
        <v>0</v>
      </c>
      <c r="I200" s="56"/>
    </row>
    <row r="201" spans="1:9" ht="21" customHeight="1">
      <c r="A201" s="87">
        <v>11</v>
      </c>
      <c r="B201" s="55"/>
      <c r="C201" s="55"/>
      <c r="D201" s="55"/>
      <c r="E201" s="55"/>
      <c r="F201" s="55"/>
      <c r="G201" s="55"/>
      <c r="H201" s="322">
        <f>D201+E201/H189+G201</f>
        <v>0</v>
      </c>
      <c r="I201" s="56"/>
    </row>
    <row r="202" spans="1:9" ht="21" customHeight="1">
      <c r="A202" s="87">
        <v>12</v>
      </c>
      <c r="B202" s="55"/>
      <c r="C202" s="55"/>
      <c r="D202" s="55"/>
      <c r="E202" s="55"/>
      <c r="F202" s="55"/>
      <c r="G202" s="55"/>
      <c r="H202" s="322">
        <f>D202+E202/H189+G202</f>
        <v>0</v>
      </c>
      <c r="I202" s="56"/>
    </row>
    <row r="203" spans="1:9" ht="21" customHeight="1" thickBot="1">
      <c r="A203" s="522" t="s">
        <v>131</v>
      </c>
      <c r="B203" s="523"/>
      <c r="C203" s="524"/>
      <c r="D203" s="57">
        <f>SUM(D191:D202)</f>
        <v>0</v>
      </c>
      <c r="E203" s="57">
        <f>SUM(E191:E202)</f>
        <v>0</v>
      </c>
      <c r="F203" s="57">
        <f>SUM(F191:F202)</f>
        <v>0</v>
      </c>
      <c r="G203" s="57">
        <f>SUM(G191:G202)</f>
        <v>0</v>
      </c>
      <c r="H203" s="323">
        <f>SUM(H191:H202)</f>
        <v>0</v>
      </c>
      <c r="I203" s="54"/>
    </row>
    <row r="204" spans="1:9" ht="21" customHeight="1">
      <c r="A204" s="518" t="s">
        <v>148</v>
      </c>
      <c r="B204" s="518"/>
      <c r="C204" s="518"/>
      <c r="D204" s="518"/>
      <c r="E204" s="518"/>
      <c r="F204" s="518"/>
      <c r="G204" s="518"/>
      <c r="H204" s="518"/>
      <c r="I204" s="518"/>
    </row>
    <row r="205" spans="1:9" ht="21" customHeight="1">
      <c r="A205" s="519"/>
      <c r="B205" s="519"/>
      <c r="C205" s="519"/>
      <c r="D205" s="519"/>
      <c r="E205" s="519"/>
      <c r="F205" s="519"/>
      <c r="G205" s="519"/>
      <c r="H205" s="519"/>
      <c r="I205" s="519"/>
    </row>
    <row r="206" spans="1:9" ht="21" customHeight="1">
      <c r="A206" s="520"/>
      <c r="B206" s="520"/>
      <c r="C206" s="520"/>
      <c r="D206" s="520"/>
      <c r="E206" s="520"/>
      <c r="F206" s="520"/>
      <c r="G206" s="520"/>
      <c r="H206" s="520"/>
      <c r="I206" s="520"/>
    </row>
    <row r="207" spans="1:9" ht="21" customHeight="1">
      <c r="A207" s="525" t="s">
        <v>132</v>
      </c>
      <c r="B207" s="525"/>
      <c r="C207" s="525"/>
      <c r="D207" s="53"/>
      <c r="E207" s="53"/>
      <c r="F207" s="53"/>
      <c r="G207" s="525" t="s">
        <v>133</v>
      </c>
      <c r="H207" s="525"/>
      <c r="I207" s="53"/>
    </row>
    <row r="208" spans="1:9">
      <c r="A208" s="53"/>
      <c r="B208" s="53"/>
      <c r="C208" s="53"/>
      <c r="D208" s="53"/>
      <c r="E208" s="53"/>
      <c r="F208" s="53"/>
      <c r="I208" s="53"/>
    </row>
    <row r="209" spans="1:9">
      <c r="A209" s="53"/>
      <c r="B209" s="53"/>
      <c r="C209" s="53"/>
      <c r="D209" s="53"/>
      <c r="E209" s="53"/>
      <c r="F209" s="53"/>
      <c r="G209" s="53"/>
      <c r="H209" s="53"/>
      <c r="I209" s="53"/>
    </row>
    <row r="210" spans="1:9">
      <c r="A210" s="53"/>
      <c r="B210" s="53"/>
      <c r="C210" s="53"/>
      <c r="D210" s="53"/>
      <c r="E210" s="53"/>
      <c r="F210" s="53"/>
      <c r="G210" s="53"/>
      <c r="H210" s="53"/>
      <c r="I210" s="53"/>
    </row>
    <row r="211" spans="1:9">
      <c r="A211" s="53"/>
      <c r="B211" s="53"/>
      <c r="C211" s="53"/>
      <c r="D211" s="53"/>
      <c r="E211" s="53"/>
      <c r="F211" s="53"/>
      <c r="G211" s="53"/>
      <c r="H211" s="53"/>
      <c r="I211" s="53"/>
    </row>
    <row r="212" spans="1:9">
      <c r="A212" s="53"/>
      <c r="B212" s="53"/>
      <c r="C212" s="53"/>
      <c r="D212" s="53"/>
      <c r="E212" s="53"/>
      <c r="F212" s="53"/>
      <c r="G212" s="53"/>
      <c r="H212" s="53"/>
      <c r="I212" s="53"/>
    </row>
    <row r="213" spans="1:9">
      <c r="A213" s="53"/>
      <c r="B213" s="53"/>
      <c r="C213" s="53"/>
      <c r="D213" s="53"/>
      <c r="E213" s="53"/>
      <c r="F213" s="53"/>
      <c r="G213" s="53"/>
      <c r="H213" s="53"/>
      <c r="I213" s="53"/>
    </row>
    <row r="214" spans="1:9" ht="21" customHeight="1">
      <c r="A214" s="521" t="s">
        <v>109</v>
      </c>
      <c r="B214" s="521"/>
      <c r="C214" s="521"/>
      <c r="D214" s="521"/>
      <c r="E214" s="521"/>
      <c r="F214" s="521"/>
    </row>
    <row r="215" spans="1:9" ht="21" customHeight="1" thickBot="1">
      <c r="A215" s="517" t="s">
        <v>147</v>
      </c>
      <c r="B215" s="517"/>
      <c r="C215" s="517"/>
      <c r="D215" s="517"/>
      <c r="E215" s="517"/>
      <c r="F215" s="517"/>
      <c r="G215" s="49" t="s">
        <v>134</v>
      </c>
      <c r="H215" s="318">
        <f>تسعير!E34</f>
        <v>3.7750001532838997</v>
      </c>
    </row>
    <row r="216" spans="1:9" ht="47.25">
      <c r="A216" s="58" t="s">
        <v>122</v>
      </c>
      <c r="B216" s="59" t="s">
        <v>123</v>
      </c>
      <c r="C216" s="59" t="s">
        <v>124</v>
      </c>
      <c r="D216" s="60" t="s">
        <v>127</v>
      </c>
      <c r="E216" s="60" t="s">
        <v>128</v>
      </c>
      <c r="F216" s="60" t="s">
        <v>125</v>
      </c>
      <c r="G216" s="60" t="s">
        <v>135</v>
      </c>
      <c r="H216" s="319" t="s">
        <v>129</v>
      </c>
      <c r="I216" s="61" t="s">
        <v>126</v>
      </c>
    </row>
    <row r="217" spans="1:9" ht="21" customHeight="1">
      <c r="A217" s="87">
        <v>1</v>
      </c>
      <c r="B217" s="55"/>
      <c r="C217" s="55"/>
      <c r="D217" s="55"/>
      <c r="E217" s="55"/>
      <c r="F217" s="55"/>
      <c r="G217" s="55"/>
      <c r="H217" s="322">
        <f>D217+E217/H215+G217</f>
        <v>0</v>
      </c>
      <c r="I217" s="56"/>
    </row>
    <row r="218" spans="1:9" ht="21" customHeight="1">
      <c r="A218" s="87">
        <v>2</v>
      </c>
      <c r="B218" s="55"/>
      <c r="C218" s="55"/>
      <c r="D218" s="55"/>
      <c r="E218" s="55"/>
      <c r="F218" s="55"/>
      <c r="G218" s="55"/>
      <c r="H218" s="322">
        <f>D218+E218/H215+G218</f>
        <v>0</v>
      </c>
      <c r="I218" s="56"/>
    </row>
    <row r="219" spans="1:9" ht="21" customHeight="1">
      <c r="A219" s="87">
        <v>3</v>
      </c>
      <c r="B219" s="55"/>
      <c r="C219" s="55"/>
      <c r="D219" s="55"/>
      <c r="E219" s="55"/>
      <c r="F219" s="55"/>
      <c r="G219" s="55"/>
      <c r="H219" s="322">
        <f>D219+E219/H215+G219</f>
        <v>0</v>
      </c>
      <c r="I219" s="56"/>
    </row>
    <row r="220" spans="1:9" ht="21" customHeight="1">
      <c r="A220" s="87">
        <v>4</v>
      </c>
      <c r="B220" s="55"/>
      <c r="C220" s="55"/>
      <c r="D220" s="55"/>
      <c r="E220" s="55"/>
      <c r="F220" s="55"/>
      <c r="G220" s="55"/>
      <c r="H220" s="322">
        <f>D220+E220/H215+G220</f>
        <v>0</v>
      </c>
      <c r="I220" s="56"/>
    </row>
    <row r="221" spans="1:9" ht="21" customHeight="1">
      <c r="A221" s="87">
        <v>5</v>
      </c>
      <c r="B221" s="55"/>
      <c r="C221" s="55"/>
      <c r="D221" s="55"/>
      <c r="E221" s="55"/>
      <c r="F221" s="55"/>
      <c r="G221" s="55"/>
      <c r="H221" s="322">
        <f>D221+E221/H215+G221</f>
        <v>0</v>
      </c>
      <c r="I221" s="56"/>
    </row>
    <row r="222" spans="1:9" ht="21" customHeight="1">
      <c r="A222" s="87">
        <v>6</v>
      </c>
      <c r="B222" s="55"/>
      <c r="C222" s="55"/>
      <c r="D222" s="55"/>
      <c r="E222" s="55"/>
      <c r="F222" s="55"/>
      <c r="G222" s="55"/>
      <c r="H222" s="322">
        <f>D222+E222/H215+G222</f>
        <v>0</v>
      </c>
      <c r="I222" s="56"/>
    </row>
    <row r="223" spans="1:9" ht="21" customHeight="1">
      <c r="A223" s="87">
        <v>7</v>
      </c>
      <c r="B223" s="55"/>
      <c r="C223" s="55"/>
      <c r="D223" s="55"/>
      <c r="E223" s="55"/>
      <c r="F223" s="55"/>
      <c r="G223" s="55"/>
      <c r="H223" s="322">
        <f>D223+E223/H215+G223</f>
        <v>0</v>
      </c>
      <c r="I223" s="56"/>
    </row>
    <row r="224" spans="1:9" ht="21" customHeight="1">
      <c r="A224" s="87">
        <v>8</v>
      </c>
      <c r="B224" s="55"/>
      <c r="C224" s="55"/>
      <c r="D224" s="55"/>
      <c r="E224" s="55"/>
      <c r="F224" s="55"/>
      <c r="G224" s="55"/>
      <c r="H224" s="322">
        <f>D224+E224/H215+G224</f>
        <v>0</v>
      </c>
      <c r="I224" s="56"/>
    </row>
    <row r="225" spans="1:9" ht="21" customHeight="1">
      <c r="A225" s="87">
        <v>9</v>
      </c>
      <c r="B225" s="55"/>
      <c r="C225" s="55"/>
      <c r="D225" s="55"/>
      <c r="E225" s="55"/>
      <c r="F225" s="55"/>
      <c r="G225" s="55"/>
      <c r="H225" s="322">
        <f>D225+E225/H215+G225</f>
        <v>0</v>
      </c>
      <c r="I225" s="56"/>
    </row>
    <row r="226" spans="1:9" ht="21" customHeight="1">
      <c r="A226" s="87">
        <v>10</v>
      </c>
      <c r="B226" s="55"/>
      <c r="C226" s="55"/>
      <c r="D226" s="55"/>
      <c r="E226" s="55"/>
      <c r="F226" s="55"/>
      <c r="G226" s="55"/>
      <c r="H226" s="322">
        <f>D226+E226/H215+G226</f>
        <v>0</v>
      </c>
      <c r="I226" s="56"/>
    </row>
    <row r="227" spans="1:9" ht="21" customHeight="1">
      <c r="A227" s="87">
        <v>11</v>
      </c>
      <c r="B227" s="55"/>
      <c r="C227" s="55"/>
      <c r="D227" s="55"/>
      <c r="E227" s="55"/>
      <c r="F227" s="55"/>
      <c r="G227" s="55"/>
      <c r="H227" s="322">
        <f>D227+E227/H215+G227</f>
        <v>0</v>
      </c>
      <c r="I227" s="56"/>
    </row>
    <row r="228" spans="1:9" ht="21" customHeight="1">
      <c r="A228" s="87">
        <v>12</v>
      </c>
      <c r="B228" s="55"/>
      <c r="C228" s="55"/>
      <c r="D228" s="55"/>
      <c r="E228" s="55"/>
      <c r="F228" s="55"/>
      <c r="G228" s="55"/>
      <c r="H228" s="322">
        <f>D228+E228/H215+G228</f>
        <v>0</v>
      </c>
      <c r="I228" s="56"/>
    </row>
    <row r="229" spans="1:9" ht="21" customHeight="1" thickBot="1">
      <c r="A229" s="522" t="s">
        <v>131</v>
      </c>
      <c r="B229" s="523"/>
      <c r="C229" s="524"/>
      <c r="D229" s="57">
        <f>SUM(D217:D228)</f>
        <v>0</v>
      </c>
      <c r="E229" s="57">
        <f>SUM(E217:E228)</f>
        <v>0</v>
      </c>
      <c r="F229" s="57">
        <f>SUM(F217:F228)</f>
        <v>0</v>
      </c>
      <c r="G229" s="57">
        <f>SUM(G217:G228)</f>
        <v>0</v>
      </c>
      <c r="H229" s="323">
        <f>SUM(H217:H228)</f>
        <v>0</v>
      </c>
      <c r="I229" s="54"/>
    </row>
    <row r="230" spans="1:9" ht="21" customHeight="1">
      <c r="A230" s="518" t="s">
        <v>146</v>
      </c>
      <c r="B230" s="518"/>
      <c r="C230" s="518"/>
      <c r="D230" s="518"/>
      <c r="E230" s="518"/>
      <c r="F230" s="518"/>
      <c r="G230" s="518"/>
      <c r="H230" s="518"/>
      <c r="I230" s="518"/>
    </row>
    <row r="231" spans="1:9" ht="21" customHeight="1">
      <c r="A231" s="519"/>
      <c r="B231" s="519"/>
      <c r="C231" s="519"/>
      <c r="D231" s="519"/>
      <c r="E231" s="519"/>
      <c r="F231" s="519"/>
      <c r="G231" s="519"/>
      <c r="H231" s="519"/>
      <c r="I231" s="519"/>
    </row>
    <row r="232" spans="1:9" ht="21" customHeight="1">
      <c r="A232" s="520"/>
      <c r="B232" s="520"/>
      <c r="C232" s="520"/>
      <c r="D232" s="520"/>
      <c r="E232" s="520"/>
      <c r="F232" s="520"/>
      <c r="G232" s="520"/>
      <c r="H232" s="520"/>
      <c r="I232" s="520"/>
    </row>
    <row r="233" spans="1:9" ht="21" customHeight="1">
      <c r="A233" s="525" t="s">
        <v>132</v>
      </c>
      <c r="B233" s="525"/>
      <c r="C233" s="525"/>
      <c r="D233" s="53"/>
      <c r="E233" s="53"/>
      <c r="F233" s="53"/>
      <c r="G233" s="525" t="s">
        <v>133</v>
      </c>
      <c r="H233" s="525"/>
      <c r="I233" s="53"/>
    </row>
    <row r="234" spans="1:9">
      <c r="A234" s="53"/>
      <c r="B234" s="53"/>
      <c r="C234" s="53"/>
      <c r="D234" s="53"/>
      <c r="E234" s="53"/>
      <c r="F234" s="53"/>
      <c r="I234" s="53"/>
    </row>
    <row r="235" spans="1:9">
      <c r="A235" s="53"/>
      <c r="B235" s="53"/>
      <c r="C235" s="53"/>
      <c r="D235" s="53"/>
      <c r="E235" s="53"/>
      <c r="F235" s="53"/>
      <c r="G235" s="53"/>
      <c r="H235" s="53"/>
      <c r="I235" s="53"/>
    </row>
    <row r="236" spans="1:9">
      <c r="A236" s="53"/>
      <c r="B236" s="53"/>
      <c r="C236" s="53"/>
      <c r="D236" s="53"/>
      <c r="E236" s="53"/>
      <c r="F236" s="53"/>
      <c r="G236" s="53"/>
      <c r="H236" s="53"/>
      <c r="I236" s="53"/>
    </row>
    <row r="237" spans="1:9">
      <c r="A237" s="53"/>
      <c r="B237" s="53"/>
      <c r="C237" s="53"/>
      <c r="D237" s="53"/>
      <c r="E237" s="53"/>
      <c r="F237" s="53"/>
      <c r="G237" s="53"/>
      <c r="H237" s="53"/>
      <c r="I237" s="53"/>
    </row>
    <row r="238" spans="1:9">
      <c r="A238" s="53"/>
      <c r="B238" s="53"/>
      <c r="C238" s="53"/>
      <c r="D238" s="53"/>
      <c r="E238" s="53"/>
      <c r="F238" s="53"/>
      <c r="G238" s="53"/>
      <c r="H238" s="53"/>
      <c r="I238" s="53"/>
    </row>
    <row r="239" spans="1:9">
      <c r="A239" s="53"/>
      <c r="B239" s="53"/>
      <c r="C239" s="53"/>
      <c r="D239" s="53"/>
      <c r="E239" s="53"/>
      <c r="F239" s="53"/>
      <c r="G239" s="53"/>
      <c r="H239" s="53"/>
      <c r="I239" s="53"/>
    </row>
    <row r="240" spans="1:9" ht="21" customHeight="1">
      <c r="A240" s="521" t="s">
        <v>109</v>
      </c>
      <c r="B240" s="521"/>
      <c r="C240" s="521"/>
      <c r="D240" s="521"/>
      <c r="E240" s="521"/>
      <c r="F240" s="521"/>
    </row>
    <row r="241" spans="1:9" ht="21" customHeight="1" thickBot="1">
      <c r="A241" s="517" t="s">
        <v>145</v>
      </c>
      <c r="B241" s="517"/>
      <c r="C241" s="517"/>
      <c r="D241" s="517"/>
      <c r="E241" s="517"/>
      <c r="F241" s="517"/>
      <c r="G241" s="49" t="s">
        <v>134</v>
      </c>
      <c r="H241" s="318">
        <f>تسعير!E34</f>
        <v>3.7750001532838997</v>
      </c>
    </row>
    <row r="242" spans="1:9" ht="47.25">
      <c r="A242" s="58" t="s">
        <v>122</v>
      </c>
      <c r="B242" s="59" t="s">
        <v>123</v>
      </c>
      <c r="C242" s="59" t="s">
        <v>124</v>
      </c>
      <c r="D242" s="60" t="s">
        <v>127</v>
      </c>
      <c r="E242" s="60" t="s">
        <v>128</v>
      </c>
      <c r="F242" s="60" t="s">
        <v>125</v>
      </c>
      <c r="G242" s="60" t="s">
        <v>135</v>
      </c>
      <c r="H242" s="319" t="s">
        <v>129</v>
      </c>
      <c r="I242" s="61" t="s">
        <v>126</v>
      </c>
    </row>
    <row r="243" spans="1:9" ht="21" customHeight="1">
      <c r="A243" s="87">
        <v>1</v>
      </c>
      <c r="B243" s="55"/>
      <c r="C243" s="55"/>
      <c r="D243" s="55"/>
      <c r="E243" s="55"/>
      <c r="F243" s="55"/>
      <c r="G243" s="55"/>
      <c r="H243" s="322">
        <f>D243+E243/H241+G243</f>
        <v>0</v>
      </c>
      <c r="I243" s="56"/>
    </row>
    <row r="244" spans="1:9" ht="21" customHeight="1">
      <c r="A244" s="87">
        <v>2</v>
      </c>
      <c r="B244" s="55"/>
      <c r="C244" s="55"/>
      <c r="D244" s="55"/>
      <c r="E244" s="55"/>
      <c r="F244" s="55"/>
      <c r="G244" s="55"/>
      <c r="H244" s="322">
        <f>D244+E244/H241+G244</f>
        <v>0</v>
      </c>
      <c r="I244" s="56"/>
    </row>
    <row r="245" spans="1:9" ht="21" customHeight="1">
      <c r="A245" s="87">
        <v>3</v>
      </c>
      <c r="B245" s="55"/>
      <c r="C245" s="55"/>
      <c r="D245" s="55"/>
      <c r="E245" s="55"/>
      <c r="F245" s="55"/>
      <c r="G245" s="55"/>
      <c r="H245" s="322">
        <f>D245+E245/H241+G245</f>
        <v>0</v>
      </c>
      <c r="I245" s="56"/>
    </row>
    <row r="246" spans="1:9" ht="21" customHeight="1">
      <c r="A246" s="87">
        <v>4</v>
      </c>
      <c r="B246" s="55"/>
      <c r="C246" s="55"/>
      <c r="D246" s="55"/>
      <c r="E246" s="55"/>
      <c r="F246" s="55"/>
      <c r="G246" s="55"/>
      <c r="H246" s="322">
        <f>D246+E246/H241+G246</f>
        <v>0</v>
      </c>
      <c r="I246" s="56"/>
    </row>
    <row r="247" spans="1:9" ht="21" customHeight="1">
      <c r="A247" s="87">
        <v>5</v>
      </c>
      <c r="B247" s="55"/>
      <c r="C247" s="55"/>
      <c r="D247" s="55"/>
      <c r="E247" s="55"/>
      <c r="F247" s="55"/>
      <c r="G247" s="55"/>
      <c r="H247" s="322">
        <f>D247+E247/H241+G247</f>
        <v>0</v>
      </c>
      <c r="I247" s="56"/>
    </row>
    <row r="248" spans="1:9" ht="21" customHeight="1">
      <c r="A248" s="87">
        <v>6</v>
      </c>
      <c r="B248" s="55"/>
      <c r="C248" s="55"/>
      <c r="D248" s="55"/>
      <c r="E248" s="55"/>
      <c r="F248" s="55"/>
      <c r="G248" s="55"/>
      <c r="H248" s="322">
        <f>D248+E248/H241+G248</f>
        <v>0</v>
      </c>
      <c r="I248" s="56"/>
    </row>
    <row r="249" spans="1:9" ht="21" customHeight="1">
      <c r="A249" s="87">
        <v>7</v>
      </c>
      <c r="B249" s="55"/>
      <c r="C249" s="55"/>
      <c r="D249" s="55"/>
      <c r="E249" s="55"/>
      <c r="F249" s="55"/>
      <c r="G249" s="55"/>
      <c r="H249" s="322">
        <f>D249+E249/H241+G249</f>
        <v>0</v>
      </c>
      <c r="I249" s="56"/>
    </row>
    <row r="250" spans="1:9" ht="21" customHeight="1">
      <c r="A250" s="87">
        <v>8</v>
      </c>
      <c r="B250" s="55"/>
      <c r="C250" s="55"/>
      <c r="D250" s="55"/>
      <c r="E250" s="55"/>
      <c r="F250" s="55"/>
      <c r="G250" s="55"/>
      <c r="H250" s="322">
        <f>D250+E250/H241+G250</f>
        <v>0</v>
      </c>
      <c r="I250" s="56"/>
    </row>
    <row r="251" spans="1:9" ht="21" customHeight="1">
      <c r="A251" s="87">
        <v>9</v>
      </c>
      <c r="B251" s="55"/>
      <c r="C251" s="55"/>
      <c r="D251" s="55"/>
      <c r="E251" s="55"/>
      <c r="F251" s="55"/>
      <c r="G251" s="55"/>
      <c r="H251" s="322">
        <f>D251+E251/H241+G251</f>
        <v>0</v>
      </c>
      <c r="I251" s="56"/>
    </row>
    <row r="252" spans="1:9" ht="21" customHeight="1">
      <c r="A252" s="87">
        <v>10</v>
      </c>
      <c r="B252" s="55"/>
      <c r="C252" s="55"/>
      <c r="D252" s="55"/>
      <c r="E252" s="55"/>
      <c r="F252" s="55"/>
      <c r="G252" s="55"/>
      <c r="H252" s="322">
        <f>D252+E252/H241+G252</f>
        <v>0</v>
      </c>
      <c r="I252" s="56"/>
    </row>
    <row r="253" spans="1:9" ht="21" customHeight="1">
      <c r="A253" s="87">
        <v>11</v>
      </c>
      <c r="B253" s="55"/>
      <c r="C253" s="55"/>
      <c r="D253" s="55"/>
      <c r="E253" s="55"/>
      <c r="F253" s="55"/>
      <c r="G253" s="55"/>
      <c r="H253" s="322">
        <f>D253+E253/H241+G253</f>
        <v>0</v>
      </c>
      <c r="I253" s="56"/>
    </row>
    <row r="254" spans="1:9" ht="21" customHeight="1">
      <c r="A254" s="87">
        <v>12</v>
      </c>
      <c r="B254" s="55"/>
      <c r="C254" s="55"/>
      <c r="D254" s="55"/>
      <c r="E254" s="55"/>
      <c r="F254" s="55"/>
      <c r="G254" s="55"/>
      <c r="H254" s="322">
        <f>D254+E254/H241+G254</f>
        <v>0</v>
      </c>
      <c r="I254" s="56"/>
    </row>
    <row r="255" spans="1:9" ht="21" customHeight="1" thickBot="1">
      <c r="A255" s="522" t="s">
        <v>131</v>
      </c>
      <c r="B255" s="523"/>
      <c r="C255" s="524"/>
      <c r="D255" s="57">
        <f>SUM(D243:D254)</f>
        <v>0</v>
      </c>
      <c r="E255" s="57">
        <f>SUM(E243:E254)</f>
        <v>0</v>
      </c>
      <c r="F255" s="57">
        <f>SUM(F243:F254)</f>
        <v>0</v>
      </c>
      <c r="G255" s="57">
        <f>SUM(G243:G254)</f>
        <v>0</v>
      </c>
      <c r="H255" s="323">
        <f>SUM(H243:H254)</f>
        <v>0</v>
      </c>
      <c r="I255" s="54"/>
    </row>
    <row r="256" spans="1:9" ht="21" customHeight="1">
      <c r="A256" s="518" t="s">
        <v>144</v>
      </c>
      <c r="B256" s="518"/>
      <c r="C256" s="518"/>
      <c r="D256" s="518"/>
      <c r="E256" s="518"/>
      <c r="F256" s="518"/>
      <c r="G256" s="518"/>
      <c r="H256" s="518"/>
      <c r="I256" s="518"/>
    </row>
    <row r="257" spans="1:9" ht="21" customHeight="1">
      <c r="A257" s="519"/>
      <c r="B257" s="519"/>
      <c r="C257" s="519"/>
      <c r="D257" s="519"/>
      <c r="E257" s="519"/>
      <c r="F257" s="519"/>
      <c r="G257" s="519"/>
      <c r="H257" s="519"/>
      <c r="I257" s="519"/>
    </row>
    <row r="258" spans="1:9" ht="21" customHeight="1">
      <c r="A258" s="520"/>
      <c r="B258" s="520"/>
      <c r="C258" s="520"/>
      <c r="D258" s="520"/>
      <c r="E258" s="520"/>
      <c r="F258" s="520"/>
      <c r="G258" s="520"/>
      <c r="H258" s="520"/>
      <c r="I258" s="520"/>
    </row>
    <row r="259" spans="1:9" ht="21" customHeight="1">
      <c r="A259" s="525" t="s">
        <v>132</v>
      </c>
      <c r="B259" s="525"/>
      <c r="C259" s="525"/>
      <c r="D259" s="53"/>
      <c r="E259" s="53"/>
      <c r="F259" s="53"/>
      <c r="G259" s="525" t="s">
        <v>133</v>
      </c>
      <c r="H259" s="525"/>
      <c r="I259" s="53"/>
    </row>
    <row r="260" spans="1:9">
      <c r="A260" s="53"/>
      <c r="B260" s="53"/>
      <c r="C260" s="53"/>
      <c r="D260" s="53"/>
      <c r="E260" s="53"/>
      <c r="F260" s="53"/>
      <c r="I260" s="53"/>
    </row>
    <row r="261" spans="1:9">
      <c r="A261" s="53"/>
      <c r="B261" s="53"/>
      <c r="C261" s="53"/>
      <c r="D261" s="53"/>
      <c r="E261" s="53"/>
      <c r="F261" s="53"/>
      <c r="G261" s="53"/>
      <c r="H261" s="53"/>
      <c r="I261" s="53"/>
    </row>
    <row r="262" spans="1:9">
      <c r="A262" s="53"/>
      <c r="B262" s="53"/>
      <c r="C262" s="53"/>
      <c r="D262" s="53"/>
      <c r="E262" s="53"/>
      <c r="F262" s="53"/>
      <c r="G262" s="53"/>
      <c r="H262" s="53"/>
      <c r="I262" s="53"/>
    </row>
    <row r="263" spans="1:9">
      <c r="A263" s="53"/>
      <c r="B263" s="53"/>
      <c r="C263" s="53"/>
      <c r="D263" s="53"/>
      <c r="E263" s="53"/>
      <c r="F263" s="53"/>
      <c r="G263" s="53"/>
      <c r="H263" s="53"/>
      <c r="I263" s="53"/>
    </row>
    <row r="264" spans="1:9">
      <c r="A264" s="53"/>
      <c r="B264" s="53"/>
      <c r="C264" s="53"/>
      <c r="D264" s="53"/>
      <c r="E264" s="53"/>
      <c r="F264" s="53"/>
      <c r="G264" s="53"/>
      <c r="H264" s="53"/>
      <c r="I264" s="53"/>
    </row>
    <row r="265" spans="1:9">
      <c r="A265" s="53"/>
      <c r="B265" s="53"/>
      <c r="C265" s="53"/>
      <c r="D265" s="53"/>
      <c r="E265" s="53"/>
      <c r="F265" s="53"/>
      <c r="G265" s="53"/>
      <c r="H265" s="53"/>
      <c r="I265" s="53"/>
    </row>
    <row r="266" spans="1:9" ht="21" customHeight="1">
      <c r="A266" s="521" t="s">
        <v>109</v>
      </c>
      <c r="B266" s="521"/>
      <c r="C266" s="521"/>
      <c r="D266" s="521"/>
      <c r="E266" s="521"/>
      <c r="F266" s="521"/>
    </row>
    <row r="267" spans="1:9" ht="21" customHeight="1" thickBot="1">
      <c r="A267" s="517" t="s">
        <v>141</v>
      </c>
      <c r="B267" s="517"/>
      <c r="C267" s="517"/>
      <c r="D267" s="517"/>
      <c r="E267" s="517"/>
      <c r="F267" s="517"/>
      <c r="G267" s="49" t="s">
        <v>134</v>
      </c>
      <c r="H267" s="318">
        <f>تسعير!E34</f>
        <v>3.7750001532838997</v>
      </c>
    </row>
    <row r="268" spans="1:9" ht="47.25">
      <c r="A268" s="58" t="s">
        <v>122</v>
      </c>
      <c r="B268" s="59" t="s">
        <v>123</v>
      </c>
      <c r="C268" s="59" t="s">
        <v>124</v>
      </c>
      <c r="D268" s="60" t="s">
        <v>127</v>
      </c>
      <c r="E268" s="60" t="s">
        <v>128</v>
      </c>
      <c r="F268" s="60" t="s">
        <v>125</v>
      </c>
      <c r="G268" s="60" t="s">
        <v>135</v>
      </c>
      <c r="H268" s="319" t="s">
        <v>129</v>
      </c>
      <c r="I268" s="61" t="s">
        <v>126</v>
      </c>
    </row>
    <row r="269" spans="1:9" ht="21" customHeight="1">
      <c r="A269" s="87">
        <v>1</v>
      </c>
      <c r="B269" s="55"/>
      <c r="C269" s="55"/>
      <c r="D269" s="55"/>
      <c r="E269" s="55"/>
      <c r="F269" s="55"/>
      <c r="G269" s="55"/>
      <c r="H269" s="322">
        <f>D269+E269/H267+G269</f>
        <v>0</v>
      </c>
      <c r="I269" s="56"/>
    </row>
    <row r="270" spans="1:9" ht="21" customHeight="1">
      <c r="A270" s="87">
        <v>2</v>
      </c>
      <c r="B270" s="55"/>
      <c r="C270" s="55"/>
      <c r="D270" s="55"/>
      <c r="E270" s="55"/>
      <c r="F270" s="55"/>
      <c r="G270" s="55"/>
      <c r="H270" s="322">
        <f>D270+E270/H267+G270</f>
        <v>0</v>
      </c>
      <c r="I270" s="56"/>
    </row>
    <row r="271" spans="1:9" ht="21" customHeight="1">
      <c r="A271" s="87">
        <v>3</v>
      </c>
      <c r="B271" s="55"/>
      <c r="C271" s="55"/>
      <c r="D271" s="55"/>
      <c r="E271" s="55"/>
      <c r="F271" s="55"/>
      <c r="G271" s="55"/>
      <c r="H271" s="322">
        <f>D271+E271/H267+G271</f>
        <v>0</v>
      </c>
      <c r="I271" s="56"/>
    </row>
    <row r="272" spans="1:9" ht="21" customHeight="1">
      <c r="A272" s="87">
        <v>4</v>
      </c>
      <c r="B272" s="55"/>
      <c r="C272" s="55"/>
      <c r="D272" s="55"/>
      <c r="E272" s="55"/>
      <c r="F272" s="55"/>
      <c r="G272" s="55"/>
      <c r="H272" s="322">
        <f>D272+E272/H267+G272</f>
        <v>0</v>
      </c>
      <c r="I272" s="56"/>
    </row>
    <row r="273" spans="1:9" ht="21" customHeight="1">
      <c r="A273" s="87">
        <v>5</v>
      </c>
      <c r="B273" s="55"/>
      <c r="C273" s="55"/>
      <c r="D273" s="55"/>
      <c r="E273" s="55"/>
      <c r="F273" s="55"/>
      <c r="G273" s="55"/>
      <c r="H273" s="322">
        <f>D273+E273/H267+G273</f>
        <v>0</v>
      </c>
      <c r="I273" s="56"/>
    </row>
    <row r="274" spans="1:9" ht="21" customHeight="1">
      <c r="A274" s="87">
        <v>6</v>
      </c>
      <c r="B274" s="55"/>
      <c r="C274" s="55"/>
      <c r="D274" s="55"/>
      <c r="E274" s="55"/>
      <c r="F274" s="55"/>
      <c r="G274" s="55"/>
      <c r="H274" s="322">
        <f>D274+E274/H267+G274</f>
        <v>0</v>
      </c>
      <c r="I274" s="56"/>
    </row>
    <row r="275" spans="1:9" ht="21" customHeight="1">
      <c r="A275" s="87">
        <v>7</v>
      </c>
      <c r="B275" s="55"/>
      <c r="C275" s="55"/>
      <c r="D275" s="55"/>
      <c r="E275" s="55"/>
      <c r="F275" s="55"/>
      <c r="G275" s="55"/>
      <c r="H275" s="322">
        <f>D275+E275/H267+G275</f>
        <v>0</v>
      </c>
      <c r="I275" s="56"/>
    </row>
    <row r="276" spans="1:9" ht="21" customHeight="1">
      <c r="A276" s="87">
        <v>8</v>
      </c>
      <c r="B276" s="55"/>
      <c r="C276" s="55"/>
      <c r="D276" s="55"/>
      <c r="E276" s="55"/>
      <c r="F276" s="55"/>
      <c r="G276" s="55"/>
      <c r="H276" s="322">
        <f>D276+E276/H267+G276</f>
        <v>0</v>
      </c>
      <c r="I276" s="56"/>
    </row>
    <row r="277" spans="1:9" ht="21" customHeight="1">
      <c r="A277" s="87">
        <v>9</v>
      </c>
      <c r="B277" s="55"/>
      <c r="C277" s="55"/>
      <c r="D277" s="55"/>
      <c r="E277" s="55"/>
      <c r="F277" s="55"/>
      <c r="G277" s="55"/>
      <c r="H277" s="322">
        <f>D277+E277/H267+G277</f>
        <v>0</v>
      </c>
      <c r="I277" s="56"/>
    </row>
    <row r="278" spans="1:9" ht="21" customHeight="1">
      <c r="A278" s="87">
        <v>10</v>
      </c>
      <c r="B278" s="55"/>
      <c r="C278" s="55"/>
      <c r="D278" s="55"/>
      <c r="E278" s="55"/>
      <c r="F278" s="55"/>
      <c r="G278" s="55"/>
      <c r="H278" s="322">
        <f>D278+E278/H267+G278</f>
        <v>0</v>
      </c>
      <c r="I278" s="56"/>
    </row>
    <row r="279" spans="1:9" ht="21" customHeight="1">
      <c r="A279" s="87">
        <v>11</v>
      </c>
      <c r="B279" s="55"/>
      <c r="C279" s="55"/>
      <c r="D279" s="55"/>
      <c r="E279" s="55"/>
      <c r="F279" s="55"/>
      <c r="G279" s="55"/>
      <c r="H279" s="322">
        <f>D279+E279/H267+G279</f>
        <v>0</v>
      </c>
      <c r="I279" s="56"/>
    </row>
    <row r="280" spans="1:9" ht="21" customHeight="1">
      <c r="A280" s="87">
        <v>12</v>
      </c>
      <c r="B280" s="55"/>
      <c r="C280" s="55"/>
      <c r="D280" s="55"/>
      <c r="E280" s="55"/>
      <c r="F280" s="55"/>
      <c r="G280" s="55"/>
      <c r="H280" s="322">
        <f>D280+E280/H267+G280</f>
        <v>0</v>
      </c>
      <c r="I280" s="56"/>
    </row>
    <row r="281" spans="1:9" ht="21" customHeight="1" thickBot="1">
      <c r="A281" s="522" t="s">
        <v>131</v>
      </c>
      <c r="B281" s="523"/>
      <c r="C281" s="524"/>
      <c r="D281" s="57">
        <f>SUM(D269:D280)</f>
        <v>0</v>
      </c>
      <c r="E281" s="57">
        <f>SUM(E269:E280)</f>
        <v>0</v>
      </c>
      <c r="F281" s="57">
        <f>SUM(F269:F280)</f>
        <v>0</v>
      </c>
      <c r="G281" s="57">
        <f>SUM(G269:G280)</f>
        <v>0</v>
      </c>
      <c r="H281" s="323">
        <f>SUM(H269:H280)</f>
        <v>0</v>
      </c>
      <c r="I281" s="54"/>
    </row>
    <row r="282" spans="1:9" ht="21" customHeight="1">
      <c r="A282" s="518" t="s">
        <v>140</v>
      </c>
      <c r="B282" s="518"/>
      <c r="C282" s="518"/>
      <c r="D282" s="518"/>
      <c r="E282" s="518"/>
      <c r="F282" s="518"/>
      <c r="G282" s="518"/>
      <c r="H282" s="518"/>
      <c r="I282" s="518"/>
    </row>
    <row r="283" spans="1:9" ht="21" customHeight="1">
      <c r="A283" s="519"/>
      <c r="B283" s="519"/>
      <c r="C283" s="519"/>
      <c r="D283" s="519"/>
      <c r="E283" s="519"/>
      <c r="F283" s="519"/>
      <c r="G283" s="519"/>
      <c r="H283" s="519"/>
      <c r="I283" s="519"/>
    </row>
    <row r="284" spans="1:9" ht="21" customHeight="1">
      <c r="A284" s="520"/>
      <c r="B284" s="520"/>
      <c r="C284" s="520"/>
      <c r="D284" s="520"/>
      <c r="E284" s="520"/>
      <c r="F284" s="520"/>
      <c r="G284" s="520"/>
      <c r="H284" s="520"/>
      <c r="I284" s="520"/>
    </row>
    <row r="285" spans="1:9" ht="21" customHeight="1">
      <c r="A285" s="525" t="s">
        <v>132</v>
      </c>
      <c r="B285" s="525"/>
      <c r="C285" s="525"/>
      <c r="D285" s="53"/>
      <c r="E285" s="53"/>
      <c r="F285" s="53"/>
      <c r="G285" s="525" t="s">
        <v>133</v>
      </c>
      <c r="H285" s="525"/>
      <c r="I285" s="53"/>
    </row>
    <row r="286" spans="1:9">
      <c r="A286" s="53"/>
      <c r="B286" s="53"/>
      <c r="C286" s="53"/>
      <c r="D286" s="53"/>
      <c r="E286" s="53"/>
      <c r="F286" s="53"/>
      <c r="I286" s="53"/>
    </row>
    <row r="287" spans="1:9">
      <c r="A287" s="53"/>
      <c r="B287" s="53"/>
      <c r="C287" s="53"/>
      <c r="D287" s="53"/>
      <c r="E287" s="53"/>
      <c r="F287" s="53"/>
      <c r="G287" s="53"/>
      <c r="H287" s="53"/>
      <c r="I287" s="53"/>
    </row>
    <row r="288" spans="1:9">
      <c r="A288" s="53"/>
      <c r="B288" s="53"/>
      <c r="C288" s="53"/>
      <c r="D288" s="53"/>
      <c r="E288" s="53"/>
      <c r="F288" s="53"/>
      <c r="G288" s="53"/>
      <c r="H288" s="53"/>
      <c r="I288" s="53"/>
    </row>
    <row r="289" spans="1:9">
      <c r="A289" s="53"/>
      <c r="B289" s="53"/>
      <c r="C289" s="53"/>
      <c r="D289" s="53"/>
      <c r="E289" s="53"/>
      <c r="F289" s="53"/>
      <c r="G289" s="53"/>
      <c r="H289" s="53"/>
      <c r="I289" s="53"/>
    </row>
    <row r="290" spans="1:9">
      <c r="A290" s="53"/>
      <c r="B290" s="53"/>
      <c r="C290" s="53"/>
      <c r="D290" s="53"/>
      <c r="E290" s="53"/>
      <c r="F290" s="53"/>
      <c r="G290" s="53"/>
      <c r="H290" s="53"/>
      <c r="I290" s="53"/>
    </row>
    <row r="291" spans="1:9">
      <c r="A291" s="53"/>
      <c r="B291" s="53"/>
      <c r="C291" s="53"/>
      <c r="D291" s="53"/>
      <c r="E291" s="53"/>
      <c r="F291" s="53"/>
      <c r="G291" s="53"/>
      <c r="H291" s="53"/>
      <c r="I291" s="53"/>
    </row>
    <row r="292" spans="1:9" ht="21.75" customHeight="1">
      <c r="A292" s="521" t="s">
        <v>109</v>
      </c>
      <c r="B292" s="521"/>
      <c r="C292" s="521"/>
      <c r="D292" s="521"/>
      <c r="E292" s="521"/>
      <c r="F292" s="521"/>
    </row>
    <row r="293" spans="1:9" ht="21.75" customHeight="1" thickBot="1">
      <c r="A293" s="526" t="s">
        <v>142</v>
      </c>
      <c r="B293" s="526"/>
      <c r="C293" s="526"/>
      <c r="D293" s="526"/>
      <c r="E293" s="526"/>
      <c r="F293" s="526"/>
      <c r="G293" s="49" t="s">
        <v>134</v>
      </c>
      <c r="H293" s="318">
        <f>تسعير!E34</f>
        <v>3.7750001532838997</v>
      </c>
    </row>
    <row r="294" spans="1:9" ht="47.25">
      <c r="A294" s="58" t="s">
        <v>122</v>
      </c>
      <c r="B294" s="59" t="s">
        <v>123</v>
      </c>
      <c r="C294" s="59" t="s">
        <v>124</v>
      </c>
      <c r="D294" s="60" t="s">
        <v>127</v>
      </c>
      <c r="E294" s="60" t="s">
        <v>128</v>
      </c>
      <c r="F294" s="60" t="s">
        <v>125</v>
      </c>
      <c r="G294" s="60" t="s">
        <v>135</v>
      </c>
      <c r="H294" s="319" t="s">
        <v>129</v>
      </c>
      <c r="I294" s="61" t="s">
        <v>126</v>
      </c>
    </row>
    <row r="295" spans="1:9" ht="21" customHeight="1">
      <c r="A295" s="87">
        <v>1</v>
      </c>
      <c r="B295" s="55"/>
      <c r="C295" s="55"/>
      <c r="D295" s="55"/>
      <c r="E295" s="55"/>
      <c r="F295" s="55"/>
      <c r="G295" s="55"/>
      <c r="H295" s="322">
        <f>D295+E295/H293+G295</f>
        <v>0</v>
      </c>
      <c r="I295" s="56"/>
    </row>
    <row r="296" spans="1:9" ht="21" customHeight="1">
      <c r="A296" s="87">
        <v>2</v>
      </c>
      <c r="B296" s="55"/>
      <c r="C296" s="55"/>
      <c r="D296" s="55"/>
      <c r="E296" s="55"/>
      <c r="F296" s="55"/>
      <c r="G296" s="55"/>
      <c r="H296" s="322">
        <f>D296+E296/H293+G296</f>
        <v>0</v>
      </c>
      <c r="I296" s="56"/>
    </row>
    <row r="297" spans="1:9" ht="21" customHeight="1">
      <c r="A297" s="87">
        <v>3</v>
      </c>
      <c r="B297" s="55"/>
      <c r="C297" s="55"/>
      <c r="D297" s="55"/>
      <c r="E297" s="55"/>
      <c r="F297" s="55"/>
      <c r="G297" s="55"/>
      <c r="H297" s="322">
        <f>D297+E297/H293+G297</f>
        <v>0</v>
      </c>
      <c r="I297" s="56"/>
    </row>
    <row r="298" spans="1:9" ht="21" customHeight="1">
      <c r="A298" s="87">
        <v>4</v>
      </c>
      <c r="B298" s="55"/>
      <c r="C298" s="55"/>
      <c r="D298" s="55"/>
      <c r="E298" s="55"/>
      <c r="F298" s="55"/>
      <c r="G298" s="55"/>
      <c r="H298" s="322">
        <f>D298+E298/H293+G298</f>
        <v>0</v>
      </c>
      <c r="I298" s="56"/>
    </row>
    <row r="299" spans="1:9" ht="21" customHeight="1">
      <c r="A299" s="87">
        <v>5</v>
      </c>
      <c r="B299" s="55"/>
      <c r="C299" s="55"/>
      <c r="D299" s="55"/>
      <c r="E299" s="55"/>
      <c r="F299" s="55"/>
      <c r="G299" s="55"/>
      <c r="H299" s="322">
        <f>D299+E299/H293+G299</f>
        <v>0</v>
      </c>
      <c r="I299" s="56"/>
    </row>
    <row r="300" spans="1:9" ht="21" customHeight="1">
      <c r="A300" s="87">
        <v>6</v>
      </c>
      <c r="B300" s="55"/>
      <c r="C300" s="55"/>
      <c r="D300" s="55"/>
      <c r="E300" s="55"/>
      <c r="F300" s="55"/>
      <c r="G300" s="55"/>
      <c r="H300" s="322">
        <f>D300+E300/H293+G300</f>
        <v>0</v>
      </c>
      <c r="I300" s="56"/>
    </row>
    <row r="301" spans="1:9" ht="21" customHeight="1">
      <c r="A301" s="87">
        <v>7</v>
      </c>
      <c r="B301" s="55"/>
      <c r="C301" s="55"/>
      <c r="D301" s="55"/>
      <c r="E301" s="55"/>
      <c r="F301" s="55"/>
      <c r="G301" s="55"/>
      <c r="H301" s="322">
        <f>D301+E301/H293+G301</f>
        <v>0</v>
      </c>
      <c r="I301" s="56"/>
    </row>
    <row r="302" spans="1:9" ht="21" customHeight="1">
      <c r="A302" s="87">
        <v>8</v>
      </c>
      <c r="B302" s="55"/>
      <c r="C302" s="55"/>
      <c r="D302" s="55"/>
      <c r="E302" s="55"/>
      <c r="F302" s="55"/>
      <c r="G302" s="55"/>
      <c r="H302" s="322">
        <f>D302+E302/H293+G302</f>
        <v>0</v>
      </c>
      <c r="I302" s="56"/>
    </row>
    <row r="303" spans="1:9" ht="21" customHeight="1">
      <c r="A303" s="87">
        <v>9</v>
      </c>
      <c r="B303" s="55"/>
      <c r="C303" s="55"/>
      <c r="D303" s="55"/>
      <c r="E303" s="55"/>
      <c r="F303" s="55"/>
      <c r="G303" s="55"/>
      <c r="H303" s="322">
        <f>D303+E303/H293+G303</f>
        <v>0</v>
      </c>
      <c r="I303" s="56"/>
    </row>
    <row r="304" spans="1:9" ht="21" customHeight="1">
      <c r="A304" s="87">
        <v>10</v>
      </c>
      <c r="B304" s="55"/>
      <c r="C304" s="55"/>
      <c r="D304" s="55"/>
      <c r="E304" s="55"/>
      <c r="F304" s="55"/>
      <c r="G304" s="55"/>
      <c r="H304" s="322">
        <f>D304+E304/H293+G304</f>
        <v>0</v>
      </c>
      <c r="I304" s="56"/>
    </row>
    <row r="305" spans="1:9" ht="21" customHeight="1">
      <c r="A305" s="87">
        <v>11</v>
      </c>
      <c r="B305" s="55"/>
      <c r="C305" s="55"/>
      <c r="D305" s="55"/>
      <c r="E305" s="55"/>
      <c r="F305" s="55"/>
      <c r="G305" s="55"/>
      <c r="H305" s="322">
        <f>D305+E305/H293+G305</f>
        <v>0</v>
      </c>
      <c r="I305" s="56"/>
    </row>
    <row r="306" spans="1:9" ht="21" customHeight="1">
      <c r="A306" s="87">
        <v>12</v>
      </c>
      <c r="B306" s="55"/>
      <c r="C306" s="55"/>
      <c r="D306" s="55"/>
      <c r="E306" s="55"/>
      <c r="F306" s="55"/>
      <c r="G306" s="55"/>
      <c r="H306" s="322">
        <f>D306+E306/H293+G306</f>
        <v>0</v>
      </c>
      <c r="I306" s="56"/>
    </row>
    <row r="307" spans="1:9" ht="21" customHeight="1" thickBot="1">
      <c r="A307" s="522" t="s">
        <v>131</v>
      </c>
      <c r="B307" s="523"/>
      <c r="C307" s="524"/>
      <c r="D307" s="57">
        <f>SUM(D295:D306)</f>
        <v>0</v>
      </c>
      <c r="E307" s="57">
        <f>SUM(E295:E306)</f>
        <v>0</v>
      </c>
      <c r="F307" s="57">
        <f>SUM(F295:F306)</f>
        <v>0</v>
      </c>
      <c r="G307" s="57">
        <f>SUM(G295:G306)</f>
        <v>0</v>
      </c>
      <c r="H307" s="323">
        <f>SUM(H295:H306)</f>
        <v>0</v>
      </c>
      <c r="I307" s="54"/>
    </row>
    <row r="308" spans="1:9" ht="21" customHeight="1">
      <c r="A308" s="518" t="s">
        <v>139</v>
      </c>
      <c r="B308" s="518"/>
      <c r="C308" s="518"/>
      <c r="D308" s="518"/>
      <c r="E308" s="518"/>
      <c r="F308" s="518"/>
      <c r="G308" s="518"/>
      <c r="H308" s="518"/>
      <c r="I308" s="518"/>
    </row>
    <row r="309" spans="1:9" ht="21" customHeight="1">
      <c r="A309" s="519"/>
      <c r="B309" s="519"/>
      <c r="C309" s="519"/>
      <c r="D309" s="519"/>
      <c r="E309" s="519"/>
      <c r="F309" s="519"/>
      <c r="G309" s="519"/>
      <c r="H309" s="519"/>
      <c r="I309" s="519"/>
    </row>
    <row r="310" spans="1:9" ht="21" customHeight="1">
      <c r="A310" s="520"/>
      <c r="B310" s="520"/>
      <c r="C310" s="520"/>
      <c r="D310" s="520"/>
      <c r="E310" s="520"/>
      <c r="F310" s="520"/>
      <c r="G310" s="520"/>
      <c r="H310" s="520"/>
      <c r="I310" s="520"/>
    </row>
    <row r="311" spans="1:9" ht="21" customHeight="1">
      <c r="A311" s="525" t="s">
        <v>132</v>
      </c>
      <c r="B311" s="525"/>
      <c r="C311" s="525"/>
      <c r="D311" s="53"/>
      <c r="E311" s="53"/>
      <c r="F311" s="53"/>
      <c r="G311" s="525" t="s">
        <v>133</v>
      </c>
      <c r="H311" s="525"/>
      <c r="I311" s="53"/>
    </row>
    <row r="312" spans="1:9">
      <c r="A312" s="53"/>
      <c r="B312" s="53"/>
      <c r="C312" s="53"/>
      <c r="D312" s="53"/>
      <c r="E312" s="53"/>
      <c r="F312" s="53"/>
      <c r="I312" s="53"/>
    </row>
    <row r="313" spans="1:9">
      <c r="A313" s="53"/>
      <c r="B313" s="53"/>
      <c r="C313" s="53"/>
      <c r="D313" s="53"/>
      <c r="E313" s="53"/>
      <c r="F313" s="53"/>
      <c r="G313" s="53"/>
      <c r="H313" s="53"/>
      <c r="I313" s="53"/>
    </row>
    <row r="314" spans="1:9">
      <c r="A314" s="53"/>
      <c r="B314" s="53"/>
      <c r="C314" s="53"/>
      <c r="D314" s="53"/>
      <c r="E314" s="53"/>
      <c r="F314" s="53"/>
      <c r="G314" s="53"/>
      <c r="H314" s="53"/>
      <c r="I314" s="53"/>
    </row>
    <row r="315" spans="1:9">
      <c r="A315" s="53"/>
      <c r="B315" s="53"/>
      <c r="C315" s="53"/>
      <c r="D315" s="53"/>
      <c r="E315" s="53"/>
      <c r="F315" s="53"/>
      <c r="G315" s="53"/>
      <c r="H315" s="53"/>
      <c r="I315" s="53"/>
    </row>
    <row r="316" spans="1:9">
      <c r="A316" s="53"/>
      <c r="B316" s="53"/>
      <c r="C316" s="53"/>
      <c r="D316" s="53"/>
      <c r="E316" s="53"/>
      <c r="F316" s="53"/>
      <c r="G316" s="53"/>
      <c r="H316" s="53"/>
      <c r="I316" s="53"/>
    </row>
    <row r="317" spans="1:9">
      <c r="A317" s="53"/>
      <c r="B317" s="53"/>
      <c r="C317" s="53"/>
      <c r="D317" s="53"/>
      <c r="E317" s="53"/>
      <c r="F317" s="53"/>
      <c r="G317" s="53"/>
      <c r="H317" s="53"/>
      <c r="I317" s="53"/>
    </row>
    <row r="318" spans="1:9" ht="21" customHeight="1">
      <c r="A318" s="521" t="s">
        <v>109</v>
      </c>
      <c r="B318" s="521"/>
      <c r="C318" s="521"/>
      <c r="D318" s="521"/>
      <c r="E318" s="521"/>
      <c r="F318" s="521"/>
    </row>
    <row r="319" spans="1:9" ht="21" customHeight="1" thickBot="1">
      <c r="A319" s="517" t="s">
        <v>143</v>
      </c>
      <c r="B319" s="517"/>
      <c r="C319" s="517"/>
      <c r="D319" s="517"/>
      <c r="E319" s="517"/>
      <c r="F319" s="517"/>
      <c r="G319" s="49" t="s">
        <v>134</v>
      </c>
      <c r="H319" s="318">
        <f>تسعير!E34</f>
        <v>3.7750001532838997</v>
      </c>
    </row>
    <row r="320" spans="1:9" ht="47.25">
      <c r="A320" s="58" t="s">
        <v>122</v>
      </c>
      <c r="B320" s="59" t="s">
        <v>123</v>
      </c>
      <c r="C320" s="59" t="s">
        <v>124</v>
      </c>
      <c r="D320" s="60" t="s">
        <v>127</v>
      </c>
      <c r="E320" s="60" t="s">
        <v>128</v>
      </c>
      <c r="F320" s="60" t="s">
        <v>125</v>
      </c>
      <c r="G320" s="60" t="s">
        <v>135</v>
      </c>
      <c r="H320" s="319" t="s">
        <v>129</v>
      </c>
      <c r="I320" s="61" t="s">
        <v>126</v>
      </c>
    </row>
    <row r="321" spans="1:9" ht="21" customHeight="1">
      <c r="A321" s="87">
        <v>1</v>
      </c>
      <c r="B321" s="55"/>
      <c r="C321" s="55"/>
      <c r="D321" s="55"/>
      <c r="E321" s="55"/>
      <c r="F321" s="55"/>
      <c r="G321" s="55"/>
      <c r="H321" s="322">
        <f>D321+(E321/H319)+G321</f>
        <v>0</v>
      </c>
      <c r="I321" s="56"/>
    </row>
    <row r="322" spans="1:9" ht="21" customHeight="1">
      <c r="A322" s="87">
        <v>2</v>
      </c>
      <c r="B322" s="55"/>
      <c r="C322" s="55"/>
      <c r="D322" s="55"/>
      <c r="E322" s="55"/>
      <c r="F322" s="55"/>
      <c r="G322" s="55"/>
      <c r="H322" s="322">
        <f>D322+E322/H319+G322</f>
        <v>0</v>
      </c>
      <c r="I322" s="56"/>
    </row>
    <row r="323" spans="1:9" ht="21" customHeight="1">
      <c r="A323" s="87">
        <v>3</v>
      </c>
      <c r="B323" s="55"/>
      <c r="C323" s="55"/>
      <c r="D323" s="55"/>
      <c r="E323" s="55"/>
      <c r="F323" s="55"/>
      <c r="G323" s="55"/>
      <c r="H323" s="322">
        <f>D323+E323/H319+G323</f>
        <v>0</v>
      </c>
      <c r="I323" s="56"/>
    </row>
    <row r="324" spans="1:9" ht="21" customHeight="1">
      <c r="A324" s="87">
        <v>4</v>
      </c>
      <c r="B324" s="55"/>
      <c r="C324" s="55"/>
      <c r="D324" s="55"/>
      <c r="E324" s="55"/>
      <c r="F324" s="55"/>
      <c r="G324" s="55"/>
      <c r="H324" s="322">
        <f>D324+E324/H319+G324</f>
        <v>0</v>
      </c>
      <c r="I324" s="56"/>
    </row>
    <row r="325" spans="1:9" ht="21" customHeight="1">
      <c r="A325" s="87">
        <v>5</v>
      </c>
      <c r="B325" s="55"/>
      <c r="C325" s="55"/>
      <c r="D325" s="55"/>
      <c r="E325" s="55"/>
      <c r="F325" s="55"/>
      <c r="G325" s="55"/>
      <c r="H325" s="322">
        <f>D325+E325/H319+G325</f>
        <v>0</v>
      </c>
      <c r="I325" s="56"/>
    </row>
    <row r="326" spans="1:9" ht="21" customHeight="1">
      <c r="A326" s="87">
        <v>6</v>
      </c>
      <c r="B326" s="55"/>
      <c r="C326" s="55"/>
      <c r="D326" s="55"/>
      <c r="E326" s="55"/>
      <c r="F326" s="55"/>
      <c r="G326" s="55"/>
      <c r="H326" s="322">
        <f>D326+E326/H319+G326</f>
        <v>0</v>
      </c>
      <c r="I326" s="56"/>
    </row>
    <row r="327" spans="1:9" ht="21" customHeight="1">
      <c r="A327" s="87">
        <v>7</v>
      </c>
      <c r="B327" s="55"/>
      <c r="C327" s="55"/>
      <c r="D327" s="55"/>
      <c r="E327" s="55"/>
      <c r="F327" s="55"/>
      <c r="G327" s="55"/>
      <c r="H327" s="322">
        <f>D327+E327/H319+G327</f>
        <v>0</v>
      </c>
      <c r="I327" s="56"/>
    </row>
    <row r="328" spans="1:9" ht="21" customHeight="1">
      <c r="A328" s="87">
        <v>8</v>
      </c>
      <c r="B328" s="55"/>
      <c r="C328" s="55"/>
      <c r="D328" s="55"/>
      <c r="E328" s="55"/>
      <c r="F328" s="55"/>
      <c r="G328" s="55"/>
      <c r="H328" s="322">
        <f>D328+E328/H319+G328</f>
        <v>0</v>
      </c>
      <c r="I328" s="56"/>
    </row>
    <row r="329" spans="1:9" ht="21" customHeight="1">
      <c r="A329" s="87">
        <v>9</v>
      </c>
      <c r="B329" s="55"/>
      <c r="C329" s="55"/>
      <c r="D329" s="55"/>
      <c r="E329" s="55"/>
      <c r="F329" s="55"/>
      <c r="G329" s="55"/>
      <c r="H329" s="322">
        <f>D329+E329/H319+G329</f>
        <v>0</v>
      </c>
      <c r="I329" s="56"/>
    </row>
    <row r="330" spans="1:9" ht="21" customHeight="1">
      <c r="A330" s="87">
        <v>10</v>
      </c>
      <c r="B330" s="55"/>
      <c r="C330" s="55"/>
      <c r="D330" s="55"/>
      <c r="E330" s="55"/>
      <c r="F330" s="55"/>
      <c r="G330" s="55"/>
      <c r="H330" s="322">
        <f>D330+E330/H319+G330</f>
        <v>0</v>
      </c>
      <c r="I330" s="56"/>
    </row>
    <row r="331" spans="1:9" ht="21" customHeight="1">
      <c r="A331" s="87">
        <v>11</v>
      </c>
      <c r="B331" s="55"/>
      <c r="C331" s="55"/>
      <c r="D331" s="55"/>
      <c r="E331" s="55"/>
      <c r="F331" s="55"/>
      <c r="G331" s="55"/>
      <c r="H331" s="322">
        <f>D331+E331/H319+G331</f>
        <v>0</v>
      </c>
      <c r="I331" s="56"/>
    </row>
    <row r="332" spans="1:9" ht="21" customHeight="1">
      <c r="A332" s="87">
        <v>12</v>
      </c>
      <c r="B332" s="55"/>
      <c r="C332" s="55"/>
      <c r="D332" s="55"/>
      <c r="E332" s="55"/>
      <c r="F332" s="55"/>
      <c r="G332" s="55"/>
      <c r="H332" s="322">
        <f>D332+E332/H319+G332</f>
        <v>0</v>
      </c>
      <c r="I332" s="56"/>
    </row>
    <row r="333" spans="1:9" ht="21" customHeight="1" thickBot="1">
      <c r="A333" s="522" t="s">
        <v>131</v>
      </c>
      <c r="B333" s="523"/>
      <c r="C333" s="524"/>
      <c r="D333" s="57">
        <f>SUM(D321:D332)</f>
        <v>0</v>
      </c>
      <c r="E333" s="57">
        <f>SUM(E321:E332)</f>
        <v>0</v>
      </c>
      <c r="F333" s="57">
        <f>SUM(F321:F332)</f>
        <v>0</v>
      </c>
      <c r="G333" s="57">
        <f>SUM(G321:G332)</f>
        <v>0</v>
      </c>
      <c r="H333" s="323">
        <f>SUM(H321:H332)</f>
        <v>0</v>
      </c>
      <c r="I333" s="54"/>
    </row>
    <row r="334" spans="1:9" ht="21" customHeight="1">
      <c r="A334" s="518" t="s">
        <v>138</v>
      </c>
      <c r="B334" s="518"/>
      <c r="C334" s="518"/>
      <c r="D334" s="518"/>
      <c r="E334" s="518"/>
      <c r="F334" s="518"/>
      <c r="G334" s="518"/>
      <c r="H334" s="518"/>
      <c r="I334" s="518"/>
    </row>
    <row r="335" spans="1:9" ht="21" customHeight="1">
      <c r="A335" s="519"/>
      <c r="B335" s="519"/>
      <c r="C335" s="519"/>
      <c r="D335" s="519"/>
      <c r="E335" s="519"/>
      <c r="F335" s="519"/>
      <c r="G335" s="519"/>
      <c r="H335" s="519"/>
      <c r="I335" s="519"/>
    </row>
    <row r="336" spans="1:9" ht="21" customHeight="1">
      <c r="A336" s="520"/>
      <c r="B336" s="520"/>
      <c r="C336" s="520"/>
      <c r="D336" s="520"/>
      <c r="E336" s="520"/>
      <c r="F336" s="520"/>
      <c r="G336" s="520"/>
      <c r="H336" s="520"/>
      <c r="I336" s="520"/>
    </row>
    <row r="337" spans="1:9" ht="21" customHeight="1">
      <c r="A337" s="525" t="s">
        <v>132</v>
      </c>
      <c r="B337" s="525"/>
      <c r="C337" s="525"/>
      <c r="D337" s="53"/>
      <c r="E337" s="53"/>
      <c r="F337" s="53"/>
      <c r="G337" s="525" t="s">
        <v>133</v>
      </c>
      <c r="H337" s="525"/>
      <c r="I337" s="53"/>
    </row>
    <row r="338" spans="1:9">
      <c r="A338" s="53"/>
      <c r="B338" s="53"/>
      <c r="C338" s="53"/>
      <c r="D338" s="53"/>
      <c r="E338" s="53"/>
      <c r="F338" s="53"/>
      <c r="I338" s="53"/>
    </row>
    <row r="339" spans="1:9">
      <c r="A339" s="53"/>
      <c r="B339" s="53"/>
      <c r="C339" s="53"/>
      <c r="D339" s="53"/>
      <c r="E339" s="53"/>
      <c r="F339" s="53"/>
      <c r="G339" s="53"/>
      <c r="H339" s="53"/>
      <c r="I339" s="53"/>
    </row>
    <row r="340" spans="1:9">
      <c r="A340" s="53"/>
      <c r="B340" s="53"/>
      <c r="C340" s="53"/>
      <c r="D340" s="53"/>
      <c r="E340" s="53"/>
      <c r="F340" s="53"/>
      <c r="G340" s="53"/>
      <c r="H340" s="53"/>
      <c r="I340" s="53"/>
    </row>
    <row r="341" spans="1:9">
      <c r="A341" s="53"/>
      <c r="B341" s="53"/>
      <c r="C341" s="53"/>
      <c r="D341" s="53"/>
      <c r="E341" s="53"/>
      <c r="F341" s="53"/>
      <c r="G341" s="53"/>
      <c r="H341" s="53"/>
      <c r="I341" s="53"/>
    </row>
    <row r="342" spans="1:9">
      <c r="A342" s="53"/>
      <c r="B342" s="53"/>
      <c r="C342" s="53"/>
      <c r="D342" s="53"/>
      <c r="E342" s="53"/>
      <c r="F342" s="53"/>
      <c r="G342" s="53"/>
      <c r="H342" s="53"/>
      <c r="I342" s="53"/>
    </row>
    <row r="343" spans="1:9">
      <c r="A343" s="53"/>
      <c r="B343" s="53"/>
      <c r="C343" s="53"/>
      <c r="D343" s="53"/>
      <c r="E343" s="53"/>
      <c r="F343" s="53"/>
      <c r="G343" s="53"/>
      <c r="H343" s="53"/>
      <c r="I343" s="53"/>
    </row>
  </sheetData>
  <mergeCells count="84">
    <mergeCell ref="A337:C337"/>
    <mergeCell ref="G337:H337"/>
    <mergeCell ref="A311:C311"/>
    <mergeCell ref="G311:H311"/>
    <mergeCell ref="A318:F318"/>
    <mergeCell ref="A319:F319"/>
    <mergeCell ref="A333:C333"/>
    <mergeCell ref="A334:I336"/>
    <mergeCell ref="A308:I310"/>
    <mergeCell ref="A259:C259"/>
    <mergeCell ref="G259:H259"/>
    <mergeCell ref="A266:F266"/>
    <mergeCell ref="A267:F267"/>
    <mergeCell ref="A281:C281"/>
    <mergeCell ref="A282:I284"/>
    <mergeCell ref="A285:C285"/>
    <mergeCell ref="G285:H285"/>
    <mergeCell ref="A292:F292"/>
    <mergeCell ref="A293:F293"/>
    <mergeCell ref="A307:C307"/>
    <mergeCell ref="A256:I258"/>
    <mergeCell ref="A207:C207"/>
    <mergeCell ref="G207:H207"/>
    <mergeCell ref="A214:F214"/>
    <mergeCell ref="A215:F215"/>
    <mergeCell ref="A229:C229"/>
    <mergeCell ref="A230:I232"/>
    <mergeCell ref="A233:C233"/>
    <mergeCell ref="G233:H233"/>
    <mergeCell ref="A240:F240"/>
    <mergeCell ref="A241:F241"/>
    <mergeCell ref="A255:C255"/>
    <mergeCell ref="A204:I206"/>
    <mergeCell ref="A155:C155"/>
    <mergeCell ref="G155:H155"/>
    <mergeCell ref="A162:F162"/>
    <mergeCell ref="A163:F163"/>
    <mergeCell ref="A177:C177"/>
    <mergeCell ref="A178:I180"/>
    <mergeCell ref="A181:C181"/>
    <mergeCell ref="G181:H181"/>
    <mergeCell ref="A188:F188"/>
    <mergeCell ref="A189:F189"/>
    <mergeCell ref="A203:C203"/>
    <mergeCell ref="A152:I154"/>
    <mergeCell ref="A103:C103"/>
    <mergeCell ref="G103:H103"/>
    <mergeCell ref="A110:F110"/>
    <mergeCell ref="A111:F111"/>
    <mergeCell ref="A125:C125"/>
    <mergeCell ref="A126:I128"/>
    <mergeCell ref="A129:C129"/>
    <mergeCell ref="G129:H129"/>
    <mergeCell ref="A136:F136"/>
    <mergeCell ref="A137:F137"/>
    <mergeCell ref="A151:C151"/>
    <mergeCell ref="A100:I102"/>
    <mergeCell ref="A51:C51"/>
    <mergeCell ref="G51:H51"/>
    <mergeCell ref="A58:F58"/>
    <mergeCell ref="A59:F59"/>
    <mergeCell ref="A73:C73"/>
    <mergeCell ref="A74:I76"/>
    <mergeCell ref="A77:C77"/>
    <mergeCell ref="G77:H77"/>
    <mergeCell ref="A84:F84"/>
    <mergeCell ref="A85:F85"/>
    <mergeCell ref="A99:C99"/>
    <mergeCell ref="A1:F1"/>
    <mergeCell ref="A2:F2"/>
    <mergeCell ref="A3:F3"/>
    <mergeCell ref="A4:F4"/>
    <mergeCell ref="A48:I50"/>
    <mergeCell ref="A5:F5"/>
    <mergeCell ref="A6:F6"/>
    <mergeCell ref="A7:F7"/>
    <mergeCell ref="A8:F8"/>
    <mergeCell ref="A9:F9"/>
    <mergeCell ref="A10:F10"/>
    <mergeCell ref="A11:F11"/>
    <mergeCell ref="A12:F12"/>
    <mergeCell ref="A32:F32"/>
    <mergeCell ref="A33:F33"/>
    <mergeCell ref="A47:C47"/>
  </mergeCells>
  <hyperlinks>
    <hyperlink ref="A33:F33" location="'ریزحقوق کارکنان محلی'!A1" display="حقوق،بازخريدي و...كاركنان بومي کد برنامه:                فروردین سال"/>
    <hyperlink ref="A1:F1" location="'ریزحقوق کارکنان محلی'!A33" display="حقوق،بازخريدي و...كاركنان بومي      کد برنامه:                فروردین سال"/>
    <hyperlink ref="A59:F59" location="'ریزحقوق کارکنان محلی'!A1" display="حقوق،بازخريدي و...كاركنان بومي کد برنامه:                اردیبهشت سال"/>
    <hyperlink ref="A2:F2" location="'ریزحقوق کارکنان محلی'!A59" display="حقوق،بازخريدي و...كاركنان بومي      کد برنامه:               اردیبهست سال"/>
    <hyperlink ref="A85:F85" location="'ریزحقوق کارکنان محلی'!A1" display="حقوق،بازخريدي و...كاركنان بومي کد برنامه:                خرداد ماه سال"/>
    <hyperlink ref="A111:F111" location="'ریزحقوق کارکنان محلی'!A1" display="حقوق،بازخريدي و...كاركنان بومي کد برنامه:                تیر ماه سال"/>
    <hyperlink ref="A137:F137" location="'ریزحقوق کارکنان محلی'!A1" display="حقوق،بازخريدي و...كاركنان بومي کد برنامه:                مرداد ماه سال"/>
    <hyperlink ref="A163:F163" location="'ریزحقوق کارکنان محلی'!A1" display="حقوق،بازخريدي و...كاركنان بومي کد برنامه:                شهریور ماه سال"/>
    <hyperlink ref="A189:F189" location="'ریزحقوق کارکنان محلی'!A1" display="حقوق،بازخريدي و...كاركنان بومي کد برنامه:                مهر ماه سال"/>
    <hyperlink ref="A215:F215" location="'ریزحقوق کارکنان محلی'!A1" display="حقوق،بازخريدي و...كاركنان بومي کد برنامه:                آبان ماه سال"/>
    <hyperlink ref="A241:F241" location="'ریزحقوق کارکنان محلی'!A1" display="حقوق،بازخريدي و...كاركنان بومي کد برنامه:                آذر ماه سال"/>
    <hyperlink ref="A267:F267" location="'ریزحقوق کارکنان محلی'!A1" display="حقوق،بازخريدي و...كاركنان بومي کد برنامه:                دی ماه سال"/>
    <hyperlink ref="A293:F293" location="'ریزحقوق کارکنان محلی'!A1" display="حقوق،بازخريدي و...كاركنان بومي کد برنامه:                بهمن ماه سال"/>
    <hyperlink ref="A319:F319" location="'ریزحقوق کارکنان محلی'!A1" display="حقوق،بازخريدي و...كاركنان بومي کد برنامه:                اسفند ماه سال"/>
    <hyperlink ref="A3:F3" location="'ریزحقوق کارکنان محلی'!A85" display="حقوق،بازخريدي و...كاركنان بومي      کد برنامه:               خرداد سال"/>
    <hyperlink ref="A4:F4" location="'ریزحقوق کارکنان محلی'!A111" display="حقوق،بازخريدي و...كاركنان بومي      کد برنامه:               تیر سال"/>
    <hyperlink ref="A5:F5" location="'ریزحقوق کارکنان محلی'!A137" display="حقوق،بازخريدي و...كاركنان بومي      کد برنامه:               مرداد سال"/>
    <hyperlink ref="A6:F6" location="'ریزحقوق کارکنان محلی'!A163" display="حقوق،بازخريدي و...كاركنان بومي      کد برنامه:               شهریور سال"/>
    <hyperlink ref="A7:F7" location="'ریزحقوق کارکنان محلی'!A189" display="حقوق،بازخريدي و...كاركنان بومي      کد برنامه:               مهر سال"/>
    <hyperlink ref="A8:F8" location="'ریزحقوق کارکنان محلی'!A215" display="حقوق،بازخريدي و...كاركنان بومي      کد برنامه:               آبان سال"/>
    <hyperlink ref="A9:F9" location="'ریزحقوق کارکنان محلی'!A241" display="حقوق،بازخريدي و...كاركنان بومي      کد برنامه:               آذر سال"/>
    <hyperlink ref="A10:F10" location="'ریزحقوق کارکنان محلی'!A267" display="حقوق،بازخريدي و...كاركنان بومي      کد برنامه:               دی سال"/>
    <hyperlink ref="A11:F11" location="'ریزحقوق کارکنان محلی'!A293" display="حقوق،بازخريدي و...كاركنان بومي      کد برنامه:               بهمن سال"/>
    <hyperlink ref="A12:F12" location="'ریزحقوق کارکنان محلی'!A319" display="حقوق،بازخريدي و...كاركنان بومي      کد برنامه:               اسفند سال"/>
  </hyperlinks>
  <pageMargins left="0.39370078740157483" right="0.39370078740157483" top="0.59055118110236227" bottom="0.59055118110236227" header="0.31496062992125984" footer="0.31496062992125984"/>
  <pageSetup paperSize="9" orientation="landscape" horizontalDpi="300" verticalDpi="300" r:id="rId1"/>
</worksheet>
</file>

<file path=xl/worksheets/sheet9.xml><?xml version="1.0" encoding="utf-8"?>
<worksheet xmlns="http://schemas.openxmlformats.org/spreadsheetml/2006/main" xmlns:r="http://schemas.openxmlformats.org/officeDocument/2006/relationships">
  <sheetPr>
    <tabColor rgb="FF00B0F0"/>
  </sheetPr>
  <dimension ref="A1:F29"/>
  <sheetViews>
    <sheetView rightToLeft="1" zoomScaleNormal="100" workbookViewId="0">
      <selection activeCell="E3" sqref="E3"/>
    </sheetView>
  </sheetViews>
  <sheetFormatPr defaultRowHeight="15"/>
  <cols>
    <col min="1" max="1" width="4.7109375" style="4" customWidth="1"/>
    <col min="2" max="2" width="30.7109375" style="4" customWidth="1"/>
    <col min="3" max="6" width="12.5703125" style="4" customWidth="1"/>
  </cols>
  <sheetData>
    <row r="1" spans="1:6" ht="21" customHeight="1">
      <c r="A1" s="527" t="s">
        <v>162</v>
      </c>
      <c r="B1" s="527"/>
      <c r="C1" s="527"/>
      <c r="D1" s="527"/>
    </row>
    <row r="2" spans="1:6" ht="21" customHeight="1">
      <c r="A2" s="48" t="s">
        <v>163</v>
      </c>
      <c r="B2" s="48"/>
      <c r="C2" s="48"/>
      <c r="D2" s="48"/>
    </row>
    <row r="3" spans="1:6" ht="21" customHeight="1" thickBot="1">
      <c r="A3" s="533" t="s">
        <v>164</v>
      </c>
      <c r="B3" s="533"/>
      <c r="C3" s="533"/>
      <c r="D3" s="65" t="s">
        <v>134</v>
      </c>
      <c r="E3" s="398">
        <f>تسعير!E34</f>
        <v>3.7750001532838997</v>
      </c>
    </row>
    <row r="4" spans="1:6" ht="21" customHeight="1">
      <c r="A4" s="63" t="s">
        <v>122</v>
      </c>
      <c r="B4" s="43" t="s">
        <v>158</v>
      </c>
      <c r="C4" s="43" t="s">
        <v>13</v>
      </c>
      <c r="D4" s="43" t="s">
        <v>159</v>
      </c>
      <c r="E4" s="43" t="s">
        <v>160</v>
      </c>
      <c r="F4" s="64" t="s">
        <v>161</v>
      </c>
    </row>
    <row r="5" spans="1:6" ht="21" customHeight="1">
      <c r="A5" s="89">
        <v>1</v>
      </c>
      <c r="B5" s="62" t="s">
        <v>169</v>
      </c>
      <c r="C5" s="44">
        <f>'ریزحقوق کارکنان محلی'!E47</f>
        <v>0</v>
      </c>
      <c r="D5" s="44">
        <f>'ریزحقوق کارکنان محلی'!G47</f>
        <v>0</v>
      </c>
      <c r="E5" s="44">
        <f>'ریزحقوق کارکنان محلی'!D47</f>
        <v>0</v>
      </c>
      <c r="F5" s="90">
        <f>'ریزحقوق کارکنان محلی'!H47</f>
        <v>0</v>
      </c>
    </row>
    <row r="6" spans="1:6" ht="21" customHeight="1">
      <c r="A6" s="89">
        <v>2</v>
      </c>
      <c r="B6" s="62" t="s">
        <v>170</v>
      </c>
      <c r="C6" s="44">
        <f>'ریزحقوق کارکنان محلی'!E73</f>
        <v>0</v>
      </c>
      <c r="D6" s="44">
        <f>'ریزحقوق کارکنان محلی'!G73</f>
        <v>0</v>
      </c>
      <c r="E6" s="44">
        <f>'ریزحقوق کارکنان محلی'!D73</f>
        <v>0</v>
      </c>
      <c r="F6" s="41">
        <f>'ریزحقوق کارکنان محلی'!H73</f>
        <v>0</v>
      </c>
    </row>
    <row r="7" spans="1:6" ht="21" customHeight="1">
      <c r="A7" s="89">
        <v>3</v>
      </c>
      <c r="B7" s="62" t="s">
        <v>171</v>
      </c>
      <c r="C7" s="44">
        <f>'ریزحقوق کارکنان محلی'!E99</f>
        <v>0</v>
      </c>
      <c r="D7" s="44">
        <f>'ریزحقوق کارکنان محلی'!G99</f>
        <v>0</v>
      </c>
      <c r="E7" s="44">
        <f>'ریزحقوق کارکنان محلی'!D99</f>
        <v>0</v>
      </c>
      <c r="F7" s="41">
        <f>'ریزحقوق کارکنان محلی'!H99</f>
        <v>0</v>
      </c>
    </row>
    <row r="8" spans="1:6" ht="21" customHeight="1">
      <c r="A8" s="89">
        <v>4</v>
      </c>
      <c r="B8" s="62" t="s">
        <v>172</v>
      </c>
      <c r="C8" s="44">
        <f>'ریزحقوق کارکنان محلی'!E125</f>
        <v>0</v>
      </c>
      <c r="D8" s="44">
        <f>'ریزحقوق کارکنان محلی'!G125</f>
        <v>0</v>
      </c>
      <c r="E8" s="44">
        <f>'ریزحقوق کارکنان محلی'!D125</f>
        <v>0</v>
      </c>
      <c r="F8" s="41">
        <f>'ریزحقوق کارکنان محلی'!H125</f>
        <v>0</v>
      </c>
    </row>
    <row r="9" spans="1:6" ht="21" customHeight="1">
      <c r="A9" s="89">
        <v>5</v>
      </c>
      <c r="B9" s="62" t="s">
        <v>173</v>
      </c>
      <c r="C9" s="44">
        <f>'ریزحقوق کارکنان محلی'!E151</f>
        <v>0</v>
      </c>
      <c r="D9" s="44">
        <f>'ریزحقوق کارکنان محلی'!G151</f>
        <v>0</v>
      </c>
      <c r="E9" s="44">
        <f>'ریزحقوق کارکنان محلی'!D151</f>
        <v>0</v>
      </c>
      <c r="F9" s="41">
        <f>'ریزحقوق کارکنان محلی'!H151</f>
        <v>0</v>
      </c>
    </row>
    <row r="10" spans="1:6" ht="21" customHeight="1">
      <c r="A10" s="89">
        <v>6</v>
      </c>
      <c r="B10" s="62" t="s">
        <v>174</v>
      </c>
      <c r="C10" s="44">
        <f>'ریزحقوق کارکنان محلی'!E177</f>
        <v>0</v>
      </c>
      <c r="D10" s="44">
        <f>'ریزحقوق کارکنان محلی'!G177</f>
        <v>0</v>
      </c>
      <c r="E10" s="44">
        <f>'ریزحقوق کارکنان محلی'!D177</f>
        <v>0</v>
      </c>
      <c r="F10" s="41">
        <f>'ریزحقوق کارکنان محلی'!H177</f>
        <v>0</v>
      </c>
    </row>
    <row r="11" spans="1:6" ht="21" customHeight="1">
      <c r="A11" s="89">
        <v>7</v>
      </c>
      <c r="B11" s="62" t="s">
        <v>175</v>
      </c>
      <c r="C11" s="44">
        <f>'ریزحقوق کارکنان محلی'!E203</f>
        <v>0</v>
      </c>
      <c r="D11" s="44">
        <f>'ریزحقوق کارکنان محلی'!G203</f>
        <v>0</v>
      </c>
      <c r="E11" s="44">
        <f>'ریزحقوق کارکنان محلی'!D203</f>
        <v>0</v>
      </c>
      <c r="F11" s="41">
        <f>'ریزحقوق کارکنان محلی'!H203</f>
        <v>0</v>
      </c>
    </row>
    <row r="12" spans="1:6" ht="21" customHeight="1">
      <c r="A12" s="89">
        <v>8</v>
      </c>
      <c r="B12" s="62" t="s">
        <v>176</v>
      </c>
      <c r="C12" s="44">
        <f>'ریزحقوق کارکنان محلی'!E229</f>
        <v>0</v>
      </c>
      <c r="D12" s="44">
        <f>'ریزحقوق کارکنان محلی'!G229</f>
        <v>0</v>
      </c>
      <c r="E12" s="44">
        <f>'ریزحقوق کارکنان محلی'!D229</f>
        <v>0</v>
      </c>
      <c r="F12" s="41">
        <f>'ریزحقوق کارکنان محلی'!H229</f>
        <v>0</v>
      </c>
    </row>
    <row r="13" spans="1:6" ht="21" customHeight="1">
      <c r="A13" s="89">
        <v>9</v>
      </c>
      <c r="B13" s="62" t="s">
        <v>177</v>
      </c>
      <c r="C13" s="44">
        <f>'ریزحقوق کارکنان محلی'!E255</f>
        <v>0</v>
      </c>
      <c r="D13" s="44">
        <f>'ریزحقوق کارکنان محلی'!G255</f>
        <v>0</v>
      </c>
      <c r="E13" s="44">
        <f>'ریزحقوق کارکنان محلی'!D255</f>
        <v>0</v>
      </c>
      <c r="F13" s="41">
        <f>'ریزحقوق کارکنان محلی'!H255</f>
        <v>0</v>
      </c>
    </row>
    <row r="14" spans="1:6" ht="21" customHeight="1">
      <c r="A14" s="89">
        <v>10</v>
      </c>
      <c r="B14" s="62" t="s">
        <v>178</v>
      </c>
      <c r="C14" s="44">
        <f>'ریزحقوق کارکنان محلی'!E281</f>
        <v>0</v>
      </c>
      <c r="D14" s="44">
        <f>'ریزحقوق کارکنان محلی'!G281</f>
        <v>0</v>
      </c>
      <c r="E14" s="44">
        <f>'ریزحقوق کارکنان محلی'!D281</f>
        <v>0</v>
      </c>
      <c r="F14" s="41">
        <f>'ریزحقوق کارکنان محلی'!H281</f>
        <v>0</v>
      </c>
    </row>
    <row r="15" spans="1:6" ht="21" customHeight="1">
      <c r="A15" s="89">
        <v>11</v>
      </c>
      <c r="B15" s="62" t="s">
        <v>179</v>
      </c>
      <c r="C15" s="44">
        <f>'ریزحقوق کارکنان محلی'!E307</f>
        <v>0</v>
      </c>
      <c r="D15" s="44">
        <f>'ریزحقوق کارکنان محلی'!G307</f>
        <v>0</v>
      </c>
      <c r="E15" s="44">
        <f>'ریزحقوق کارکنان محلی'!D307</f>
        <v>0</v>
      </c>
      <c r="F15" s="41">
        <f>'ریزحقوق کارکنان محلی'!H307</f>
        <v>0</v>
      </c>
    </row>
    <row r="16" spans="1:6" ht="21" customHeight="1">
      <c r="A16" s="89">
        <v>12</v>
      </c>
      <c r="B16" s="62" t="s">
        <v>180</v>
      </c>
      <c r="C16" s="44">
        <f>'ریزحقوق کارکنان محلی'!E333</f>
        <v>0</v>
      </c>
      <c r="D16" s="44">
        <f>'ریزحقوق کارکنان محلی'!G333</f>
        <v>0</v>
      </c>
      <c r="E16" s="44">
        <f>'ریزحقوق کارکنان محلی'!D333</f>
        <v>0</v>
      </c>
      <c r="F16" s="41">
        <f>'ریزحقوق کارکنان محلی'!H333</f>
        <v>0</v>
      </c>
    </row>
    <row r="17" spans="1:6" ht="21" customHeight="1">
      <c r="A17" s="89">
        <v>13</v>
      </c>
      <c r="B17" s="62" t="s">
        <v>181</v>
      </c>
      <c r="C17" s="16"/>
      <c r="D17" s="16"/>
      <c r="E17" s="16"/>
      <c r="F17" s="33"/>
    </row>
    <row r="18" spans="1:6" ht="21" customHeight="1">
      <c r="A18" s="89">
        <v>14</v>
      </c>
      <c r="B18" s="62" t="s">
        <v>182</v>
      </c>
      <c r="C18" s="16"/>
      <c r="D18" s="16"/>
      <c r="E18" s="16"/>
      <c r="F18" s="33"/>
    </row>
    <row r="19" spans="1:6" ht="21" customHeight="1">
      <c r="A19" s="89">
        <v>15</v>
      </c>
      <c r="B19" s="62" t="s">
        <v>185</v>
      </c>
      <c r="C19" s="16"/>
      <c r="D19" s="16"/>
      <c r="E19" s="16"/>
      <c r="F19" s="33"/>
    </row>
    <row r="20" spans="1:6" ht="21" customHeight="1">
      <c r="A20" s="89">
        <v>16</v>
      </c>
      <c r="B20" s="62" t="s">
        <v>184</v>
      </c>
      <c r="C20" s="16"/>
      <c r="D20" s="16"/>
      <c r="E20" s="16"/>
      <c r="F20" s="33"/>
    </row>
    <row r="21" spans="1:6" ht="21" customHeight="1">
      <c r="A21" s="89">
        <v>17</v>
      </c>
      <c r="B21" s="62" t="s">
        <v>183</v>
      </c>
      <c r="C21" s="16"/>
      <c r="D21" s="16"/>
      <c r="E21" s="16"/>
      <c r="F21" s="33"/>
    </row>
    <row r="22" spans="1:6" ht="21" customHeight="1">
      <c r="A22" s="89">
        <v>18</v>
      </c>
      <c r="B22" s="62"/>
      <c r="C22" s="16"/>
      <c r="D22" s="16"/>
      <c r="E22" s="16"/>
      <c r="F22" s="33"/>
    </row>
    <row r="23" spans="1:6" ht="21" customHeight="1">
      <c r="A23" s="89">
        <v>19</v>
      </c>
      <c r="B23" s="62"/>
      <c r="C23" s="16"/>
      <c r="D23" s="16"/>
      <c r="E23" s="16"/>
      <c r="F23" s="33"/>
    </row>
    <row r="24" spans="1:6" ht="21" customHeight="1">
      <c r="A24" s="89">
        <v>20</v>
      </c>
      <c r="B24" s="62"/>
      <c r="C24" s="16"/>
      <c r="D24" s="16"/>
      <c r="E24" s="16"/>
      <c r="F24" s="33"/>
    </row>
    <row r="25" spans="1:6" ht="21" customHeight="1">
      <c r="A25" s="531" t="s">
        <v>131</v>
      </c>
      <c r="B25" s="532"/>
      <c r="C25" s="44">
        <f>SUM(C5:C24)</f>
        <v>0</v>
      </c>
      <c r="D25" s="44">
        <f>SUM(D5:D24)</f>
        <v>0</v>
      </c>
      <c r="E25" s="44">
        <f>SUM(E5:E24)</f>
        <v>0</v>
      </c>
      <c r="F25" s="41">
        <f>SUM(F5:F24)</f>
        <v>0</v>
      </c>
    </row>
    <row r="26" spans="1:6" ht="21" customHeight="1" thickBot="1">
      <c r="A26" s="534" t="s">
        <v>168</v>
      </c>
      <c r="B26" s="535"/>
      <c r="C26" s="535"/>
      <c r="D26" s="536">
        <f>E25+D25</f>
        <v>0</v>
      </c>
      <c r="E26" s="536"/>
      <c r="F26" s="42">
        <f>F25</f>
        <v>0</v>
      </c>
    </row>
    <row r="27" spans="1:6">
      <c r="A27" s="528" t="s">
        <v>167</v>
      </c>
      <c r="B27" s="529"/>
      <c r="C27" s="529"/>
      <c r="D27" s="529"/>
      <c r="E27" s="529"/>
      <c r="F27" s="529"/>
    </row>
    <row r="28" spans="1:6">
      <c r="A28" s="530"/>
      <c r="B28" s="530"/>
      <c r="C28" s="530"/>
      <c r="D28" s="530"/>
      <c r="E28" s="530"/>
      <c r="F28" s="530"/>
    </row>
    <row r="29" spans="1:6">
      <c r="A29" s="507" t="s">
        <v>165</v>
      </c>
      <c r="B29" s="507"/>
      <c r="D29" s="507" t="s">
        <v>166</v>
      </c>
      <c r="E29" s="507"/>
    </row>
  </sheetData>
  <mergeCells count="8">
    <mergeCell ref="A1:D1"/>
    <mergeCell ref="A27:F28"/>
    <mergeCell ref="A29:B29"/>
    <mergeCell ref="D29:E29"/>
    <mergeCell ref="A25:B25"/>
    <mergeCell ref="A3:C3"/>
    <mergeCell ref="A26:C26"/>
    <mergeCell ref="D26:E26"/>
  </mergeCells>
  <pageMargins left="0.39370078740157483" right="0.59055118110236227" top="0.39370078740157483" bottom="0.39370078740157483" header="0.31496062992125984" footer="0.31496062992125984"/>
  <pageSetup paperSize="9" orientation="portrait" horizontalDpi="300" verticalDpi="300" r:id="rId1"/>
</worksheet>
</file>

<file path=xl/worksheets/sheet10.xml><?xml version="1.0" encoding="utf-8"?>
<worksheet xmlns="http://schemas.openxmlformats.org/spreadsheetml/2006/main" xmlns:r="http://schemas.openxmlformats.org/officeDocument/2006/relationships">
  <dimension ref="A1:H25"/>
  <sheetViews>
    <sheetView rightToLeft="1" zoomScale="110" zoomScaleNormal="110" workbookViewId="0">
      <selection activeCell="B15" sqref="B15"/>
    </sheetView>
  </sheetViews>
  <sheetFormatPr defaultRowHeight="15"/>
  <cols>
    <col min="1" max="1" width="4.7109375" customWidth="1"/>
    <col min="2" max="2" width="50.7109375" customWidth="1"/>
    <col min="3" max="3" width="10.7109375" customWidth="1"/>
    <col min="4" max="6" width="12.7109375" customWidth="1"/>
    <col min="7" max="7" width="17.7109375" customWidth="1"/>
    <col min="8" max="8" width="12.7109375" customWidth="1"/>
  </cols>
  <sheetData>
    <row r="1" spans="1:8" ht="21" customHeight="1">
      <c r="A1" s="541" t="s">
        <v>186</v>
      </c>
      <c r="B1" s="541"/>
      <c r="C1" s="541"/>
      <c r="D1" s="541"/>
      <c r="E1" s="541"/>
      <c r="F1" s="541"/>
      <c r="G1" s="541"/>
      <c r="H1" s="541"/>
    </row>
    <row r="2" spans="1:8" ht="21" customHeight="1">
      <c r="A2" s="541" t="s">
        <v>288</v>
      </c>
      <c r="B2" s="541"/>
      <c r="C2" s="541"/>
      <c r="D2" s="541"/>
      <c r="E2" s="541"/>
      <c r="F2" s="541"/>
      <c r="G2" s="541"/>
      <c r="H2" s="541"/>
    </row>
    <row r="3" spans="1:8" ht="21" customHeight="1">
      <c r="A3" s="541" t="s">
        <v>287</v>
      </c>
      <c r="B3" s="541"/>
      <c r="C3" s="541"/>
      <c r="D3" s="541"/>
      <c r="E3" s="541"/>
      <c r="F3" s="541"/>
      <c r="G3" s="541"/>
      <c r="H3" s="541"/>
    </row>
    <row r="4" spans="1:8" ht="21" customHeight="1" thickBot="1">
      <c r="A4" s="66"/>
      <c r="B4" s="67"/>
      <c r="C4" s="68"/>
      <c r="D4" s="68"/>
      <c r="E4" s="68"/>
      <c r="F4" s="68"/>
      <c r="G4" s="542" t="s">
        <v>187</v>
      </c>
      <c r="H4" s="542"/>
    </row>
    <row r="5" spans="1:8" ht="21" customHeight="1" thickBot="1">
      <c r="A5" s="69" t="s">
        <v>0</v>
      </c>
      <c r="B5" s="70" t="s">
        <v>210</v>
      </c>
      <c r="C5" s="71" t="s">
        <v>188</v>
      </c>
      <c r="D5" s="71" t="s">
        <v>189</v>
      </c>
      <c r="E5" s="71" t="s">
        <v>190</v>
      </c>
      <c r="F5" s="71" t="s">
        <v>191</v>
      </c>
      <c r="G5" s="72" t="s">
        <v>192</v>
      </c>
      <c r="H5" s="73" t="s">
        <v>193</v>
      </c>
    </row>
    <row r="6" spans="1:8" ht="21" customHeight="1">
      <c r="A6" s="149">
        <v>1</v>
      </c>
      <c r="B6" s="150" t="s">
        <v>284</v>
      </c>
      <c r="C6" s="147"/>
      <c r="D6" s="147"/>
      <c r="E6" s="147"/>
      <c r="F6" s="154">
        <v>66875</v>
      </c>
      <c r="G6" s="154">
        <v>66875</v>
      </c>
      <c r="H6" s="155"/>
    </row>
    <row r="7" spans="1:8" ht="21" customHeight="1">
      <c r="A7" s="149">
        <v>2</v>
      </c>
      <c r="B7" s="38" t="s">
        <v>576</v>
      </c>
      <c r="C7" s="16"/>
      <c r="D7" s="16"/>
      <c r="E7" s="148"/>
      <c r="F7" s="156">
        <v>30429</v>
      </c>
      <c r="G7" s="156">
        <v>30429</v>
      </c>
      <c r="H7" s="157"/>
    </row>
    <row r="8" spans="1:8" ht="21" customHeight="1">
      <c r="A8" s="149">
        <v>3</v>
      </c>
      <c r="B8" s="38" t="s">
        <v>577</v>
      </c>
      <c r="C8" s="16"/>
      <c r="D8" s="16"/>
      <c r="E8" s="148"/>
      <c r="F8" s="156">
        <v>23504</v>
      </c>
      <c r="G8" s="156">
        <v>23504</v>
      </c>
      <c r="H8" s="157">
        <f>F8-G8</f>
        <v>0</v>
      </c>
    </row>
    <row r="9" spans="1:8" ht="21" customHeight="1">
      <c r="A9" s="149">
        <v>4</v>
      </c>
      <c r="B9" s="38" t="s">
        <v>578</v>
      </c>
      <c r="C9" s="16"/>
      <c r="D9" s="16"/>
      <c r="E9" s="148"/>
      <c r="F9" s="156">
        <v>9192</v>
      </c>
      <c r="G9" s="156">
        <v>9192</v>
      </c>
      <c r="H9" s="157">
        <f t="shared" ref="H9:H19" si="0">F9-G9</f>
        <v>0</v>
      </c>
    </row>
    <row r="10" spans="1:8" ht="21" customHeight="1">
      <c r="A10" s="149">
        <v>5</v>
      </c>
      <c r="B10" s="38" t="s">
        <v>579</v>
      </c>
      <c r="C10" s="16"/>
      <c r="D10" s="16"/>
      <c r="E10" s="148"/>
      <c r="F10" s="156">
        <v>4000</v>
      </c>
      <c r="G10" s="156">
        <v>4000</v>
      </c>
      <c r="H10" s="157">
        <f t="shared" si="0"/>
        <v>0</v>
      </c>
    </row>
    <row r="11" spans="1:8" ht="21" customHeight="1">
      <c r="A11" s="149">
        <v>6</v>
      </c>
      <c r="B11" s="38" t="s">
        <v>580</v>
      </c>
      <c r="C11" s="16"/>
      <c r="D11" s="16"/>
      <c r="E11" s="148"/>
      <c r="F11" s="156">
        <v>4000</v>
      </c>
      <c r="G11" s="156">
        <v>4000</v>
      </c>
      <c r="H11" s="157">
        <f t="shared" si="0"/>
        <v>0</v>
      </c>
    </row>
    <row r="12" spans="1:8" ht="21" customHeight="1">
      <c r="A12" s="149">
        <v>7</v>
      </c>
      <c r="B12" s="38"/>
      <c r="C12" s="16"/>
      <c r="D12" s="16"/>
      <c r="E12" s="148"/>
      <c r="F12" s="156"/>
      <c r="G12" s="156"/>
      <c r="H12" s="157">
        <f t="shared" si="0"/>
        <v>0</v>
      </c>
    </row>
    <row r="13" spans="1:8" ht="21" customHeight="1">
      <c r="A13" s="149">
        <v>8</v>
      </c>
      <c r="B13" s="38"/>
      <c r="C13" s="16"/>
      <c r="D13" s="16"/>
      <c r="E13" s="148"/>
      <c r="F13" s="156"/>
      <c r="G13" s="156"/>
      <c r="H13" s="157">
        <f t="shared" si="0"/>
        <v>0</v>
      </c>
    </row>
    <row r="14" spans="1:8" ht="21" customHeight="1">
      <c r="A14" s="149">
        <v>9</v>
      </c>
      <c r="B14" s="38"/>
      <c r="C14" s="16"/>
      <c r="D14" s="16"/>
      <c r="E14" s="148"/>
      <c r="F14" s="156"/>
      <c r="G14" s="156"/>
      <c r="H14" s="157">
        <f t="shared" si="0"/>
        <v>0</v>
      </c>
    </row>
    <row r="15" spans="1:8" ht="21" customHeight="1">
      <c r="A15" s="149">
        <v>10</v>
      </c>
      <c r="B15" s="38"/>
      <c r="C15" s="16"/>
      <c r="D15" s="16"/>
      <c r="E15" s="148"/>
      <c r="F15" s="156"/>
      <c r="G15" s="156"/>
      <c r="H15" s="157">
        <f t="shared" si="0"/>
        <v>0</v>
      </c>
    </row>
    <row r="16" spans="1:8" ht="21" customHeight="1">
      <c r="A16" s="149">
        <v>11</v>
      </c>
      <c r="B16" s="38"/>
      <c r="C16" s="16"/>
      <c r="D16" s="16"/>
      <c r="E16" s="148"/>
      <c r="F16" s="156"/>
      <c r="G16" s="156"/>
      <c r="H16" s="157">
        <f t="shared" si="0"/>
        <v>0</v>
      </c>
    </row>
    <row r="17" spans="1:8" ht="21" customHeight="1">
      <c r="A17" s="149">
        <v>12</v>
      </c>
      <c r="B17" s="38"/>
      <c r="C17" s="16"/>
      <c r="D17" s="16"/>
      <c r="E17" s="148"/>
      <c r="F17" s="156"/>
      <c r="G17" s="156"/>
      <c r="H17" s="157">
        <f t="shared" si="0"/>
        <v>0</v>
      </c>
    </row>
    <row r="18" spans="1:8" ht="21" customHeight="1">
      <c r="A18" s="149">
        <v>13</v>
      </c>
      <c r="B18" s="38"/>
      <c r="C18" s="16"/>
      <c r="D18" s="16"/>
      <c r="E18" s="148"/>
      <c r="F18" s="156"/>
      <c r="G18" s="156"/>
      <c r="H18" s="157">
        <f t="shared" si="0"/>
        <v>0</v>
      </c>
    </row>
    <row r="19" spans="1:8" ht="21" customHeight="1" thickBot="1">
      <c r="A19" s="149">
        <v>14</v>
      </c>
      <c r="B19" s="151"/>
      <c r="C19" s="152"/>
      <c r="D19" s="152"/>
      <c r="E19" s="153"/>
      <c r="F19" s="158"/>
      <c r="G19" s="158"/>
      <c r="H19" s="159">
        <f t="shared" si="0"/>
        <v>0</v>
      </c>
    </row>
    <row r="20" spans="1:8" ht="21" customHeight="1" thickBot="1">
      <c r="A20" s="543" t="s">
        <v>194</v>
      </c>
      <c r="B20" s="544"/>
      <c r="C20" s="544"/>
      <c r="D20" s="544"/>
      <c r="E20" s="545"/>
      <c r="F20" s="160">
        <f>SUM(F6:F19)</f>
        <v>138000</v>
      </c>
      <c r="G20" s="161">
        <f>SUM(G6:G19)</f>
        <v>138000</v>
      </c>
      <c r="H20" s="162">
        <f>SUM(H6:H19)</f>
        <v>0</v>
      </c>
    </row>
    <row r="21" spans="1:8" ht="21" customHeight="1">
      <c r="A21" s="546" t="s">
        <v>289</v>
      </c>
      <c r="B21" s="546"/>
      <c r="C21" s="546"/>
      <c r="D21" s="546"/>
      <c r="E21" s="546"/>
      <c r="F21" s="546"/>
      <c r="G21" s="546"/>
      <c r="H21" s="546"/>
    </row>
    <row r="22" spans="1:8" ht="21" customHeight="1">
      <c r="A22" s="537" t="s">
        <v>290</v>
      </c>
      <c r="B22" s="537"/>
      <c r="C22" s="537"/>
      <c r="D22" s="537"/>
      <c r="E22" s="537"/>
      <c r="F22" s="537"/>
      <c r="G22" s="537"/>
      <c r="H22" s="537"/>
    </row>
    <row r="23" spans="1:8">
      <c r="A23" s="74"/>
      <c r="B23" s="75"/>
      <c r="C23" s="76"/>
      <c r="D23" s="77"/>
      <c r="E23" s="77"/>
      <c r="F23" s="76"/>
      <c r="G23" s="76"/>
      <c r="H23" s="76"/>
    </row>
    <row r="24" spans="1:8">
      <c r="A24" s="538" t="s">
        <v>285</v>
      </c>
      <c r="B24" s="538"/>
      <c r="C24" s="538"/>
      <c r="D24" s="77"/>
      <c r="E24" s="77"/>
      <c r="F24" s="539" t="s">
        <v>286</v>
      </c>
      <c r="G24" s="540"/>
      <c r="H24" s="540"/>
    </row>
    <row r="25" spans="1:8">
      <c r="A25" s="74"/>
      <c r="B25" s="75"/>
      <c r="C25" s="76"/>
      <c r="D25" s="76"/>
      <c r="E25" s="76"/>
      <c r="F25" s="76"/>
      <c r="G25" s="101" t="s">
        <v>276</v>
      </c>
      <c r="H25" s="76"/>
    </row>
  </sheetData>
  <mergeCells count="9">
    <mergeCell ref="A22:H22"/>
    <mergeCell ref="A24:C24"/>
    <mergeCell ref="F24:H24"/>
    <mergeCell ref="A1:H1"/>
    <mergeCell ref="A2:H2"/>
    <mergeCell ref="A3:H3"/>
    <mergeCell ref="G4:H4"/>
    <mergeCell ref="A20:E20"/>
    <mergeCell ref="A21:H21"/>
  </mergeCells>
  <pageMargins left="0.39370078740157483" right="0.59055118110236227" top="0.39370078740157483" bottom="0.78740157480314965" header="0.31496062992125984" footer="0.31496062992125984"/>
  <pageSetup paperSize="9" orientation="landscape" verticalDpi="1200" r:id="rId1"/>
</worksheet>
</file>

<file path=xl/worksheets/sheet11.xml><?xml version="1.0" encoding="utf-8"?>
<worksheet xmlns="http://schemas.openxmlformats.org/spreadsheetml/2006/main" xmlns:r="http://schemas.openxmlformats.org/officeDocument/2006/relationships">
  <dimension ref="A1:K79"/>
  <sheetViews>
    <sheetView rightToLeft="1" zoomScale="90" zoomScaleNormal="90" workbookViewId="0">
      <selection activeCell="E78" sqref="E78"/>
    </sheetView>
  </sheetViews>
  <sheetFormatPr defaultRowHeight="15"/>
  <cols>
    <col min="1" max="1" width="5.7109375" bestFit="1" customWidth="1"/>
    <col min="2" max="2" width="18.7109375" customWidth="1"/>
    <col min="3" max="3" width="51.28515625" customWidth="1"/>
    <col min="4" max="10" width="13.7109375" customWidth="1"/>
    <col min="11" max="11" width="20.85546875" customWidth="1"/>
  </cols>
  <sheetData>
    <row r="1" spans="1:11">
      <c r="A1" s="550" t="s">
        <v>594</v>
      </c>
      <c r="B1" s="550"/>
      <c r="C1" s="550"/>
      <c r="D1" s="550"/>
      <c r="E1" s="550"/>
      <c r="F1" s="550"/>
      <c r="G1" s="550"/>
      <c r="H1" s="550"/>
      <c r="I1" s="550"/>
      <c r="J1" s="550"/>
      <c r="K1" s="550"/>
    </row>
    <row r="2" spans="1:11">
      <c r="A2" s="550"/>
      <c r="B2" s="550"/>
      <c r="C2" s="550"/>
      <c r="D2" s="550"/>
      <c r="E2" s="550"/>
      <c r="F2" s="550"/>
      <c r="G2" s="550"/>
      <c r="H2" s="550"/>
      <c r="I2" s="550"/>
      <c r="J2" s="550"/>
      <c r="K2" s="550"/>
    </row>
    <row r="3" spans="1:11" ht="15.75" thickBot="1">
      <c r="A3" s="551"/>
      <c r="B3" s="551"/>
      <c r="C3" s="551"/>
      <c r="D3" s="551"/>
      <c r="E3" s="551"/>
      <c r="F3" s="551"/>
      <c r="G3" s="551"/>
      <c r="H3" s="551"/>
      <c r="I3" s="551"/>
      <c r="J3" s="551"/>
      <c r="K3" s="551"/>
    </row>
    <row r="4" spans="1:11" ht="18">
      <c r="A4" s="552" t="s">
        <v>212</v>
      </c>
      <c r="B4" s="554" t="s">
        <v>213</v>
      </c>
      <c r="C4" s="556" t="s">
        <v>214</v>
      </c>
      <c r="D4" s="170" t="s">
        <v>215</v>
      </c>
      <c r="E4" s="171" t="s">
        <v>216</v>
      </c>
      <c r="F4" s="172" t="s">
        <v>217</v>
      </c>
      <c r="G4" s="173" t="s">
        <v>218</v>
      </c>
      <c r="H4" s="174" t="s">
        <v>219</v>
      </c>
      <c r="I4" s="171" t="s">
        <v>220</v>
      </c>
      <c r="J4" s="175" t="s">
        <v>209</v>
      </c>
      <c r="K4" s="558" t="s">
        <v>240</v>
      </c>
    </row>
    <row r="5" spans="1:11" ht="18.75" thickBot="1">
      <c r="A5" s="553"/>
      <c r="B5" s="555"/>
      <c r="C5" s="557"/>
      <c r="D5" s="176" t="s">
        <v>208</v>
      </c>
      <c r="E5" s="177" t="s">
        <v>238</v>
      </c>
      <c r="F5" s="178" t="s">
        <v>221</v>
      </c>
      <c r="G5" s="179" t="s">
        <v>222</v>
      </c>
      <c r="H5" s="180" t="s">
        <v>223</v>
      </c>
      <c r="I5" s="177" t="s">
        <v>224</v>
      </c>
      <c r="J5" s="181" t="s">
        <v>218</v>
      </c>
      <c r="K5" s="559"/>
    </row>
    <row r="6" spans="1:11" ht="39" customHeight="1">
      <c r="A6" s="182">
        <v>1</v>
      </c>
      <c r="B6" s="219" t="s">
        <v>544</v>
      </c>
      <c r="C6" s="220" t="s">
        <v>291</v>
      </c>
      <c r="D6" s="186"/>
      <c r="E6" s="187"/>
      <c r="F6" s="188">
        <f>E6/E28</f>
        <v>0</v>
      </c>
      <c r="G6" s="189">
        <v>19591</v>
      </c>
      <c r="H6" s="190">
        <f t="shared" ref="H6:H11" si="0">F6+G6</f>
        <v>19591</v>
      </c>
      <c r="I6" s="187">
        <v>21073</v>
      </c>
      <c r="J6" s="191">
        <f>I6-H6</f>
        <v>1482</v>
      </c>
      <c r="K6" s="192"/>
    </row>
    <row r="7" spans="1:11" ht="24" customHeight="1">
      <c r="A7" s="183">
        <v>2</v>
      </c>
      <c r="B7" s="221">
        <v>921321415</v>
      </c>
      <c r="C7" s="222" t="s">
        <v>232</v>
      </c>
      <c r="D7" s="193"/>
      <c r="E7" s="194">
        <v>278</v>
      </c>
      <c r="F7" s="199">
        <f>E7/E28</f>
        <v>73.642381115710904</v>
      </c>
      <c r="G7" s="195"/>
      <c r="H7" s="196">
        <f>F7+G7</f>
        <v>73.642381115710904</v>
      </c>
      <c r="I7" s="194">
        <v>1000</v>
      </c>
      <c r="J7" s="197">
        <f>I7-H7</f>
        <v>926.35761888428908</v>
      </c>
      <c r="K7" s="198"/>
    </row>
    <row r="8" spans="1:11" ht="24" customHeight="1">
      <c r="A8" s="183">
        <v>3</v>
      </c>
      <c r="B8" s="221">
        <v>921321414</v>
      </c>
      <c r="C8" s="222" t="s">
        <v>292</v>
      </c>
      <c r="D8" s="193"/>
      <c r="E8" s="194">
        <v>2109</v>
      </c>
      <c r="F8" s="199">
        <f>E8/E28</f>
        <v>558.67547400372041</v>
      </c>
      <c r="G8" s="195"/>
      <c r="H8" s="196">
        <f>F8+G8</f>
        <v>558.67547400372041</v>
      </c>
      <c r="I8" s="194">
        <v>1000</v>
      </c>
      <c r="J8" s="197">
        <f>I8-H8</f>
        <v>441.32452599627959</v>
      </c>
      <c r="K8" s="198"/>
    </row>
    <row r="9" spans="1:11" ht="24" customHeight="1">
      <c r="A9" s="183">
        <v>4</v>
      </c>
      <c r="B9" s="221">
        <v>9213214155</v>
      </c>
      <c r="C9" s="222" t="s">
        <v>227</v>
      </c>
      <c r="D9" s="193"/>
      <c r="E9" s="194">
        <v>3535.5</v>
      </c>
      <c r="F9" s="199">
        <f>E9/E28</f>
        <v>936.55625336185562</v>
      </c>
      <c r="G9" s="195"/>
      <c r="H9" s="196">
        <f t="shared" si="0"/>
        <v>936.55625336185562</v>
      </c>
      <c r="I9" s="194">
        <v>2000</v>
      </c>
      <c r="J9" s="197">
        <f t="shared" ref="J9:J26" si="1">I9-H9</f>
        <v>1063.4437466381444</v>
      </c>
      <c r="K9" s="198"/>
    </row>
    <row r="10" spans="1:11" ht="24" customHeight="1">
      <c r="A10" s="183">
        <v>5</v>
      </c>
      <c r="B10" s="221">
        <v>9213214156</v>
      </c>
      <c r="C10" s="222" t="s">
        <v>228</v>
      </c>
      <c r="D10" s="193"/>
      <c r="E10" s="194">
        <v>2109</v>
      </c>
      <c r="F10" s="199">
        <f>E10/E28</f>
        <v>558.67547400372041</v>
      </c>
      <c r="G10" s="195"/>
      <c r="H10" s="196">
        <f t="shared" si="0"/>
        <v>558.67547400372041</v>
      </c>
      <c r="I10" s="194">
        <v>1000</v>
      </c>
      <c r="J10" s="197">
        <f t="shared" si="1"/>
        <v>441.32452599627959</v>
      </c>
      <c r="K10" s="198"/>
    </row>
    <row r="11" spans="1:11" ht="24" customHeight="1">
      <c r="A11" s="183">
        <v>6</v>
      </c>
      <c r="B11" s="221">
        <v>9213214157</v>
      </c>
      <c r="C11" s="222" t="s">
        <v>241</v>
      </c>
      <c r="D11" s="193"/>
      <c r="E11" s="194">
        <v>19129</v>
      </c>
      <c r="F11" s="199">
        <f>E11/E28</f>
        <v>5067.2845624547981</v>
      </c>
      <c r="G11" s="195"/>
      <c r="H11" s="196">
        <f t="shared" si="0"/>
        <v>5067.2845624547981</v>
      </c>
      <c r="I11" s="194">
        <v>6000</v>
      </c>
      <c r="J11" s="197">
        <f t="shared" si="1"/>
        <v>932.71543754520189</v>
      </c>
      <c r="K11" s="198"/>
    </row>
    <row r="12" spans="1:11" ht="24" customHeight="1">
      <c r="A12" s="183">
        <v>7</v>
      </c>
      <c r="B12" s="221">
        <v>9213214159</v>
      </c>
      <c r="C12" s="222" t="s">
        <v>230</v>
      </c>
      <c r="D12" s="193"/>
      <c r="E12" s="194">
        <v>7133</v>
      </c>
      <c r="F12" s="199">
        <f>E12/E28</f>
        <v>1889.5363471164239</v>
      </c>
      <c r="G12" s="195"/>
      <c r="H12" s="196">
        <f>F12+G12</f>
        <v>1889.5363471164239</v>
      </c>
      <c r="I12" s="194">
        <v>2000</v>
      </c>
      <c r="J12" s="197">
        <f>I12-H12</f>
        <v>110.46365288357606</v>
      </c>
      <c r="K12" s="198"/>
    </row>
    <row r="13" spans="1:11" ht="24" customHeight="1">
      <c r="A13" s="183">
        <v>8</v>
      </c>
      <c r="B13" s="223"/>
      <c r="C13" s="200"/>
      <c r="D13" s="200"/>
      <c r="E13" s="200"/>
      <c r="F13" s="401">
        <f>E13/E28</f>
        <v>0</v>
      </c>
      <c r="G13" s="200"/>
      <c r="H13" s="202">
        <f>G13+F13</f>
        <v>0</v>
      </c>
      <c r="I13" s="200"/>
      <c r="J13" s="201">
        <f>I13-H13</f>
        <v>0</v>
      </c>
      <c r="K13" s="203"/>
    </row>
    <row r="14" spans="1:11" ht="24" customHeight="1">
      <c r="A14" s="183">
        <v>9</v>
      </c>
      <c r="B14" s="223"/>
      <c r="C14" s="200"/>
      <c r="D14" s="200"/>
      <c r="E14" s="200"/>
      <c r="F14" s="201">
        <f>E14/E28</f>
        <v>0</v>
      </c>
      <c r="G14" s="200"/>
      <c r="H14" s="202">
        <f>G14+F14</f>
        <v>0</v>
      </c>
      <c r="I14" s="200"/>
      <c r="J14" s="201">
        <f>I14-H14</f>
        <v>0</v>
      </c>
      <c r="K14" s="203"/>
    </row>
    <row r="15" spans="1:11" ht="24" customHeight="1">
      <c r="A15" s="183">
        <v>10</v>
      </c>
      <c r="B15" s="223"/>
      <c r="C15" s="200"/>
      <c r="D15" s="200"/>
      <c r="E15" s="200"/>
      <c r="F15" s="201">
        <f>E15/E28</f>
        <v>0</v>
      </c>
      <c r="G15" s="200"/>
      <c r="H15" s="202">
        <f>G15+F15</f>
        <v>0</v>
      </c>
      <c r="I15" s="200"/>
      <c r="J15" s="201">
        <f>I15-H15</f>
        <v>0</v>
      </c>
      <c r="K15" s="203"/>
    </row>
    <row r="16" spans="1:11" ht="24" customHeight="1">
      <c r="A16" s="183">
        <v>11</v>
      </c>
      <c r="B16" s="223"/>
      <c r="C16" s="200"/>
      <c r="D16" s="200"/>
      <c r="E16" s="200"/>
      <c r="F16" s="201">
        <f>E16/E28</f>
        <v>0</v>
      </c>
      <c r="G16" s="200"/>
      <c r="H16" s="202">
        <f>G16+F16</f>
        <v>0</v>
      </c>
      <c r="I16" s="200"/>
      <c r="J16" s="201">
        <f>I16-H16</f>
        <v>0</v>
      </c>
      <c r="K16" s="203"/>
    </row>
    <row r="17" spans="1:11" ht="24" customHeight="1">
      <c r="A17" s="183">
        <v>12</v>
      </c>
      <c r="B17" s="224"/>
      <c r="C17" s="222"/>
      <c r="D17" s="193"/>
      <c r="E17" s="194"/>
      <c r="F17" s="199">
        <f>E17/E28</f>
        <v>0</v>
      </c>
      <c r="G17" s="195"/>
      <c r="H17" s="196">
        <f t="shared" ref="H17:H18" si="2">G17+F17</f>
        <v>0</v>
      </c>
      <c r="I17" s="194"/>
      <c r="J17" s="197">
        <f t="shared" si="1"/>
        <v>0</v>
      </c>
      <c r="K17" s="198"/>
    </row>
    <row r="18" spans="1:11" ht="24" customHeight="1">
      <c r="A18" s="183">
        <v>13</v>
      </c>
      <c r="B18" s="224"/>
      <c r="C18" s="222"/>
      <c r="D18" s="193"/>
      <c r="E18" s="194"/>
      <c r="F18" s="199">
        <f>E18/E28</f>
        <v>0</v>
      </c>
      <c r="G18" s="195"/>
      <c r="H18" s="196">
        <f t="shared" si="2"/>
        <v>0</v>
      </c>
      <c r="I18" s="194"/>
      <c r="J18" s="197">
        <f t="shared" si="1"/>
        <v>0</v>
      </c>
      <c r="K18" s="198"/>
    </row>
    <row r="19" spans="1:11" ht="24" customHeight="1">
      <c r="A19" s="183">
        <v>14</v>
      </c>
      <c r="B19" s="224">
        <v>9213214160</v>
      </c>
      <c r="C19" s="222" t="s">
        <v>231</v>
      </c>
      <c r="D19" s="193"/>
      <c r="E19" s="194">
        <v>3823</v>
      </c>
      <c r="F19" s="199">
        <f>E19/E28</f>
        <v>1012.7151906667725</v>
      </c>
      <c r="G19" s="195"/>
      <c r="H19" s="196">
        <v>0</v>
      </c>
      <c r="I19" s="194">
        <v>2000</v>
      </c>
      <c r="J19" s="197">
        <f>I19-H19</f>
        <v>2000</v>
      </c>
      <c r="K19" s="198"/>
    </row>
    <row r="20" spans="1:11" ht="24" customHeight="1">
      <c r="A20" s="183">
        <v>15</v>
      </c>
      <c r="B20" s="224"/>
      <c r="C20" s="222" t="s">
        <v>229</v>
      </c>
      <c r="D20" s="193"/>
      <c r="E20" s="194"/>
      <c r="F20" s="199">
        <f>E20/E28</f>
        <v>0</v>
      </c>
      <c r="G20" s="195"/>
      <c r="H20" s="196">
        <f>F20+G20</f>
        <v>0</v>
      </c>
      <c r="I20" s="194"/>
      <c r="J20" s="197">
        <f>I20-H20</f>
        <v>0</v>
      </c>
      <c r="K20" s="198"/>
    </row>
    <row r="21" spans="1:11" ht="24" customHeight="1">
      <c r="A21" s="183">
        <v>16</v>
      </c>
      <c r="B21" s="224">
        <v>9213214152</v>
      </c>
      <c r="C21" s="222" t="s">
        <v>225</v>
      </c>
      <c r="D21" s="193"/>
      <c r="E21" s="194">
        <v>1361</v>
      </c>
      <c r="F21" s="199">
        <f>E21/E28</f>
        <v>360.52978668518898</v>
      </c>
      <c r="G21" s="195"/>
      <c r="H21" s="196">
        <f>F21+G21</f>
        <v>360.52978668518898</v>
      </c>
      <c r="I21" s="194">
        <v>2400</v>
      </c>
      <c r="J21" s="197">
        <f>I21-H21</f>
        <v>2039.470213314811</v>
      </c>
      <c r="K21" s="198"/>
    </row>
    <row r="22" spans="1:11" ht="24" customHeight="1">
      <c r="A22" s="183">
        <v>17</v>
      </c>
      <c r="B22" s="224">
        <v>9213214154</v>
      </c>
      <c r="C22" s="222" t="s">
        <v>226</v>
      </c>
      <c r="D22" s="193"/>
      <c r="E22" s="194">
        <v>1384</v>
      </c>
      <c r="F22" s="199">
        <f>E22/E28</f>
        <v>366.62250166958233</v>
      </c>
      <c r="G22" s="195"/>
      <c r="H22" s="196">
        <f>F22+G22</f>
        <v>366.62250166958233</v>
      </c>
      <c r="I22" s="194">
        <v>1000</v>
      </c>
      <c r="J22" s="197">
        <f>I22-H22</f>
        <v>633.37749833041767</v>
      </c>
      <c r="K22" s="198"/>
    </row>
    <row r="23" spans="1:11" ht="24" customHeight="1">
      <c r="A23" s="183">
        <v>18</v>
      </c>
      <c r="B23" s="224"/>
      <c r="C23" s="222" t="s">
        <v>233</v>
      </c>
      <c r="D23" s="193"/>
      <c r="E23" s="194"/>
      <c r="F23" s="199">
        <f>E23/E28</f>
        <v>0</v>
      </c>
      <c r="G23" s="195"/>
      <c r="H23" s="196">
        <f t="shared" ref="H23:H26" si="3">F23+G23</f>
        <v>0</v>
      </c>
      <c r="I23" s="194"/>
      <c r="J23" s="197">
        <f t="shared" si="1"/>
        <v>0</v>
      </c>
      <c r="K23" s="198"/>
    </row>
    <row r="24" spans="1:11" ht="24" customHeight="1">
      <c r="A24" s="183">
        <v>19</v>
      </c>
      <c r="B24" s="224"/>
      <c r="C24" s="222" t="s">
        <v>234</v>
      </c>
      <c r="D24" s="193"/>
      <c r="E24" s="194"/>
      <c r="F24" s="199">
        <f>E24/E28</f>
        <v>0</v>
      </c>
      <c r="G24" s="195"/>
      <c r="H24" s="196">
        <f t="shared" si="3"/>
        <v>0</v>
      </c>
      <c r="I24" s="194"/>
      <c r="J24" s="197">
        <f t="shared" si="1"/>
        <v>0</v>
      </c>
      <c r="K24" s="198"/>
    </row>
    <row r="25" spans="1:11" ht="24" customHeight="1">
      <c r="A25" s="183">
        <v>20</v>
      </c>
      <c r="B25" s="224"/>
      <c r="C25" s="222" t="s">
        <v>235</v>
      </c>
      <c r="D25" s="193"/>
      <c r="E25" s="194"/>
      <c r="F25" s="199">
        <f>E25/E28</f>
        <v>0</v>
      </c>
      <c r="G25" s="195"/>
      <c r="H25" s="196">
        <f t="shared" si="3"/>
        <v>0</v>
      </c>
      <c r="I25" s="194"/>
      <c r="J25" s="197">
        <f t="shared" si="1"/>
        <v>0</v>
      </c>
      <c r="K25" s="198"/>
    </row>
    <row r="26" spans="1:11" ht="24" customHeight="1" thickBot="1">
      <c r="A26" s="184">
        <v>21</v>
      </c>
      <c r="B26" s="225"/>
      <c r="C26" s="226" t="s">
        <v>236</v>
      </c>
      <c r="D26" s="204"/>
      <c r="E26" s="205"/>
      <c r="F26" s="206">
        <f>E26/E28</f>
        <v>0</v>
      </c>
      <c r="G26" s="207"/>
      <c r="H26" s="208">
        <f t="shared" si="3"/>
        <v>0</v>
      </c>
      <c r="I26" s="205"/>
      <c r="J26" s="209">
        <f t="shared" si="1"/>
        <v>0</v>
      </c>
      <c r="K26" s="210"/>
    </row>
    <row r="27" spans="1:11" ht="27" customHeight="1" thickBot="1">
      <c r="A27" s="560" t="s">
        <v>237</v>
      </c>
      <c r="B27" s="561"/>
      <c r="C27" s="561"/>
      <c r="D27" s="211">
        <f t="shared" ref="D27:J27" si="4">SUM(D6:D25)</f>
        <v>0</v>
      </c>
      <c r="E27" s="212">
        <f t="shared" si="4"/>
        <v>40861.5</v>
      </c>
      <c r="F27" s="213">
        <f t="shared" si="4"/>
        <v>10824.237971077773</v>
      </c>
      <c r="G27" s="214">
        <f t="shared" si="4"/>
        <v>19591</v>
      </c>
      <c r="H27" s="215">
        <f>SUM(H6:H26)</f>
        <v>29402.522780411004</v>
      </c>
      <c r="I27" s="216">
        <f t="shared" si="4"/>
        <v>39473</v>
      </c>
      <c r="J27" s="217">
        <f t="shared" si="4"/>
        <v>10070.477219588998</v>
      </c>
      <c r="K27" s="218">
        <f>SUM(K6:K26)</f>
        <v>0</v>
      </c>
    </row>
    <row r="28" spans="1:11" ht="23.25">
      <c r="A28" s="84"/>
      <c r="B28" s="84"/>
      <c r="C28" s="85"/>
      <c r="D28" s="166" t="s">
        <v>242</v>
      </c>
      <c r="E28" s="167">
        <f>تسعير!E34</f>
        <v>3.7750001532838997</v>
      </c>
      <c r="F28" s="86"/>
      <c r="G28" s="549" t="s">
        <v>276</v>
      </c>
      <c r="H28" s="549"/>
      <c r="I28" s="549"/>
      <c r="J28" s="549"/>
      <c r="K28" s="84"/>
    </row>
    <row r="29" spans="1:11" ht="18">
      <c r="A29" s="84"/>
      <c r="B29" s="84"/>
      <c r="C29" s="85" t="s">
        <v>272</v>
      </c>
      <c r="D29" s="86"/>
      <c r="E29" s="86"/>
      <c r="F29" s="86"/>
      <c r="G29" s="549" t="s">
        <v>239</v>
      </c>
      <c r="H29" s="549"/>
      <c r="I29" s="549"/>
      <c r="J29" s="549"/>
      <c r="K29" s="84"/>
    </row>
    <row r="37" spans="1:11">
      <c r="A37" s="550" t="s">
        <v>595</v>
      </c>
      <c r="B37" s="550"/>
      <c r="C37" s="550"/>
      <c r="D37" s="550"/>
      <c r="E37" s="550"/>
      <c r="F37" s="550"/>
      <c r="G37" s="550"/>
      <c r="H37" s="550"/>
      <c r="I37" s="550"/>
      <c r="J37" s="550"/>
      <c r="K37" s="550"/>
    </row>
    <row r="38" spans="1:11">
      <c r="A38" s="550"/>
      <c r="B38" s="550"/>
      <c r="C38" s="550"/>
      <c r="D38" s="550"/>
      <c r="E38" s="550"/>
      <c r="F38" s="550"/>
      <c r="G38" s="550"/>
      <c r="H38" s="550"/>
      <c r="I38" s="550"/>
      <c r="J38" s="550"/>
      <c r="K38" s="550"/>
    </row>
    <row r="39" spans="1:11" ht="15.75" thickBot="1">
      <c r="A39" s="551"/>
      <c r="B39" s="551"/>
      <c r="C39" s="551"/>
      <c r="D39" s="551"/>
      <c r="E39" s="551"/>
      <c r="F39" s="551"/>
      <c r="G39" s="551"/>
      <c r="H39" s="551"/>
      <c r="I39" s="551"/>
      <c r="J39" s="551"/>
      <c r="K39" s="551"/>
    </row>
    <row r="40" spans="1:11" ht="18">
      <c r="A40" s="552" t="s">
        <v>212</v>
      </c>
      <c r="B40" s="554" t="s">
        <v>213</v>
      </c>
      <c r="C40" s="556" t="s">
        <v>214</v>
      </c>
      <c r="D40" s="170" t="s">
        <v>215</v>
      </c>
      <c r="E40" s="171" t="s">
        <v>216</v>
      </c>
      <c r="F40" s="172" t="s">
        <v>217</v>
      </c>
      <c r="G40" s="173" t="s">
        <v>218</v>
      </c>
      <c r="H40" s="174" t="s">
        <v>219</v>
      </c>
      <c r="I40" s="171" t="s">
        <v>220</v>
      </c>
      <c r="J40" s="175" t="s">
        <v>209</v>
      </c>
      <c r="K40" s="558" t="s">
        <v>240</v>
      </c>
    </row>
    <row r="41" spans="1:11" ht="18.75" thickBot="1">
      <c r="A41" s="553"/>
      <c r="B41" s="555"/>
      <c r="C41" s="557"/>
      <c r="D41" s="176" t="s">
        <v>208</v>
      </c>
      <c r="E41" s="177" t="s">
        <v>238</v>
      </c>
      <c r="F41" s="178" t="s">
        <v>221</v>
      </c>
      <c r="G41" s="179" t="s">
        <v>222</v>
      </c>
      <c r="H41" s="180" t="s">
        <v>223</v>
      </c>
      <c r="I41" s="177" t="s">
        <v>224</v>
      </c>
      <c r="J41" s="181" t="s">
        <v>218</v>
      </c>
      <c r="K41" s="559"/>
    </row>
    <row r="42" spans="1:11" s="231" customFormat="1" ht="30" customHeight="1">
      <c r="A42" s="230">
        <v>1</v>
      </c>
      <c r="B42" s="219">
        <v>9213214114</v>
      </c>
      <c r="C42" s="233" t="s">
        <v>293</v>
      </c>
      <c r="D42" s="240"/>
      <c r="E42" s="421">
        <v>8854.2000000000007</v>
      </c>
      <c r="F42" s="228">
        <f>E42/E78</f>
        <v>2345.4833484702426</v>
      </c>
      <c r="G42" s="241">
        <v>650</v>
      </c>
      <c r="H42" s="242">
        <f t="shared" ref="H42" si="5">F42+G42</f>
        <v>2995.4833484702426</v>
      </c>
      <c r="I42" s="421">
        <v>2500</v>
      </c>
      <c r="J42" s="243">
        <f>I42-H42</f>
        <v>-495.48334847024262</v>
      </c>
      <c r="K42" s="169"/>
    </row>
    <row r="43" spans="1:11" s="231" customFormat="1" ht="30" customHeight="1">
      <c r="A43" s="232">
        <v>2</v>
      </c>
      <c r="B43" s="221">
        <v>9213214115</v>
      </c>
      <c r="C43" s="234" t="s">
        <v>294</v>
      </c>
      <c r="D43" s="244"/>
      <c r="E43" s="408">
        <v>4535</v>
      </c>
      <c r="F43" s="163">
        <f>E43/E78</f>
        <v>1201.324454531471</v>
      </c>
      <c r="G43" s="246"/>
      <c r="H43" s="247">
        <f>F43+G43</f>
        <v>1201.324454531471</v>
      </c>
      <c r="I43" s="408">
        <v>2500</v>
      </c>
      <c r="J43" s="248">
        <f>I43-H43</f>
        <v>1298.675545468529</v>
      </c>
      <c r="K43" s="164"/>
    </row>
    <row r="44" spans="1:11" s="231" customFormat="1" ht="30" customHeight="1">
      <c r="A44" s="232">
        <v>3</v>
      </c>
      <c r="B44" s="221">
        <v>9213214116</v>
      </c>
      <c r="C44" s="234" t="s">
        <v>295</v>
      </c>
      <c r="D44" s="244"/>
      <c r="E44" s="408">
        <v>6783</v>
      </c>
      <c r="F44" s="163">
        <f>E44/E78</f>
        <v>1796.8211190930469</v>
      </c>
      <c r="G44" s="246"/>
      <c r="H44" s="247">
        <f>F44+G44</f>
        <v>1796.8211190930469</v>
      </c>
      <c r="I44" s="408">
        <v>2000</v>
      </c>
      <c r="J44" s="248">
        <f>I44-H44</f>
        <v>203.17888090695305</v>
      </c>
      <c r="K44" s="164"/>
    </row>
    <row r="45" spans="1:11" s="231" customFormat="1" ht="30" customHeight="1">
      <c r="A45" s="232">
        <v>4</v>
      </c>
      <c r="B45" s="221">
        <v>9213214117</v>
      </c>
      <c r="C45" s="234" t="s">
        <v>296</v>
      </c>
      <c r="D45" s="244"/>
      <c r="E45" s="408">
        <v>6140</v>
      </c>
      <c r="F45" s="163">
        <f>E45/E78</f>
        <v>1626.4900001815286</v>
      </c>
      <c r="G45" s="246"/>
      <c r="H45" s="247">
        <f t="shared" ref="H45:H47" si="6">F45+G45</f>
        <v>1626.4900001815286</v>
      </c>
      <c r="I45" s="408">
        <v>3000</v>
      </c>
      <c r="J45" s="248">
        <f t="shared" ref="J45:J47" si="7">I45-H45</f>
        <v>1373.5099998184714</v>
      </c>
      <c r="K45" s="164">
        <v>4</v>
      </c>
    </row>
    <row r="46" spans="1:11" s="231" customFormat="1" ht="33" customHeight="1">
      <c r="A46" s="232">
        <v>5</v>
      </c>
      <c r="B46" s="221">
        <v>9213214130</v>
      </c>
      <c r="C46" s="235" t="s">
        <v>612</v>
      </c>
      <c r="D46" s="244"/>
      <c r="E46" s="408">
        <v>34945</v>
      </c>
      <c r="F46" s="405">
        <f>E46/E78</f>
        <v>9256.9532665054576</v>
      </c>
      <c r="G46" s="406"/>
      <c r="H46" s="407">
        <f t="shared" si="6"/>
        <v>9256.9532665054576</v>
      </c>
      <c r="I46" s="408">
        <v>6000</v>
      </c>
      <c r="J46" s="409">
        <f t="shared" si="7"/>
        <v>-3256.9532665054576</v>
      </c>
      <c r="K46" s="164"/>
    </row>
    <row r="47" spans="1:11" s="231" customFormat="1" ht="30" customHeight="1">
      <c r="A47" s="232">
        <v>6</v>
      </c>
      <c r="B47" s="221"/>
      <c r="C47" s="234" t="s">
        <v>297</v>
      </c>
      <c r="D47" s="244"/>
      <c r="E47" s="408"/>
      <c r="F47" s="405">
        <f>E47/E78</f>
        <v>0</v>
      </c>
      <c r="G47" s="406"/>
      <c r="H47" s="407">
        <f t="shared" si="6"/>
        <v>0</v>
      </c>
      <c r="I47" s="408"/>
      <c r="J47" s="409">
        <f t="shared" si="7"/>
        <v>0</v>
      </c>
      <c r="K47" s="164"/>
    </row>
    <row r="48" spans="1:11" s="231" customFormat="1" ht="33" customHeight="1">
      <c r="A48" s="232">
        <v>7</v>
      </c>
      <c r="B48" s="221"/>
      <c r="C48" s="235" t="s">
        <v>298</v>
      </c>
      <c r="D48" s="244"/>
      <c r="E48" s="408"/>
      <c r="F48" s="405">
        <f>E48/E78</f>
        <v>0</v>
      </c>
      <c r="G48" s="406"/>
      <c r="H48" s="407">
        <f>F48+G48</f>
        <v>0</v>
      </c>
      <c r="I48" s="408"/>
      <c r="J48" s="409">
        <f t="shared" ref="J48:J66" si="8">I48-H48</f>
        <v>0</v>
      </c>
      <c r="K48" s="164"/>
    </row>
    <row r="49" spans="1:11" s="231" customFormat="1" ht="30" customHeight="1">
      <c r="A49" s="230">
        <v>8</v>
      </c>
      <c r="B49" s="227"/>
      <c r="C49" s="236" t="s">
        <v>299</v>
      </c>
      <c r="D49" s="255"/>
      <c r="E49" s="411"/>
      <c r="F49" s="410">
        <f>E49/E78</f>
        <v>0</v>
      </c>
      <c r="G49" s="411"/>
      <c r="H49" s="412">
        <f t="shared" ref="H49:H66" si="9">G49+F49</f>
        <v>0</v>
      </c>
      <c r="I49" s="413"/>
      <c r="J49" s="410">
        <f t="shared" si="8"/>
        <v>0</v>
      </c>
      <c r="K49" s="257"/>
    </row>
    <row r="50" spans="1:11" s="231" customFormat="1" ht="30" customHeight="1">
      <c r="A50" s="232">
        <v>9</v>
      </c>
      <c r="B50" s="227">
        <v>9213214120</v>
      </c>
      <c r="C50" s="238" t="s">
        <v>300</v>
      </c>
      <c r="D50" s="255"/>
      <c r="E50" s="411">
        <v>15054</v>
      </c>
      <c r="F50" s="229">
        <f>E50/E78</f>
        <v>3987.8144076111939</v>
      </c>
      <c r="G50" s="256"/>
      <c r="H50" s="249">
        <f t="shared" si="9"/>
        <v>3987.8144076111939</v>
      </c>
      <c r="I50" s="413">
        <v>4000</v>
      </c>
      <c r="J50" s="229">
        <f t="shared" si="8"/>
        <v>12.185592388806072</v>
      </c>
      <c r="K50" s="257"/>
    </row>
    <row r="51" spans="1:11" s="231" customFormat="1" ht="30" customHeight="1">
      <c r="A51" s="232">
        <v>10</v>
      </c>
      <c r="B51" s="227"/>
      <c r="C51" s="238" t="s">
        <v>301</v>
      </c>
      <c r="D51" s="255"/>
      <c r="E51" s="256"/>
      <c r="F51" s="410">
        <f>E51/E78</f>
        <v>0</v>
      </c>
      <c r="G51" s="411"/>
      <c r="H51" s="412">
        <f t="shared" si="9"/>
        <v>0</v>
      </c>
      <c r="I51" s="413"/>
      <c r="J51" s="410">
        <f t="shared" si="8"/>
        <v>0</v>
      </c>
      <c r="K51" s="257"/>
    </row>
    <row r="52" spans="1:11" s="231" customFormat="1" ht="30" customHeight="1">
      <c r="A52" s="232">
        <v>11</v>
      </c>
      <c r="B52" s="227">
        <v>9213214133</v>
      </c>
      <c r="C52" s="238" t="s">
        <v>302</v>
      </c>
      <c r="D52" s="255"/>
      <c r="E52" s="256">
        <v>13569.1</v>
      </c>
      <c r="F52" s="229">
        <f>E52/E78</f>
        <v>3594.4634302057293</v>
      </c>
      <c r="G52" s="256">
        <v>400</v>
      </c>
      <c r="H52" s="249">
        <f t="shared" si="9"/>
        <v>3994.4634302057293</v>
      </c>
      <c r="I52" s="413">
        <v>5000</v>
      </c>
      <c r="J52" s="229">
        <f t="shared" si="8"/>
        <v>1005.5365697942707</v>
      </c>
      <c r="K52" s="257"/>
    </row>
    <row r="53" spans="1:11" s="231" customFormat="1" ht="33" customHeight="1">
      <c r="A53" s="232">
        <v>12</v>
      </c>
      <c r="B53" s="227"/>
      <c r="C53" s="239" t="s">
        <v>303</v>
      </c>
      <c r="D53" s="255"/>
      <c r="E53" s="256"/>
      <c r="F53" s="410">
        <f>E53/E78</f>
        <v>0</v>
      </c>
      <c r="G53" s="411"/>
      <c r="H53" s="412">
        <f t="shared" si="9"/>
        <v>0</v>
      </c>
      <c r="I53" s="413"/>
      <c r="J53" s="410">
        <f t="shared" si="8"/>
        <v>0</v>
      </c>
      <c r="K53" s="257"/>
    </row>
    <row r="54" spans="1:11" s="231" customFormat="1" ht="30" customHeight="1">
      <c r="A54" s="232">
        <v>13</v>
      </c>
      <c r="B54" s="227"/>
      <c r="C54" s="238" t="s">
        <v>304</v>
      </c>
      <c r="D54" s="255"/>
      <c r="E54" s="256"/>
      <c r="F54" s="410">
        <f>E54/E78</f>
        <v>0</v>
      </c>
      <c r="G54" s="411"/>
      <c r="H54" s="412">
        <f t="shared" si="9"/>
        <v>0</v>
      </c>
      <c r="I54" s="413"/>
      <c r="J54" s="410">
        <f t="shared" si="8"/>
        <v>0</v>
      </c>
      <c r="K54" s="257"/>
    </row>
    <row r="55" spans="1:11" s="231" customFormat="1" ht="30" customHeight="1">
      <c r="A55" s="232">
        <v>14</v>
      </c>
      <c r="B55" s="227"/>
      <c r="C55" s="238" t="s">
        <v>305</v>
      </c>
      <c r="D55" s="255"/>
      <c r="E55" s="256"/>
      <c r="F55" s="410">
        <f>E55/E78</f>
        <v>0</v>
      </c>
      <c r="G55" s="411"/>
      <c r="H55" s="412">
        <f t="shared" si="9"/>
        <v>0</v>
      </c>
      <c r="I55" s="413"/>
      <c r="J55" s="410">
        <f t="shared" si="8"/>
        <v>0</v>
      </c>
      <c r="K55" s="257"/>
    </row>
    <row r="56" spans="1:11" s="231" customFormat="1" ht="30" customHeight="1">
      <c r="A56" s="232">
        <v>15</v>
      </c>
      <c r="B56" s="227"/>
      <c r="C56" s="238" t="s">
        <v>306</v>
      </c>
      <c r="D56" s="255"/>
      <c r="E56" s="256"/>
      <c r="F56" s="410">
        <f>E56/E78</f>
        <v>0</v>
      </c>
      <c r="G56" s="411"/>
      <c r="H56" s="412">
        <f t="shared" si="9"/>
        <v>0</v>
      </c>
      <c r="I56" s="413"/>
      <c r="J56" s="410">
        <f t="shared" si="8"/>
        <v>0</v>
      </c>
      <c r="K56" s="257"/>
    </row>
    <row r="57" spans="1:11" s="231" customFormat="1" ht="33" customHeight="1">
      <c r="A57" s="232">
        <v>16</v>
      </c>
      <c r="B57" s="227"/>
      <c r="C57" s="239" t="s">
        <v>307</v>
      </c>
      <c r="D57" s="255"/>
      <c r="E57" s="256"/>
      <c r="F57" s="410">
        <f>E57/E78</f>
        <v>0</v>
      </c>
      <c r="G57" s="414"/>
      <c r="H57" s="412">
        <f t="shared" si="9"/>
        <v>0</v>
      </c>
      <c r="I57" s="413"/>
      <c r="J57" s="410">
        <f t="shared" si="8"/>
        <v>0</v>
      </c>
      <c r="K57" s="257"/>
    </row>
    <row r="58" spans="1:11" s="231" customFormat="1" ht="30" customHeight="1">
      <c r="A58" s="232">
        <v>17</v>
      </c>
      <c r="B58" s="227"/>
      <c r="C58" s="239" t="s">
        <v>308</v>
      </c>
      <c r="D58" s="255"/>
      <c r="E58" s="255"/>
      <c r="F58" s="410">
        <f>E58/E78</f>
        <v>0</v>
      </c>
      <c r="G58" s="414"/>
      <c r="H58" s="412">
        <f t="shared" si="9"/>
        <v>0</v>
      </c>
      <c r="I58" s="413"/>
      <c r="J58" s="410">
        <f t="shared" si="8"/>
        <v>0</v>
      </c>
      <c r="K58" s="257"/>
    </row>
    <row r="59" spans="1:11" s="231" customFormat="1" ht="30" customHeight="1">
      <c r="A59" s="232">
        <v>18</v>
      </c>
      <c r="B59" s="227"/>
      <c r="C59" s="238" t="s">
        <v>309</v>
      </c>
      <c r="D59" s="255"/>
      <c r="E59" s="255"/>
      <c r="F59" s="410">
        <f>E59/E78</f>
        <v>0</v>
      </c>
      <c r="G59" s="411"/>
      <c r="H59" s="412">
        <f t="shared" si="9"/>
        <v>0</v>
      </c>
      <c r="I59" s="413"/>
      <c r="J59" s="410">
        <f t="shared" si="8"/>
        <v>0</v>
      </c>
      <c r="K59" s="257"/>
    </row>
    <row r="60" spans="1:11" s="231" customFormat="1" ht="33" customHeight="1">
      <c r="A60" s="230">
        <v>19</v>
      </c>
      <c r="B60" s="227"/>
      <c r="C60" s="239" t="s">
        <v>310</v>
      </c>
      <c r="D60" s="255"/>
      <c r="E60" s="256"/>
      <c r="F60" s="410">
        <f>E60/E78</f>
        <v>0</v>
      </c>
      <c r="G60" s="411"/>
      <c r="H60" s="412">
        <f t="shared" si="9"/>
        <v>0</v>
      </c>
      <c r="I60" s="413"/>
      <c r="J60" s="410">
        <f t="shared" si="8"/>
        <v>0</v>
      </c>
      <c r="K60" s="257"/>
    </row>
    <row r="61" spans="1:11" s="231" customFormat="1" ht="30" customHeight="1">
      <c r="A61" s="232">
        <v>20</v>
      </c>
      <c r="B61" s="227"/>
      <c r="C61" s="238" t="s">
        <v>311</v>
      </c>
      <c r="D61" s="255"/>
      <c r="E61" s="256"/>
      <c r="F61" s="410">
        <f>E61/E78</f>
        <v>0</v>
      </c>
      <c r="G61" s="411"/>
      <c r="H61" s="412">
        <f t="shared" si="9"/>
        <v>0</v>
      </c>
      <c r="I61" s="413"/>
      <c r="J61" s="410">
        <f t="shared" si="8"/>
        <v>0</v>
      </c>
      <c r="K61" s="257"/>
    </row>
    <row r="62" spans="1:11" s="231" customFormat="1" ht="33" customHeight="1">
      <c r="A62" s="232">
        <v>21</v>
      </c>
      <c r="B62" s="227">
        <v>9213214129</v>
      </c>
      <c r="C62" s="239" t="s">
        <v>312</v>
      </c>
      <c r="D62" s="255"/>
      <c r="E62" s="256">
        <v>15692.8</v>
      </c>
      <c r="F62" s="229">
        <f>E62/E78</f>
        <v>4157.0329437864311</v>
      </c>
      <c r="G62" s="256"/>
      <c r="H62" s="412">
        <f t="shared" si="9"/>
        <v>4157.0329437864311</v>
      </c>
      <c r="I62" s="413">
        <v>4000</v>
      </c>
      <c r="J62" s="410">
        <f t="shared" si="8"/>
        <v>-157.03294378643113</v>
      </c>
      <c r="K62" s="257"/>
    </row>
    <row r="63" spans="1:11" s="231" customFormat="1" ht="33" customHeight="1">
      <c r="A63" s="232">
        <v>22</v>
      </c>
      <c r="B63" s="227">
        <v>9213214139</v>
      </c>
      <c r="C63" s="239" t="s">
        <v>313</v>
      </c>
      <c r="D63" s="255"/>
      <c r="E63" s="411">
        <v>57842</v>
      </c>
      <c r="F63" s="229">
        <f>E63/E78</f>
        <v>15322.383483794783</v>
      </c>
      <c r="G63" s="256"/>
      <c r="H63" s="249">
        <f t="shared" si="9"/>
        <v>15322.383483794783</v>
      </c>
      <c r="I63" s="413">
        <v>25000</v>
      </c>
      <c r="J63" s="229">
        <f t="shared" si="8"/>
        <v>9677.6165162052166</v>
      </c>
      <c r="K63" s="257"/>
    </row>
    <row r="64" spans="1:11" s="231" customFormat="1" ht="33" customHeight="1">
      <c r="A64" s="232">
        <v>23</v>
      </c>
      <c r="B64" s="227">
        <v>9213214140</v>
      </c>
      <c r="C64" s="239" t="s">
        <v>314</v>
      </c>
      <c r="D64" s="255"/>
      <c r="E64" s="411">
        <v>2701</v>
      </c>
      <c r="F64" s="229">
        <f>E64/E78</f>
        <v>715.49665968897534</v>
      </c>
      <c r="G64" s="256"/>
      <c r="H64" s="249">
        <f t="shared" si="9"/>
        <v>715.49665968897534</v>
      </c>
      <c r="I64" s="413">
        <v>1000</v>
      </c>
      <c r="J64" s="229">
        <f t="shared" si="8"/>
        <v>284.50334031102466</v>
      </c>
      <c r="K64" s="257"/>
    </row>
    <row r="65" spans="1:11" s="231" customFormat="1" ht="30" customHeight="1">
      <c r="A65" s="232">
        <v>24</v>
      </c>
      <c r="B65" s="227"/>
      <c r="C65" s="238" t="s">
        <v>315</v>
      </c>
      <c r="D65" s="255"/>
      <c r="E65" s="256"/>
      <c r="F65" s="410">
        <f>E65/E78</f>
        <v>0</v>
      </c>
      <c r="G65" s="414"/>
      <c r="H65" s="412">
        <f t="shared" si="9"/>
        <v>0</v>
      </c>
      <c r="I65" s="413"/>
      <c r="J65" s="410">
        <f t="shared" si="8"/>
        <v>0</v>
      </c>
      <c r="K65" s="257"/>
    </row>
    <row r="66" spans="1:11" s="231" customFormat="1" ht="30" customHeight="1">
      <c r="A66" s="232">
        <v>25</v>
      </c>
      <c r="B66" s="227"/>
      <c r="C66" s="238" t="s">
        <v>316</v>
      </c>
      <c r="D66" s="255"/>
      <c r="E66" s="256"/>
      <c r="F66" s="410">
        <f>E66/E78</f>
        <v>0</v>
      </c>
      <c r="G66" s="414"/>
      <c r="H66" s="412">
        <f t="shared" si="9"/>
        <v>0</v>
      </c>
      <c r="I66" s="413"/>
      <c r="J66" s="410">
        <f t="shared" si="8"/>
        <v>0</v>
      </c>
      <c r="K66" s="257"/>
    </row>
    <row r="67" spans="1:11" s="231" customFormat="1" ht="30" customHeight="1">
      <c r="A67" s="230">
        <v>26</v>
      </c>
      <c r="B67" s="224"/>
      <c r="C67" s="239" t="s">
        <v>317</v>
      </c>
      <c r="D67" s="244"/>
      <c r="E67" s="245"/>
      <c r="F67" s="405">
        <f>E67/E78</f>
        <v>0</v>
      </c>
      <c r="G67" s="406"/>
      <c r="H67" s="407">
        <f t="shared" ref="H67:H68" si="10">G67+F67</f>
        <v>0</v>
      </c>
      <c r="I67" s="408"/>
      <c r="J67" s="409">
        <f t="shared" ref="J67:J68" si="11">I67-H67</f>
        <v>0</v>
      </c>
      <c r="K67" s="164"/>
    </row>
    <row r="68" spans="1:11" s="231" customFormat="1" ht="33" customHeight="1">
      <c r="A68" s="232">
        <v>27</v>
      </c>
      <c r="B68" s="224"/>
      <c r="C68" s="239" t="s">
        <v>318</v>
      </c>
      <c r="D68" s="244"/>
      <c r="E68" s="245"/>
      <c r="F68" s="405">
        <f>E68/E78</f>
        <v>0</v>
      </c>
      <c r="G68" s="406"/>
      <c r="H68" s="407">
        <f t="shared" si="10"/>
        <v>0</v>
      </c>
      <c r="I68" s="408"/>
      <c r="J68" s="409">
        <f t="shared" si="11"/>
        <v>0</v>
      </c>
      <c r="K68" s="164"/>
    </row>
    <row r="69" spans="1:11" s="231" customFormat="1" ht="33" customHeight="1">
      <c r="A69" s="232">
        <v>28</v>
      </c>
      <c r="B69" s="224"/>
      <c r="C69" s="239" t="s">
        <v>319</v>
      </c>
      <c r="D69" s="244"/>
      <c r="E69" s="245"/>
      <c r="F69" s="405">
        <f>E69/E78</f>
        <v>0</v>
      </c>
      <c r="G69" s="406"/>
      <c r="H69" s="407">
        <v>0</v>
      </c>
      <c r="I69" s="408"/>
      <c r="J69" s="409">
        <f>I69-H69</f>
        <v>0</v>
      </c>
      <c r="K69" s="164"/>
    </row>
    <row r="70" spans="1:11" s="231" customFormat="1" ht="33" customHeight="1">
      <c r="A70" s="232">
        <v>29</v>
      </c>
      <c r="B70" s="224"/>
      <c r="C70" s="239" t="s">
        <v>320</v>
      </c>
      <c r="D70" s="244"/>
      <c r="E70" s="245"/>
      <c r="F70" s="405">
        <f>E70/E78</f>
        <v>0</v>
      </c>
      <c r="G70" s="406"/>
      <c r="H70" s="407">
        <f>F70+G70</f>
        <v>0</v>
      </c>
      <c r="I70" s="408"/>
      <c r="J70" s="409">
        <f>I70-H70</f>
        <v>0</v>
      </c>
      <c r="K70" s="164"/>
    </row>
    <row r="71" spans="1:11" s="231" customFormat="1" ht="30" customHeight="1">
      <c r="A71" s="232">
        <v>30</v>
      </c>
      <c r="B71" s="224">
        <v>9213214143</v>
      </c>
      <c r="C71" s="238" t="s">
        <v>321</v>
      </c>
      <c r="D71" s="244"/>
      <c r="E71" s="408">
        <v>2040</v>
      </c>
      <c r="F71" s="163">
        <f>E71/E78</f>
        <v>540.39732905054041</v>
      </c>
      <c r="G71" s="246"/>
      <c r="H71" s="247">
        <f>F71+G71</f>
        <v>540.39732905054041</v>
      </c>
      <c r="I71" s="408">
        <v>3500</v>
      </c>
      <c r="J71" s="248">
        <f>I71-H71</f>
        <v>2959.6026709494595</v>
      </c>
      <c r="K71" s="164"/>
    </row>
    <row r="72" spans="1:11" s="231" customFormat="1" ht="30" customHeight="1">
      <c r="A72" s="232">
        <v>31</v>
      </c>
      <c r="B72" s="224"/>
      <c r="C72" s="238" t="s">
        <v>322</v>
      </c>
      <c r="D72" s="244"/>
      <c r="E72" s="408"/>
      <c r="F72" s="163">
        <f>E72/E78</f>
        <v>0</v>
      </c>
      <c r="G72" s="246"/>
      <c r="H72" s="247">
        <f>F72+G72</f>
        <v>0</v>
      </c>
      <c r="I72" s="408"/>
      <c r="J72" s="248">
        <f>I72-H72</f>
        <v>0</v>
      </c>
      <c r="K72" s="164"/>
    </row>
    <row r="73" spans="1:11" s="231" customFormat="1" ht="30" customHeight="1">
      <c r="A73" s="232">
        <v>32</v>
      </c>
      <c r="B73" s="224">
        <v>9213214138</v>
      </c>
      <c r="C73" s="234" t="s">
        <v>613</v>
      </c>
      <c r="D73" s="244"/>
      <c r="E73" s="408">
        <v>1172</v>
      </c>
      <c r="F73" s="163">
        <f>E73/E78</f>
        <v>310.46356355256535</v>
      </c>
      <c r="G73" s="246"/>
      <c r="H73" s="247">
        <f t="shared" ref="H73:H76" si="12">F73+G73</f>
        <v>310.46356355256535</v>
      </c>
      <c r="I73" s="408">
        <v>1000</v>
      </c>
      <c r="J73" s="248">
        <f t="shared" ref="J73:J76" si="13">I73-H73</f>
        <v>689.53643644743465</v>
      </c>
      <c r="K73" s="164"/>
    </row>
    <row r="74" spans="1:11" s="231" customFormat="1" ht="30" customHeight="1">
      <c r="A74" s="230">
        <v>33</v>
      </c>
      <c r="B74" s="224">
        <v>9213214151</v>
      </c>
      <c r="C74" s="234" t="s">
        <v>614</v>
      </c>
      <c r="D74" s="244"/>
      <c r="E74" s="408">
        <v>1252</v>
      </c>
      <c r="F74" s="163">
        <f>E74/E78</f>
        <v>331.65561567219441</v>
      </c>
      <c r="G74" s="246"/>
      <c r="H74" s="247">
        <f t="shared" si="12"/>
        <v>331.65561567219441</v>
      </c>
      <c r="I74" s="408">
        <v>1500</v>
      </c>
      <c r="J74" s="248">
        <f t="shared" si="13"/>
        <v>1168.3443843278055</v>
      </c>
      <c r="K74" s="164"/>
    </row>
    <row r="75" spans="1:11" s="231" customFormat="1" ht="30" customHeight="1">
      <c r="A75" s="232">
        <v>34</v>
      </c>
      <c r="B75" s="224"/>
      <c r="C75" s="234"/>
      <c r="D75" s="244"/>
      <c r="E75" s="245"/>
      <c r="F75" s="405">
        <f>E75/E78</f>
        <v>0</v>
      </c>
      <c r="G75" s="406"/>
      <c r="H75" s="407">
        <f t="shared" si="12"/>
        <v>0</v>
      </c>
      <c r="I75" s="408"/>
      <c r="J75" s="409">
        <f t="shared" si="13"/>
        <v>0</v>
      </c>
      <c r="K75" s="164"/>
    </row>
    <row r="76" spans="1:11" s="231" customFormat="1" ht="30" customHeight="1" thickBot="1">
      <c r="A76" s="232">
        <v>35</v>
      </c>
      <c r="B76" s="225"/>
      <c r="C76" s="237"/>
      <c r="D76" s="250"/>
      <c r="E76" s="251"/>
      <c r="F76" s="415">
        <f>E76/E78</f>
        <v>0</v>
      </c>
      <c r="G76" s="416"/>
      <c r="H76" s="417">
        <f t="shared" si="12"/>
        <v>0</v>
      </c>
      <c r="I76" s="418"/>
      <c r="J76" s="419">
        <f t="shared" si="13"/>
        <v>0</v>
      </c>
      <c r="K76" s="165"/>
    </row>
    <row r="77" spans="1:11" ht="27" customHeight="1" thickBot="1">
      <c r="A77" s="547" t="s">
        <v>237</v>
      </c>
      <c r="B77" s="548"/>
      <c r="C77" s="548"/>
      <c r="D77" s="422">
        <f t="shared" ref="D77:G77" si="14">SUM(D42:D75)</f>
        <v>0</v>
      </c>
      <c r="E77" s="252">
        <f t="shared" si="14"/>
        <v>170580.1</v>
      </c>
      <c r="F77" s="253">
        <f t="shared" si="14"/>
        <v>45186.779622144153</v>
      </c>
      <c r="G77" s="420">
        <f t="shared" si="14"/>
        <v>1050</v>
      </c>
      <c r="H77" s="185">
        <f>SUM(H42:H76)</f>
        <v>46236.779622144153</v>
      </c>
      <c r="I77" s="423">
        <f t="shared" ref="I77:J77" si="15">SUM(I42:I75)</f>
        <v>61000</v>
      </c>
      <c r="J77" s="254">
        <f t="shared" si="15"/>
        <v>14763.220377855841</v>
      </c>
      <c r="K77" s="168">
        <f>SUM(K42:K76)</f>
        <v>4</v>
      </c>
    </row>
    <row r="78" spans="1:11" ht="23.25">
      <c r="A78" s="84"/>
      <c r="B78" s="84"/>
      <c r="C78" s="85"/>
      <c r="D78" s="166" t="s">
        <v>242</v>
      </c>
      <c r="E78" s="167">
        <f>تسعير!E34</f>
        <v>3.7750001532838997</v>
      </c>
      <c r="F78" s="86"/>
      <c r="G78" s="549" t="s">
        <v>276</v>
      </c>
      <c r="H78" s="549"/>
      <c r="I78" s="549"/>
      <c r="J78" s="549"/>
      <c r="K78" s="84"/>
    </row>
    <row r="79" spans="1:11" ht="18">
      <c r="A79" s="84"/>
      <c r="B79" s="84"/>
      <c r="C79" s="85" t="s">
        <v>272</v>
      </c>
      <c r="D79" s="86"/>
      <c r="E79" s="86"/>
      <c r="F79" s="86"/>
      <c r="G79" s="549" t="s">
        <v>239</v>
      </c>
      <c r="H79" s="549"/>
      <c r="I79" s="549"/>
      <c r="J79" s="549"/>
      <c r="K79" s="84"/>
    </row>
  </sheetData>
  <mergeCells count="16">
    <mergeCell ref="G28:J28"/>
    <mergeCell ref="G29:J29"/>
    <mergeCell ref="A1:K3"/>
    <mergeCell ref="A4:A5"/>
    <mergeCell ref="B4:B5"/>
    <mergeCell ref="C4:C5"/>
    <mergeCell ref="K4:K5"/>
    <mergeCell ref="A27:C27"/>
    <mergeCell ref="A77:C77"/>
    <mergeCell ref="G78:J78"/>
    <mergeCell ref="G79:J79"/>
    <mergeCell ref="A37:K39"/>
    <mergeCell ref="A40:A41"/>
    <mergeCell ref="B40:B41"/>
    <mergeCell ref="C40:C41"/>
    <mergeCell ref="K40:K41"/>
  </mergeCells>
  <pageMargins left="0.7" right="0.7" top="0.75" bottom="0.75" header="0.3" footer="0.3"/>
  <pageSetup paperSize="9" scale="68"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تسعير</vt:lpstr>
      <vt:lpstr>ريز جاري</vt:lpstr>
      <vt:lpstr>ريز فرهنگي</vt:lpstr>
      <vt:lpstr>حقوق مرکزی ها</vt:lpstr>
      <vt:lpstr>روكش جاري و فرهنگي</vt:lpstr>
      <vt:lpstr>تراز يوروئي و ارزمحل</vt:lpstr>
      <vt:lpstr>تراز تلفيقي</vt:lpstr>
      <vt:lpstr>ریزحقوق کارکنان محلی</vt:lpstr>
      <vt:lpstr>روکش حقوق محلی</vt:lpstr>
      <vt:lpstr>فهرست وجوه ارسالي</vt:lpstr>
      <vt:lpstr>هزينه و انحراف 2</vt:lpstr>
    </vt:vector>
  </TitlesOfParts>
  <Company>MRT www.Win2Farsi.com</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haghani</dc:creator>
  <cp:lastModifiedBy>User</cp:lastModifiedBy>
  <cp:lastPrinted>2014-02-23T12:08:38Z</cp:lastPrinted>
  <dcterms:created xsi:type="dcterms:W3CDTF">2012-07-28T13:06:49Z</dcterms:created>
  <dcterms:modified xsi:type="dcterms:W3CDTF">2014-02-23T13:27:35Z</dcterms:modified>
</cp:coreProperties>
</file>