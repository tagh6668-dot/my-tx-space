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19440" windowHeight="14520" tabRatio="500"/>
  </bookViews>
  <sheets>
    <sheet name="Sheet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7" i="1" l="1"/>
  <c r="H57" i="1"/>
  <c r="H49" i="1"/>
  <c r="H44" i="1"/>
  <c r="H37" i="1"/>
  <c r="H30" i="1"/>
  <c r="H29" i="1"/>
  <c r="F29" i="1"/>
  <c r="F56" i="1"/>
  <c r="F48" i="1"/>
  <c r="F47" i="1"/>
  <c r="F20" i="1"/>
  <c r="F21" i="1"/>
  <c r="F22" i="1"/>
  <c r="F24" i="1"/>
  <c r="F25" i="1"/>
  <c r="F27" i="1"/>
  <c r="F30" i="1"/>
  <c r="F33" i="1"/>
  <c r="F34" i="1"/>
  <c r="F35" i="1"/>
  <c r="F36" i="1"/>
  <c r="F37" i="1"/>
  <c r="F40" i="1"/>
  <c r="F41" i="1"/>
  <c r="F42" i="1"/>
  <c r="F43" i="1"/>
  <c r="F44" i="1"/>
  <c r="F46" i="1"/>
  <c r="F49" i="1"/>
  <c r="F52" i="1"/>
  <c r="F53" i="1"/>
  <c r="F54" i="1"/>
  <c r="F55" i="1"/>
  <c r="F57" i="1"/>
  <c r="F60" i="1"/>
  <c r="F61" i="1"/>
  <c r="F64" i="1"/>
  <c r="F65" i="1"/>
  <c r="F67" i="1"/>
  <c r="H21" i="1"/>
  <c r="H22" i="1"/>
  <c r="H24" i="1"/>
  <c r="H25" i="1"/>
  <c r="H27" i="1"/>
  <c r="H33" i="1"/>
  <c r="H34" i="1"/>
  <c r="H35" i="1"/>
  <c r="H36" i="1"/>
  <c r="H40" i="1"/>
  <c r="H41" i="1"/>
  <c r="H42" i="1"/>
  <c r="H43" i="1"/>
  <c r="H46" i="1"/>
  <c r="H52" i="1"/>
  <c r="H53" i="1"/>
  <c r="H54" i="1"/>
  <c r="H55" i="1"/>
  <c r="H60" i="1"/>
  <c r="H61" i="1"/>
  <c r="H64" i="1"/>
  <c r="H65" i="1"/>
</calcChain>
</file>

<file path=xl/sharedStrings.xml><?xml version="1.0" encoding="utf-8"?>
<sst xmlns="http://schemas.openxmlformats.org/spreadsheetml/2006/main" count="66" uniqueCount="65">
  <si>
    <t>Unit</t>
  </si>
  <si>
    <t>Period</t>
  </si>
  <si>
    <t>Total (In US$)</t>
  </si>
  <si>
    <t>Travel and Accomodation</t>
  </si>
  <si>
    <t>International Flights (return ticket)</t>
  </si>
  <si>
    <t>In-City Transportation/OC</t>
  </si>
  <si>
    <t xml:space="preserve">Hotel Accommodation </t>
  </si>
  <si>
    <t>Subtotal  Travel and Accomodation</t>
  </si>
  <si>
    <t>Subtotal Meeting Pacakge</t>
  </si>
  <si>
    <t>Supplies &amp; Publication</t>
  </si>
  <si>
    <t xml:space="preserve">Workshop Supplies </t>
  </si>
  <si>
    <t>Subtotal  Supplies and Publication</t>
  </si>
  <si>
    <t>Miscellaneous</t>
  </si>
  <si>
    <t>Subtotal Miscellaneous</t>
  </si>
  <si>
    <t>TOTAL BUDGET</t>
  </si>
  <si>
    <t>Airport Tax</t>
  </si>
  <si>
    <t>Perdiem</t>
  </si>
  <si>
    <t>Communication</t>
  </si>
  <si>
    <t>Meeting Package &amp; Meals</t>
  </si>
  <si>
    <t>Proposed International Conference Budget</t>
  </si>
  <si>
    <t>250 participants</t>
  </si>
  <si>
    <t>No</t>
  </si>
  <si>
    <t>Budget Item</t>
  </si>
  <si>
    <t>Yogyakarta, February 2013</t>
  </si>
  <si>
    <t xml:space="preserve">Perdiem /speakers </t>
  </si>
  <si>
    <t>Meeting Package (coffee breaks &amp;  lunch)</t>
  </si>
  <si>
    <t>Dinner Iran Embassy/Spaekers/ICRS</t>
  </si>
  <si>
    <t>Writing Competition</t>
  </si>
  <si>
    <t xml:space="preserve">Domestic Flights </t>
  </si>
  <si>
    <t>Honoraria</t>
  </si>
  <si>
    <t>Honorarium for Speakers</t>
  </si>
  <si>
    <t>Honorarium for notetakers</t>
  </si>
  <si>
    <t>Subtotal Honoraria</t>
  </si>
  <si>
    <t>Subtotal Writing Competition</t>
  </si>
  <si>
    <t>Award for First Place Winner</t>
  </si>
  <si>
    <t>Award for Second Place winner</t>
  </si>
  <si>
    <t xml:space="preserve">Photo &amp; Video  Documentation </t>
  </si>
  <si>
    <t>Publication (bacdrop, banner, leaflet and posting)</t>
  </si>
  <si>
    <t>Speaker from Malaysia</t>
  </si>
  <si>
    <t>Speaker from the Philippines</t>
  </si>
  <si>
    <t>Speaker from Thailand</t>
  </si>
  <si>
    <t>Speaker from Singapora</t>
  </si>
  <si>
    <t>Return Domestic Flight International/Speaker</t>
  </si>
  <si>
    <t>Speaker from Bandung</t>
  </si>
  <si>
    <t>Speaker from Jakarta</t>
  </si>
  <si>
    <t>Speaker from Aceh</t>
  </si>
  <si>
    <t>Conference room rental Fee</t>
  </si>
  <si>
    <t>Total (In IDR)</t>
  </si>
  <si>
    <t>1 US$ = IDR 9700</t>
  </si>
  <si>
    <t>Price In US$/Unit</t>
  </si>
  <si>
    <t>Speaker from Ambon</t>
  </si>
  <si>
    <t>In-City transportation</t>
  </si>
  <si>
    <t>In-City Transportation/Speakers &amp; Moderator</t>
  </si>
  <si>
    <t>In-City Transportation/Press Conf</t>
  </si>
  <si>
    <t>Hotel Accommodation/Speakers</t>
  </si>
  <si>
    <t>Airport Tax domestic /Speakers</t>
  </si>
  <si>
    <t>Airport Tax international /Participant the Philippines</t>
  </si>
  <si>
    <t>Preparatory Meetings</t>
  </si>
  <si>
    <t>Honorarium for Moderators</t>
  </si>
  <si>
    <t>Juries / Person</t>
  </si>
  <si>
    <t>Workshop Kits for Participants</t>
  </si>
  <si>
    <t>General Management Services</t>
  </si>
  <si>
    <t>Monitoring and Management</t>
  </si>
  <si>
    <t>Honorarium for Organizing Committee Members</t>
  </si>
  <si>
    <t>Subtotal General Management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</si>
</sst>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8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5" fillId="0" borderId="2" xfId="0" applyFont="1" applyBorder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164" fontId="8" fillId="0" borderId="0" xfId="1" applyNumberFormat="1" applyFont="1" applyAlignment="1">
      <alignment horizontal="center"/>
    </xf>
    <xf numFmtId="43" fontId="8" fillId="0" borderId="0" xfId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41" fontId="7" fillId="0" borderId="1" xfId="1" applyNumberFormat="1" applyFont="1" applyBorder="1" applyAlignment="1">
      <alignment horizontal="center"/>
    </xf>
    <xf numFmtId="43" fontId="8" fillId="0" borderId="1" xfId="1" applyNumberFormat="1" applyFont="1" applyBorder="1" applyAlignment="1">
      <alignment horizontal="center"/>
    </xf>
    <xf numFmtId="43" fontId="7" fillId="0" borderId="1" xfId="1" applyNumberFormat="1" applyFont="1" applyBorder="1" applyAlignment="1">
      <alignment horizontal="center"/>
    </xf>
    <xf numFmtId="0" fontId="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right"/>
    </xf>
  </cellXfs>
  <cellStyles count="4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8"/>
  <sheetViews>
    <sheetView tabSelected="1" topLeftCell="A33" zoomScaleNormal="100" zoomScalePageLayoutView="125" workbookViewId="0">
      <selection activeCell="H68" sqref="H68"/>
    </sheetView>
  </sheetViews>
  <sheetFormatPr defaultColWidth="11" defaultRowHeight="15.75" x14ac:dyDescent="0.25"/>
  <cols>
    <col min="2" max="2" width="42.25" customWidth="1"/>
    <col min="3" max="3" width="7.875" customWidth="1"/>
    <col min="4" max="4" width="15.25" customWidth="1"/>
    <col min="6" max="6" width="12.75" customWidth="1"/>
    <col min="7" max="7" width="15.375" customWidth="1"/>
    <col min="8" max="8" width="13.125" customWidth="1"/>
  </cols>
  <sheetData>
    <row r="1" spans="1:8" ht="18.75" x14ac:dyDescent="0.3">
      <c r="A1" s="16" t="s">
        <v>19</v>
      </c>
      <c r="B1" s="17"/>
      <c r="C1" s="6"/>
      <c r="D1" s="7"/>
      <c r="E1" s="6"/>
      <c r="F1" s="6"/>
      <c r="G1" s="6"/>
      <c r="H1" s="6"/>
    </row>
    <row r="2" spans="1:8" ht="18.75" x14ac:dyDescent="0.3">
      <c r="A2" s="18" t="s">
        <v>20</v>
      </c>
      <c r="B2" s="19"/>
      <c r="C2" s="6"/>
      <c r="D2" s="7"/>
      <c r="E2" s="6"/>
      <c r="F2" s="6"/>
      <c r="G2" s="6"/>
      <c r="H2" s="6"/>
    </row>
    <row r="3" spans="1:8" ht="18.75" x14ac:dyDescent="0.3">
      <c r="A3" s="16" t="s">
        <v>23</v>
      </c>
      <c r="B3" s="17"/>
      <c r="C3" s="6"/>
      <c r="D3" s="7"/>
      <c r="E3" s="6"/>
      <c r="F3" s="6"/>
      <c r="G3" s="6"/>
      <c r="H3" s="6"/>
    </row>
    <row r="4" spans="1:8" x14ac:dyDescent="0.25">
      <c r="A4" s="4"/>
      <c r="B4" s="5"/>
      <c r="C4" s="6"/>
      <c r="D4" s="7"/>
      <c r="E4" s="6"/>
      <c r="F4" s="6"/>
      <c r="G4" s="6"/>
      <c r="H4" s="6"/>
    </row>
    <row r="5" spans="1:8" ht="16.5" thickBot="1" x14ac:dyDescent="0.3">
      <c r="A5" s="8" t="s">
        <v>21</v>
      </c>
      <c r="B5" s="8" t="s">
        <v>22</v>
      </c>
      <c r="C5" s="2" t="s">
        <v>0</v>
      </c>
      <c r="D5" s="2" t="s">
        <v>49</v>
      </c>
      <c r="E5" s="2" t="s">
        <v>1</v>
      </c>
      <c r="F5" s="2" t="s">
        <v>2</v>
      </c>
      <c r="G5" s="2" t="s">
        <v>48</v>
      </c>
      <c r="H5" s="2" t="s">
        <v>47</v>
      </c>
    </row>
    <row r="6" spans="1:8" x14ac:dyDescent="0.25">
      <c r="A6" s="9"/>
      <c r="B6" s="8"/>
      <c r="C6" s="10"/>
      <c r="D6" s="11"/>
      <c r="E6" s="10"/>
      <c r="F6" s="12"/>
      <c r="G6" s="12"/>
      <c r="H6" s="12"/>
    </row>
    <row r="7" spans="1:8" x14ac:dyDescent="0.25">
      <c r="A7" s="9">
        <v>1</v>
      </c>
      <c r="B7" s="8" t="s">
        <v>3</v>
      </c>
      <c r="C7" s="10"/>
      <c r="D7" s="11"/>
      <c r="E7" s="10"/>
      <c r="F7" s="10"/>
      <c r="G7" s="10"/>
      <c r="H7" s="10"/>
    </row>
    <row r="8" spans="1:8" x14ac:dyDescent="0.25">
      <c r="A8" s="9">
        <v>1.1000000000000001</v>
      </c>
      <c r="B8" s="8" t="s">
        <v>4</v>
      </c>
      <c r="C8" s="10"/>
      <c r="D8" s="11"/>
      <c r="E8" s="10"/>
      <c r="F8" s="10"/>
      <c r="G8" s="10"/>
      <c r="H8" s="10"/>
    </row>
    <row r="9" spans="1:8" x14ac:dyDescent="0.25">
      <c r="A9" s="9"/>
      <c r="B9" s="13" t="s">
        <v>38</v>
      </c>
      <c r="C9" s="10"/>
      <c r="D9" s="21"/>
      <c r="E9" s="10"/>
      <c r="F9" s="21"/>
      <c r="G9" s="10"/>
      <c r="H9" s="10"/>
    </row>
    <row r="10" spans="1:8" x14ac:dyDescent="0.25">
      <c r="A10" s="9"/>
      <c r="B10" s="13" t="s">
        <v>39</v>
      </c>
      <c r="C10" s="10"/>
      <c r="D10" s="21"/>
      <c r="E10" s="10"/>
      <c r="F10" s="21"/>
      <c r="G10" s="10"/>
      <c r="H10" s="10"/>
    </row>
    <row r="11" spans="1:8" x14ac:dyDescent="0.25">
      <c r="A11" s="9"/>
      <c r="B11" s="13" t="s">
        <v>40</v>
      </c>
      <c r="C11" s="10"/>
      <c r="D11" s="21"/>
      <c r="E11" s="10"/>
      <c r="F11" s="21"/>
      <c r="G11" s="10"/>
      <c r="H11" s="10"/>
    </row>
    <row r="12" spans="1:8" x14ac:dyDescent="0.25">
      <c r="A12" s="9"/>
      <c r="B12" s="13" t="s">
        <v>41</v>
      </c>
      <c r="C12" s="10"/>
      <c r="D12" s="21"/>
      <c r="E12" s="10"/>
      <c r="F12" s="21"/>
      <c r="G12" s="10"/>
      <c r="H12" s="10"/>
    </row>
    <row r="13" spans="1:8" x14ac:dyDescent="0.25">
      <c r="A13" s="9">
        <v>1.2</v>
      </c>
      <c r="B13" s="8" t="s">
        <v>28</v>
      </c>
      <c r="C13" s="10"/>
      <c r="D13" s="21"/>
      <c r="E13" s="10"/>
      <c r="F13" s="21"/>
      <c r="G13" s="10"/>
      <c r="H13" s="10"/>
    </row>
    <row r="14" spans="1:8" x14ac:dyDescent="0.25">
      <c r="A14" s="9"/>
      <c r="B14" s="13" t="s">
        <v>42</v>
      </c>
      <c r="C14" s="10"/>
      <c r="D14" s="21"/>
      <c r="E14" s="10"/>
      <c r="F14" s="21"/>
      <c r="G14" s="10"/>
      <c r="H14" s="10"/>
    </row>
    <row r="15" spans="1:8" x14ac:dyDescent="0.25">
      <c r="A15" s="9"/>
      <c r="B15" s="13" t="s">
        <v>50</v>
      </c>
      <c r="C15" s="10"/>
      <c r="D15" s="21"/>
      <c r="E15" s="10"/>
      <c r="F15" s="21"/>
      <c r="G15" s="10"/>
      <c r="H15" s="10"/>
    </row>
    <row r="16" spans="1:8" x14ac:dyDescent="0.25">
      <c r="A16" s="9"/>
      <c r="B16" s="13" t="s">
        <v>43</v>
      </c>
      <c r="C16" s="10"/>
      <c r="D16" s="21"/>
      <c r="E16" s="10"/>
      <c r="F16" s="21"/>
      <c r="G16" s="10"/>
      <c r="H16" s="10"/>
    </row>
    <row r="17" spans="1:8" x14ac:dyDescent="0.25">
      <c r="A17" s="9"/>
      <c r="B17" s="13" t="s">
        <v>44</v>
      </c>
      <c r="C17" s="10"/>
      <c r="D17" s="21"/>
      <c r="E17" s="10"/>
      <c r="F17" s="21"/>
      <c r="G17" s="10"/>
      <c r="H17" s="10"/>
    </row>
    <row r="18" spans="1:8" x14ac:dyDescent="0.25">
      <c r="A18" s="9"/>
      <c r="B18" s="13" t="s">
        <v>45</v>
      </c>
      <c r="C18" s="10"/>
      <c r="D18" s="21"/>
      <c r="E18" s="10"/>
      <c r="F18" s="21"/>
      <c r="G18" s="10"/>
      <c r="H18" s="10"/>
    </row>
    <row r="19" spans="1:8" x14ac:dyDescent="0.25">
      <c r="A19" s="9">
        <v>1.3</v>
      </c>
      <c r="B19" s="8" t="s">
        <v>51</v>
      </c>
      <c r="C19" s="10"/>
      <c r="D19" s="21"/>
      <c r="E19" s="10"/>
      <c r="F19" s="21"/>
      <c r="G19" s="10"/>
      <c r="H19" s="10"/>
    </row>
    <row r="20" spans="1:8" x14ac:dyDescent="0.25">
      <c r="A20" s="9"/>
      <c r="B20" s="13" t="s">
        <v>52</v>
      </c>
      <c r="C20" s="10">
        <v>10</v>
      </c>
      <c r="D20" s="21">
        <v>20.7</v>
      </c>
      <c r="E20" s="10">
        <v>2</v>
      </c>
      <c r="F20" s="21">
        <f>H20/G20</f>
        <v>412.37113402061857</v>
      </c>
      <c r="G20" s="10">
        <v>9700</v>
      </c>
      <c r="H20" s="10">
        <v>4000000</v>
      </c>
    </row>
    <row r="21" spans="1:8" x14ac:dyDescent="0.25">
      <c r="A21" s="9"/>
      <c r="B21" s="13" t="s">
        <v>5</v>
      </c>
      <c r="C21" s="10">
        <v>9</v>
      </c>
      <c r="D21" s="21">
        <v>30</v>
      </c>
      <c r="E21" s="10">
        <v>1</v>
      </c>
      <c r="F21" s="21">
        <f>+C21*D21*E21</f>
        <v>270</v>
      </c>
      <c r="G21" s="10">
        <v>9700</v>
      </c>
      <c r="H21" s="10">
        <f>+F21*G21</f>
        <v>2619000</v>
      </c>
    </row>
    <row r="22" spans="1:8" x14ac:dyDescent="0.25">
      <c r="A22" s="9"/>
      <c r="B22" s="13" t="s">
        <v>53</v>
      </c>
      <c r="C22" s="10">
        <v>20</v>
      </c>
      <c r="D22" s="21">
        <v>7</v>
      </c>
      <c r="E22" s="10">
        <v>1</v>
      </c>
      <c r="F22" s="21">
        <f>+C22*D22*E22</f>
        <v>140</v>
      </c>
      <c r="G22" s="10">
        <v>9700</v>
      </c>
      <c r="H22" s="10">
        <f>+F22*G22</f>
        <v>1358000</v>
      </c>
    </row>
    <row r="23" spans="1:8" x14ac:dyDescent="0.25">
      <c r="A23" s="9">
        <v>1.4</v>
      </c>
      <c r="B23" s="8" t="s">
        <v>15</v>
      </c>
      <c r="C23" s="10"/>
      <c r="D23" s="21"/>
      <c r="E23" s="10"/>
      <c r="F23" s="21"/>
      <c r="G23" s="10"/>
      <c r="H23" s="10"/>
    </row>
    <row r="24" spans="1:8" x14ac:dyDescent="0.25">
      <c r="A24" s="9"/>
      <c r="B24" s="23" t="s">
        <v>56</v>
      </c>
      <c r="C24" s="10">
        <v>1</v>
      </c>
      <c r="D24" s="21">
        <v>50</v>
      </c>
      <c r="E24" s="10">
        <v>1</v>
      </c>
      <c r="F24" s="21">
        <f>+C24*D24*E24</f>
        <v>50</v>
      </c>
      <c r="G24" s="10">
        <v>9700</v>
      </c>
      <c r="H24" s="10">
        <f>+F24*G24</f>
        <v>485000</v>
      </c>
    </row>
    <row r="25" spans="1:8" x14ac:dyDescent="0.25">
      <c r="A25" s="9"/>
      <c r="B25" s="23" t="s">
        <v>55</v>
      </c>
      <c r="C25" s="10">
        <v>8</v>
      </c>
      <c r="D25" s="21">
        <v>10</v>
      </c>
      <c r="E25" s="10">
        <v>1</v>
      </c>
      <c r="F25" s="21">
        <f>+C25*D25*E25</f>
        <v>80</v>
      </c>
      <c r="G25" s="10">
        <v>9700</v>
      </c>
      <c r="H25" s="10">
        <f>+F25*G25</f>
        <v>776000</v>
      </c>
    </row>
    <row r="26" spans="1:8" x14ac:dyDescent="0.25">
      <c r="A26" s="9">
        <v>1.5</v>
      </c>
      <c r="B26" s="8" t="s">
        <v>16</v>
      </c>
      <c r="C26" s="10"/>
      <c r="D26" s="21"/>
      <c r="E26" s="10"/>
      <c r="F26" s="21"/>
      <c r="G26" s="10"/>
      <c r="H26" s="10"/>
    </row>
    <row r="27" spans="1:8" x14ac:dyDescent="0.25">
      <c r="A27" s="9"/>
      <c r="B27" s="13" t="s">
        <v>24</v>
      </c>
      <c r="C27" s="10">
        <v>10</v>
      </c>
      <c r="D27" s="21">
        <v>50</v>
      </c>
      <c r="E27" s="10">
        <v>1</v>
      </c>
      <c r="F27" s="21">
        <f>+C27*D27*E27</f>
        <v>500</v>
      </c>
      <c r="G27" s="10">
        <v>9700</v>
      </c>
      <c r="H27" s="10">
        <f>+F27*G27</f>
        <v>4850000</v>
      </c>
    </row>
    <row r="28" spans="1:8" x14ac:dyDescent="0.25">
      <c r="A28" s="9">
        <v>1.6</v>
      </c>
      <c r="B28" s="8" t="s">
        <v>6</v>
      </c>
      <c r="C28" s="10"/>
      <c r="D28" s="21"/>
      <c r="E28" s="10"/>
      <c r="F28" s="21"/>
      <c r="G28" s="10"/>
      <c r="H28" s="10"/>
    </row>
    <row r="29" spans="1:8" x14ac:dyDescent="0.25">
      <c r="A29" s="9"/>
      <c r="B29" s="23" t="s">
        <v>54</v>
      </c>
      <c r="C29" s="10">
        <v>10</v>
      </c>
      <c r="D29" s="21">
        <v>70</v>
      </c>
      <c r="E29" s="10">
        <v>2</v>
      </c>
      <c r="F29" s="21">
        <f>C29*D29*E29</f>
        <v>1400</v>
      </c>
      <c r="G29" s="10">
        <v>9700</v>
      </c>
      <c r="H29" s="10">
        <f>F29*G29</f>
        <v>13580000</v>
      </c>
    </row>
    <row r="30" spans="1:8" x14ac:dyDescent="0.25">
      <c r="A30" s="9"/>
      <c r="B30" s="14" t="s">
        <v>7</v>
      </c>
      <c r="C30" s="10"/>
      <c r="D30" s="21"/>
      <c r="E30" s="10"/>
      <c r="F30" s="22">
        <f>SUM(F9:F29)</f>
        <v>2852.3711340206187</v>
      </c>
      <c r="G30" s="10">
        <v>9700</v>
      </c>
      <c r="H30" s="20">
        <f>SUM(H20:H29)</f>
        <v>27668000</v>
      </c>
    </row>
    <row r="31" spans="1:8" x14ac:dyDescent="0.25">
      <c r="A31" s="9"/>
      <c r="B31" s="13"/>
      <c r="C31" s="10"/>
      <c r="D31" s="21"/>
      <c r="E31" s="10"/>
      <c r="F31" s="21"/>
      <c r="G31" s="10"/>
      <c r="H31" s="10"/>
    </row>
    <row r="32" spans="1:8" x14ac:dyDescent="0.25">
      <c r="A32" s="9">
        <v>2</v>
      </c>
      <c r="B32" s="8" t="s">
        <v>18</v>
      </c>
      <c r="C32" s="10"/>
      <c r="D32" s="21"/>
      <c r="E32" s="10"/>
      <c r="F32" s="21"/>
      <c r="G32" s="10"/>
      <c r="H32" s="10"/>
    </row>
    <row r="33" spans="1:8" x14ac:dyDescent="0.25">
      <c r="A33" s="9">
        <v>2.1</v>
      </c>
      <c r="B33" s="23" t="s">
        <v>57</v>
      </c>
      <c r="C33" s="10">
        <v>4</v>
      </c>
      <c r="D33" s="21">
        <v>40</v>
      </c>
      <c r="E33" s="10">
        <v>1</v>
      </c>
      <c r="F33" s="21">
        <f>+C33*D33*E33</f>
        <v>160</v>
      </c>
      <c r="G33" s="10">
        <v>9700</v>
      </c>
      <c r="H33" s="10">
        <f>+F33*G33</f>
        <v>1552000</v>
      </c>
    </row>
    <row r="34" spans="1:8" x14ac:dyDescent="0.25">
      <c r="A34" s="9">
        <v>2.2000000000000002</v>
      </c>
      <c r="B34" s="13" t="s">
        <v>26</v>
      </c>
      <c r="C34" s="10">
        <v>15</v>
      </c>
      <c r="D34" s="21">
        <v>15</v>
      </c>
      <c r="E34" s="10">
        <v>2</v>
      </c>
      <c r="F34" s="21">
        <f>+C34*D34*E34</f>
        <v>450</v>
      </c>
      <c r="G34" s="10">
        <v>9700</v>
      </c>
      <c r="H34" s="10">
        <f>+F34*G34</f>
        <v>4365000</v>
      </c>
    </row>
    <row r="35" spans="1:8" x14ac:dyDescent="0.25">
      <c r="A35" s="9">
        <v>2.2999999999999998</v>
      </c>
      <c r="B35" s="13" t="s">
        <v>25</v>
      </c>
      <c r="C35" s="10">
        <v>250</v>
      </c>
      <c r="D35" s="21">
        <v>20</v>
      </c>
      <c r="E35" s="10">
        <v>1</v>
      </c>
      <c r="F35" s="21">
        <f>+C35*D35*E35</f>
        <v>5000</v>
      </c>
      <c r="G35" s="10">
        <v>9700</v>
      </c>
      <c r="H35" s="10">
        <f>+F35*G35</f>
        <v>48500000</v>
      </c>
    </row>
    <row r="36" spans="1:8" x14ac:dyDescent="0.25">
      <c r="A36" s="9">
        <v>2.4</v>
      </c>
      <c r="B36" s="3" t="s">
        <v>46</v>
      </c>
      <c r="C36" s="10">
        <v>1</v>
      </c>
      <c r="D36" s="21">
        <v>500</v>
      </c>
      <c r="E36" s="10">
        <v>1</v>
      </c>
      <c r="F36" s="21">
        <f>+C36*D36*E36</f>
        <v>500</v>
      </c>
      <c r="G36" s="10">
        <v>9700</v>
      </c>
      <c r="H36" s="10">
        <f>+F36*G36</f>
        <v>4850000</v>
      </c>
    </row>
    <row r="37" spans="1:8" x14ac:dyDescent="0.25">
      <c r="A37" s="9"/>
      <c r="B37" s="14" t="s">
        <v>8</v>
      </c>
      <c r="C37" s="10"/>
      <c r="D37" s="21"/>
      <c r="E37" s="10"/>
      <c r="F37" s="22">
        <f>SUM(F33:F36)</f>
        <v>6110</v>
      </c>
      <c r="G37" s="10">
        <v>9700</v>
      </c>
      <c r="H37" s="12">
        <f>SUM(H33:H36)</f>
        <v>59267000</v>
      </c>
    </row>
    <row r="38" spans="1:8" x14ac:dyDescent="0.25">
      <c r="A38" s="9"/>
      <c r="B38" s="14"/>
      <c r="C38" s="10"/>
      <c r="D38" s="21"/>
      <c r="E38" s="10"/>
      <c r="F38" s="22"/>
      <c r="G38" s="10"/>
      <c r="H38" s="12"/>
    </row>
    <row r="39" spans="1:8" x14ac:dyDescent="0.25">
      <c r="A39" s="9">
        <v>3</v>
      </c>
      <c r="B39" s="8" t="s">
        <v>29</v>
      </c>
      <c r="C39" s="10"/>
      <c r="D39" s="21"/>
      <c r="E39" s="10"/>
      <c r="F39" s="21"/>
      <c r="G39" s="10"/>
      <c r="H39" s="10"/>
    </row>
    <row r="40" spans="1:8" x14ac:dyDescent="0.25">
      <c r="A40" s="9">
        <v>3.1</v>
      </c>
      <c r="B40" s="13" t="s">
        <v>30</v>
      </c>
      <c r="C40" s="10">
        <v>8</v>
      </c>
      <c r="D40" s="21">
        <v>100</v>
      </c>
      <c r="E40" s="10">
        <v>1</v>
      </c>
      <c r="F40" s="21">
        <f>+C40*D40*E40</f>
        <v>800</v>
      </c>
      <c r="G40" s="10">
        <v>9700</v>
      </c>
      <c r="H40" s="10">
        <f>+F40*G40</f>
        <v>7760000</v>
      </c>
    </row>
    <row r="41" spans="1:8" x14ac:dyDescent="0.25">
      <c r="A41" s="9">
        <v>3.2</v>
      </c>
      <c r="B41" s="23" t="s">
        <v>58</v>
      </c>
      <c r="C41" s="10">
        <v>2</v>
      </c>
      <c r="D41" s="21">
        <v>50</v>
      </c>
      <c r="E41" s="10">
        <v>1</v>
      </c>
      <c r="F41" s="21">
        <f>+C41*D41*E41</f>
        <v>100</v>
      </c>
      <c r="G41" s="10">
        <v>9700</v>
      </c>
      <c r="H41" s="10">
        <f>+F41*G41</f>
        <v>970000</v>
      </c>
    </row>
    <row r="42" spans="1:8" x14ac:dyDescent="0.25">
      <c r="A42" s="9">
        <v>3.3</v>
      </c>
      <c r="B42" s="23" t="s">
        <v>31</v>
      </c>
      <c r="C42" s="10">
        <v>3</v>
      </c>
      <c r="D42" s="21">
        <v>30</v>
      </c>
      <c r="E42" s="10">
        <v>1</v>
      </c>
      <c r="F42" s="21">
        <f>+C42*D42*E42</f>
        <v>90</v>
      </c>
      <c r="G42" s="10">
        <v>9700</v>
      </c>
      <c r="H42" s="10">
        <f>+F42*G42</f>
        <v>873000</v>
      </c>
    </row>
    <row r="43" spans="1:8" x14ac:dyDescent="0.25">
      <c r="A43" s="9">
        <v>3.4</v>
      </c>
      <c r="B43" s="23" t="s">
        <v>63</v>
      </c>
      <c r="C43" s="10">
        <v>10</v>
      </c>
      <c r="D43" s="21">
        <v>65</v>
      </c>
      <c r="E43" s="10">
        <v>1</v>
      </c>
      <c r="F43" s="21">
        <f>+C43*D43*E43</f>
        <v>650</v>
      </c>
      <c r="G43" s="10">
        <v>9700</v>
      </c>
      <c r="H43" s="10">
        <f>+F43*G43</f>
        <v>6305000</v>
      </c>
    </row>
    <row r="44" spans="1:8" x14ac:dyDescent="0.25">
      <c r="A44" s="9"/>
      <c r="B44" s="14" t="s">
        <v>32</v>
      </c>
      <c r="C44" s="10"/>
      <c r="D44" s="21"/>
      <c r="E44" s="10"/>
      <c r="F44" s="22">
        <f>SUM(F40:F43)</f>
        <v>1640</v>
      </c>
      <c r="G44" s="10">
        <v>9700</v>
      </c>
      <c r="H44" s="12">
        <f>SUM(H40:H43)</f>
        <v>15908000</v>
      </c>
    </row>
    <row r="45" spans="1:8" x14ac:dyDescent="0.25">
      <c r="A45" s="9">
        <v>4</v>
      </c>
      <c r="B45" s="8" t="s">
        <v>27</v>
      </c>
      <c r="C45" s="10"/>
      <c r="D45" s="21"/>
      <c r="E45" s="10"/>
      <c r="F45" s="21"/>
      <c r="G45" s="10"/>
      <c r="H45" s="10"/>
    </row>
    <row r="46" spans="1:8" x14ac:dyDescent="0.25">
      <c r="A46" s="9">
        <v>4.0999999999999996</v>
      </c>
      <c r="B46" s="23" t="s">
        <v>59</v>
      </c>
      <c r="C46" s="10">
        <v>3</v>
      </c>
      <c r="D46" s="21">
        <v>100</v>
      </c>
      <c r="E46" s="10">
        <v>1</v>
      </c>
      <c r="F46" s="21">
        <f>+C46*D46*E46</f>
        <v>300</v>
      </c>
      <c r="G46" s="10">
        <v>9700</v>
      </c>
      <c r="H46" s="10">
        <f>+F46*G46</f>
        <v>2910000</v>
      </c>
    </row>
    <row r="47" spans="1:8" x14ac:dyDescent="0.25">
      <c r="A47" s="9">
        <v>4.2</v>
      </c>
      <c r="B47" s="13" t="s">
        <v>34</v>
      </c>
      <c r="C47" s="10">
        <v>1</v>
      </c>
      <c r="D47" s="21">
        <v>463.92</v>
      </c>
      <c r="E47" s="10">
        <v>1</v>
      </c>
      <c r="F47" s="21">
        <f>H47/G47</f>
        <v>463.91752577319585</v>
      </c>
      <c r="G47" s="10">
        <v>9700</v>
      </c>
      <c r="H47" s="10">
        <v>4500000</v>
      </c>
    </row>
    <row r="48" spans="1:8" x14ac:dyDescent="0.25">
      <c r="A48" s="9">
        <v>4.3</v>
      </c>
      <c r="B48" s="13" t="s">
        <v>35</v>
      </c>
      <c r="C48" s="10">
        <v>1</v>
      </c>
      <c r="D48" s="21">
        <v>257.73</v>
      </c>
      <c r="E48" s="10">
        <v>1</v>
      </c>
      <c r="F48" s="21">
        <f>H48/G48</f>
        <v>257.73195876288662</v>
      </c>
      <c r="G48" s="10">
        <v>9700</v>
      </c>
      <c r="H48" s="10">
        <v>2500000</v>
      </c>
    </row>
    <row r="49" spans="1:8" x14ac:dyDescent="0.25">
      <c r="A49" s="9"/>
      <c r="B49" s="14" t="s">
        <v>33</v>
      </c>
      <c r="C49" s="10"/>
      <c r="D49" s="21"/>
      <c r="E49" s="10"/>
      <c r="F49" s="22">
        <f>SUM(F46:F48)</f>
        <v>1021.6494845360825</v>
      </c>
      <c r="G49" s="10">
        <v>9700</v>
      </c>
      <c r="H49" s="12">
        <f>SUM(H46:H48)</f>
        <v>9910000</v>
      </c>
    </row>
    <row r="50" spans="1:8" x14ac:dyDescent="0.25">
      <c r="A50" s="9"/>
      <c r="B50" s="13"/>
      <c r="C50" s="10"/>
      <c r="D50" s="21"/>
      <c r="E50" s="10"/>
      <c r="F50" s="21"/>
      <c r="G50" s="10"/>
      <c r="H50" s="10"/>
    </row>
    <row r="51" spans="1:8" x14ac:dyDescent="0.25">
      <c r="A51" s="9">
        <v>5</v>
      </c>
      <c r="B51" s="8" t="s">
        <v>9</v>
      </c>
      <c r="C51" s="10"/>
      <c r="D51" s="21"/>
      <c r="E51" s="10"/>
      <c r="F51" s="21"/>
      <c r="G51" s="10"/>
      <c r="H51" s="10"/>
    </row>
    <row r="52" spans="1:8" x14ac:dyDescent="0.25">
      <c r="A52" s="9">
        <v>5.0999999999999996</v>
      </c>
      <c r="B52" s="23" t="s">
        <v>60</v>
      </c>
      <c r="C52" s="10">
        <v>250</v>
      </c>
      <c r="D52" s="21">
        <v>5</v>
      </c>
      <c r="E52" s="10">
        <v>1</v>
      </c>
      <c r="F52" s="21">
        <f>+C52*D52*E52</f>
        <v>1250</v>
      </c>
      <c r="G52" s="10">
        <v>9700</v>
      </c>
      <c r="H52" s="10">
        <f>+F52*G52</f>
        <v>12125000</v>
      </c>
    </row>
    <row r="53" spans="1:8" x14ac:dyDescent="0.25">
      <c r="A53" s="9">
        <v>5.2</v>
      </c>
      <c r="B53" s="23" t="s">
        <v>10</v>
      </c>
      <c r="C53" s="10">
        <v>1</v>
      </c>
      <c r="D53" s="21">
        <v>200</v>
      </c>
      <c r="E53" s="10">
        <v>1</v>
      </c>
      <c r="F53" s="21">
        <f>+C53*D53*E53</f>
        <v>200</v>
      </c>
      <c r="G53" s="10">
        <v>9700</v>
      </c>
      <c r="H53" s="10">
        <f>+F53*G53</f>
        <v>1940000</v>
      </c>
    </row>
    <row r="54" spans="1:8" x14ac:dyDescent="0.25">
      <c r="A54" s="9">
        <v>5.3</v>
      </c>
      <c r="B54" s="13" t="s">
        <v>17</v>
      </c>
      <c r="C54" s="10">
        <v>1</v>
      </c>
      <c r="D54" s="21">
        <v>100</v>
      </c>
      <c r="E54" s="10">
        <v>1</v>
      </c>
      <c r="F54" s="21">
        <f>+C54*D54*E54</f>
        <v>100</v>
      </c>
      <c r="G54" s="10">
        <v>9700</v>
      </c>
      <c r="H54" s="10">
        <f>+F54*G54</f>
        <v>970000</v>
      </c>
    </row>
    <row r="55" spans="1:8" x14ac:dyDescent="0.25">
      <c r="A55" s="9">
        <v>5.4</v>
      </c>
      <c r="B55" s="13" t="s">
        <v>37</v>
      </c>
      <c r="C55" s="10">
        <v>1</v>
      </c>
      <c r="D55" s="21">
        <v>250</v>
      </c>
      <c r="E55" s="10">
        <v>1</v>
      </c>
      <c r="F55" s="21">
        <f>+C55*D55*E55</f>
        <v>250</v>
      </c>
      <c r="G55" s="10">
        <v>9700</v>
      </c>
      <c r="H55" s="10">
        <f>+F55*G55</f>
        <v>2425000</v>
      </c>
    </row>
    <row r="56" spans="1:8" x14ac:dyDescent="0.25">
      <c r="A56" s="9">
        <v>5.5</v>
      </c>
      <c r="B56" s="13" t="s">
        <v>36</v>
      </c>
      <c r="C56" s="10">
        <v>1</v>
      </c>
      <c r="D56" s="21">
        <v>206.19</v>
      </c>
      <c r="E56" s="10">
        <v>1</v>
      </c>
      <c r="F56" s="21">
        <f>H56/G56</f>
        <v>206.18556701030928</v>
      </c>
      <c r="G56" s="10">
        <v>9700</v>
      </c>
      <c r="H56" s="10">
        <v>2000000</v>
      </c>
    </row>
    <row r="57" spans="1:8" x14ac:dyDescent="0.25">
      <c r="A57" s="9"/>
      <c r="B57" s="14" t="s">
        <v>11</v>
      </c>
      <c r="C57" s="10"/>
      <c r="D57" s="21"/>
      <c r="E57" s="10"/>
      <c r="F57" s="22">
        <f>SUM(F52:F56)</f>
        <v>2006.1855670103093</v>
      </c>
      <c r="G57" s="10">
        <v>9700</v>
      </c>
      <c r="H57" s="12">
        <f>SUM(H52:H56)</f>
        <v>19460000</v>
      </c>
    </row>
    <row r="58" spans="1:8" x14ac:dyDescent="0.25">
      <c r="A58" s="9"/>
      <c r="B58" s="13"/>
      <c r="C58" s="10"/>
      <c r="D58" s="21"/>
      <c r="E58" s="10"/>
      <c r="F58" s="21"/>
      <c r="G58" s="10"/>
      <c r="H58" s="10"/>
    </row>
    <row r="59" spans="1:8" x14ac:dyDescent="0.25">
      <c r="A59" s="9">
        <v>6</v>
      </c>
      <c r="B59" s="8" t="s">
        <v>12</v>
      </c>
      <c r="C59" s="10"/>
      <c r="D59" s="21"/>
      <c r="E59" s="10"/>
      <c r="F59" s="21"/>
      <c r="G59" s="10"/>
      <c r="H59" s="10"/>
    </row>
    <row r="60" spans="1:8" x14ac:dyDescent="0.25">
      <c r="A60" s="9"/>
      <c r="B60" s="13" t="s">
        <v>12</v>
      </c>
      <c r="C60" s="10">
        <v>1</v>
      </c>
      <c r="D60" s="21">
        <v>100</v>
      </c>
      <c r="E60" s="10">
        <v>1</v>
      </c>
      <c r="F60" s="21">
        <f>+C60*D60*E60</f>
        <v>100</v>
      </c>
      <c r="G60" s="10">
        <v>9700</v>
      </c>
      <c r="H60" s="10">
        <f>+F60*G60</f>
        <v>970000</v>
      </c>
    </row>
    <row r="61" spans="1:8" x14ac:dyDescent="0.25">
      <c r="A61" s="9"/>
      <c r="B61" s="14" t="s">
        <v>13</v>
      </c>
      <c r="C61" s="10"/>
      <c r="D61" s="21"/>
      <c r="E61" s="10"/>
      <c r="F61" s="22">
        <f>SUM(F60)</f>
        <v>100</v>
      </c>
      <c r="G61" s="10">
        <v>9700</v>
      </c>
      <c r="H61" s="12">
        <f>SUM(H60)</f>
        <v>970000</v>
      </c>
    </row>
    <row r="62" spans="1:8" x14ac:dyDescent="0.25">
      <c r="A62" s="9"/>
      <c r="B62" s="14"/>
      <c r="C62" s="10"/>
      <c r="D62" s="21"/>
      <c r="E62" s="10"/>
      <c r="F62" s="22"/>
      <c r="G62" s="10"/>
      <c r="H62" s="12"/>
    </row>
    <row r="63" spans="1:8" x14ac:dyDescent="0.25">
      <c r="A63" s="9">
        <v>7</v>
      </c>
      <c r="B63" s="24" t="s">
        <v>61</v>
      </c>
      <c r="C63" s="10"/>
      <c r="D63" s="21"/>
      <c r="E63" s="10"/>
      <c r="F63" s="21"/>
      <c r="G63" s="10"/>
      <c r="H63" s="10"/>
    </row>
    <row r="64" spans="1:8" x14ac:dyDescent="0.25">
      <c r="A64" s="9"/>
      <c r="B64" s="23" t="s">
        <v>62</v>
      </c>
      <c r="C64" s="10">
        <v>1</v>
      </c>
      <c r="D64" s="21">
        <v>1000</v>
      </c>
      <c r="E64" s="10">
        <v>1</v>
      </c>
      <c r="F64" s="21">
        <f>+C64*D64*E64</f>
        <v>1000</v>
      </c>
      <c r="G64" s="10">
        <v>9700</v>
      </c>
      <c r="H64" s="10">
        <f>+F64*G64</f>
        <v>9700000</v>
      </c>
    </row>
    <row r="65" spans="1:8" x14ac:dyDescent="0.25">
      <c r="A65" s="9"/>
      <c r="B65" s="25" t="s">
        <v>64</v>
      </c>
      <c r="C65" s="10"/>
      <c r="D65" s="21"/>
      <c r="E65" s="10"/>
      <c r="F65" s="22">
        <f>SUM(F64)</f>
        <v>1000</v>
      </c>
      <c r="G65" s="10">
        <v>9700</v>
      </c>
      <c r="H65" s="12">
        <f>SUM(H64)</f>
        <v>9700000</v>
      </c>
    </row>
    <row r="66" spans="1:8" x14ac:dyDescent="0.25">
      <c r="A66" s="9"/>
      <c r="B66" s="13"/>
      <c r="C66" s="10"/>
      <c r="D66" s="11"/>
      <c r="E66" s="10"/>
      <c r="F66" s="21"/>
      <c r="G66" s="10"/>
      <c r="H66" s="10"/>
    </row>
    <row r="67" spans="1:8" x14ac:dyDescent="0.25">
      <c r="A67" s="9"/>
      <c r="B67" s="15" t="s">
        <v>14</v>
      </c>
      <c r="C67" s="10"/>
      <c r="D67" s="11"/>
      <c r="E67" s="10"/>
      <c r="F67" s="22">
        <f>F30+F37+F44+F49+F57+F61+F65</f>
        <v>14730.206185567011</v>
      </c>
      <c r="G67" s="10">
        <v>9700</v>
      </c>
      <c r="H67" s="12">
        <f>H30+H37+H44+H49+H57+H61+H65</f>
        <v>142883000</v>
      </c>
    </row>
    <row r="68" spans="1:8" x14ac:dyDescent="0.25">
      <c r="C68" s="1"/>
      <c r="D68" s="1"/>
      <c r="F68" s="1"/>
      <c r="G68" s="1"/>
      <c r="H68" s="1"/>
    </row>
  </sheetData>
  <pageMargins left="0.75" right="0.75" top="1" bottom="1" header="0.5" footer="0.5"/>
  <pageSetup paperSize="9" scale="61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Zuliati Anis</dc:creator>
  <cp:lastModifiedBy>ICRS Elis</cp:lastModifiedBy>
  <cp:lastPrinted>2012-11-26T02:36:31Z</cp:lastPrinted>
  <dcterms:created xsi:type="dcterms:W3CDTF">2012-07-26T00:52:09Z</dcterms:created>
  <dcterms:modified xsi:type="dcterms:W3CDTF">2012-11-27T06:28:32Z</dcterms:modified>
</cp:coreProperties>
</file>